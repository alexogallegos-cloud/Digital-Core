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10. Acompañamiento Técnico R4/02. Alcance/"/>
    </mc:Choice>
  </mc:AlternateContent>
  <xr:revisionPtr revIDLastSave="3187" documentId="8_{292D3EDF-DB5D-4C50-AFD2-D727B3EC05E4}" xr6:coauthVersionLast="47" xr6:coauthVersionMax="47" xr10:uidLastSave="{2CC3BF90-E390-4D15-A930-8A960493903F}"/>
  <bookViews>
    <workbookView xWindow="-110" yWindow="-110" windowWidth="19420" windowHeight="11500" tabRatio="500" activeTab="1" xr2:uid="{00000000-000D-0000-FFFF-FFFF00000000}"/>
  </bookViews>
  <sheets>
    <sheet name="Definiciones" sheetId="8" r:id="rId1"/>
    <sheet name="Inventario HUs" sheetId="1" r:id="rId2"/>
    <sheet name="Priorización (Claude)" sheetId="4" state="hidden" r:id="rId3"/>
    <sheet name="Diccionario" sheetId="5" state="hidden" r:id="rId4"/>
    <sheet name="Scoring Complejidad" sheetId="12" r:id="rId5"/>
    <sheet name="Funcionalidades_HUs" sheetId="6" r:id="rId6"/>
    <sheet name="Referencia Appwhere--&gt;" sheetId="7" r:id="rId7"/>
    <sheet name="HDUs_SV+Canales" sheetId="2" r:id="rId8"/>
    <sheet name="HDUs_Apolo" sheetId="3" r:id="rId9"/>
  </sheets>
  <definedNames>
    <definedName name="_xlnm._FilterDatabase" localSheetId="3" hidden="1">Diccionario!$B$1:$C$81</definedName>
    <definedName name="_xlnm._FilterDatabase" localSheetId="5" hidden="1">Funcionalidades_HUs!$A$1:$E$88</definedName>
    <definedName name="_xlnm._FilterDatabase" localSheetId="8" hidden="1">HDUs_Apolo!$A$1:$Z$41</definedName>
    <definedName name="_xlnm._FilterDatabase" localSheetId="7" hidden="1">'HDUs_SV+Canales'!$A$3:$O$61</definedName>
    <definedName name="_xlnm._FilterDatabase" localSheetId="1" hidden="1">'Inventario HUs'!$A$2:$AD$81</definedName>
    <definedName name="_xlnm._FilterDatabase" localSheetId="2" hidden="1">'Priorización (Claude)'!$A$2:$O$82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92" i="1" l="1"/>
  <c r="T17" i="1" a="1"/>
  <c r="T17" i="1" s="1"/>
  <c r="Q81" i="1" a="1"/>
  <c r="Q81" i="1" s="1"/>
  <c r="R81" i="1" a="1"/>
  <c r="R81" i="1" s="1"/>
  <c r="S81" i="1" a="1"/>
  <c r="S81" i="1" s="1"/>
  <c r="T81" i="1" a="1"/>
  <c r="T81" i="1" s="1"/>
  <c r="Q68" i="1" a="1"/>
  <c r="Q68" i="1" s="1"/>
  <c r="T80" i="1" a="1"/>
  <c r="T80" i="1" s="1"/>
  <c r="S80" i="1" a="1"/>
  <c r="S80" i="1" s="1"/>
  <c r="R80" i="1" a="1"/>
  <c r="R80" i="1" s="1"/>
  <c r="Q80" i="1" a="1"/>
  <c r="Q80" i="1" s="1"/>
  <c r="T79" i="1" a="1"/>
  <c r="T79" i="1" s="1"/>
  <c r="S79" i="1" a="1"/>
  <c r="S79" i="1" s="1"/>
  <c r="R79" i="1" a="1"/>
  <c r="R79" i="1" s="1"/>
  <c r="Q79" i="1" a="1"/>
  <c r="Q79" i="1" s="1"/>
  <c r="T78" i="1" a="1"/>
  <c r="T78" i="1" s="1"/>
  <c r="S78" i="1" a="1"/>
  <c r="S78" i="1" s="1"/>
  <c r="R78" i="1" a="1"/>
  <c r="R78" i="1" s="1"/>
  <c r="Q78" i="1" a="1"/>
  <c r="Q78" i="1" s="1"/>
  <c r="T77" i="1" a="1"/>
  <c r="T77" i="1" s="1"/>
  <c r="S77" i="1" a="1"/>
  <c r="S77" i="1" s="1"/>
  <c r="R77" i="1" a="1"/>
  <c r="R77" i="1" s="1"/>
  <c r="Q77" i="1" a="1"/>
  <c r="Q77" i="1" s="1"/>
  <c r="T76" i="1" a="1"/>
  <c r="T76" i="1" s="1"/>
  <c r="S76" i="1" a="1"/>
  <c r="S76" i="1" s="1"/>
  <c r="R76" i="1" a="1"/>
  <c r="R76" i="1" s="1"/>
  <c r="Q76" i="1" a="1"/>
  <c r="Q76" i="1" s="1"/>
  <c r="T75" i="1" a="1"/>
  <c r="T75" i="1" s="1"/>
  <c r="S75" i="1" a="1"/>
  <c r="S75" i="1" s="1"/>
  <c r="R75" i="1" a="1"/>
  <c r="R75" i="1" s="1"/>
  <c r="Q75" i="1" a="1"/>
  <c r="Q75" i="1" s="1"/>
  <c r="T74" i="1" a="1"/>
  <c r="T74" i="1" s="1"/>
  <c r="S74" i="1" a="1"/>
  <c r="S74" i="1" s="1"/>
  <c r="R74" i="1" a="1"/>
  <c r="R74" i="1" s="1"/>
  <c r="Q74" i="1" a="1"/>
  <c r="Q74" i="1" s="1"/>
  <c r="T73" i="1" a="1"/>
  <c r="T73" i="1" s="1"/>
  <c r="S73" i="1" a="1"/>
  <c r="S73" i="1" s="1"/>
  <c r="R73" i="1" a="1"/>
  <c r="R73" i="1" s="1"/>
  <c r="Q73" i="1" a="1"/>
  <c r="Q73" i="1" s="1"/>
  <c r="T72" i="1" a="1"/>
  <c r="T72" i="1" s="1"/>
  <c r="S72" i="1" a="1"/>
  <c r="S72" i="1" s="1"/>
  <c r="R72" i="1" a="1"/>
  <c r="R72" i="1" s="1"/>
  <c r="Q72" i="1" a="1"/>
  <c r="Q72" i="1" s="1"/>
  <c r="T71" i="1" a="1"/>
  <c r="T71" i="1" s="1"/>
  <c r="S71" i="1" a="1"/>
  <c r="S71" i="1" s="1"/>
  <c r="R71" i="1" a="1"/>
  <c r="R71" i="1" s="1"/>
  <c r="Q71" i="1" a="1"/>
  <c r="Q71" i="1" s="1"/>
  <c r="T70" i="1" a="1"/>
  <c r="T70" i="1" s="1"/>
  <c r="S70" i="1" a="1"/>
  <c r="S70" i="1" s="1"/>
  <c r="R70" i="1" a="1"/>
  <c r="R70" i="1" s="1"/>
  <c r="Q70" i="1" a="1"/>
  <c r="Q70" i="1" s="1"/>
  <c r="T69" i="1" a="1"/>
  <c r="T69" i="1" s="1"/>
  <c r="S69" i="1" a="1"/>
  <c r="S69" i="1" s="1"/>
  <c r="R69" i="1" a="1"/>
  <c r="R69" i="1" s="1"/>
  <c r="Q69" i="1" a="1"/>
  <c r="Q69" i="1" s="1"/>
  <c r="T68" i="1" a="1"/>
  <c r="T68" i="1" s="1"/>
  <c r="S68" i="1" a="1"/>
  <c r="S68" i="1" s="1"/>
  <c r="R68" i="1" a="1"/>
  <c r="R68" i="1" s="1"/>
  <c r="T67" i="1" a="1"/>
  <c r="T67" i="1" s="1"/>
  <c r="S67" i="1" a="1"/>
  <c r="S67" i="1" s="1"/>
  <c r="R67" i="1" a="1"/>
  <c r="R67" i="1" s="1"/>
  <c r="Q67" i="1" a="1"/>
  <c r="Q67" i="1" s="1"/>
  <c r="T66" i="1" a="1"/>
  <c r="T66" i="1" s="1"/>
  <c r="S66" i="1" a="1"/>
  <c r="S66" i="1" s="1"/>
  <c r="R66" i="1" a="1"/>
  <c r="R66" i="1" s="1"/>
  <c r="Q66" i="1" a="1"/>
  <c r="Q66" i="1" s="1"/>
  <c r="T65" i="1" a="1"/>
  <c r="T65" i="1" s="1"/>
  <c r="S65" i="1" a="1"/>
  <c r="S65" i="1" s="1"/>
  <c r="R65" i="1" a="1"/>
  <c r="R65" i="1" s="1"/>
  <c r="Q65" i="1" a="1"/>
  <c r="Q65" i="1" s="1"/>
  <c r="T64" i="1" a="1"/>
  <c r="T64" i="1" s="1"/>
  <c r="S64" i="1" a="1"/>
  <c r="S64" i="1" s="1"/>
  <c r="R64" i="1" a="1"/>
  <c r="R64" i="1" s="1"/>
  <c r="Q64" i="1" a="1"/>
  <c r="Q64" i="1" s="1"/>
  <c r="U81" i="1" l="1" a="1"/>
  <c r="U81" i="1" s="1"/>
  <c r="V81" i="1" s="1" a="1"/>
  <c r="V81" i="1" s="1"/>
  <c r="U78" i="1" a="1"/>
  <c r="U78" i="1" s="1"/>
  <c r="V78" i="1" s="1" a="1"/>
  <c r="V78" i="1" s="1"/>
  <c r="U75" i="1" a="1"/>
  <c r="U75" i="1" s="1"/>
  <c r="V75" i="1" s="1" a="1"/>
  <c r="V75" i="1" s="1"/>
  <c r="U72" i="1" a="1"/>
  <c r="U72" i="1" s="1"/>
  <c r="V72" i="1" s="1" a="1"/>
  <c r="V72" i="1" s="1"/>
  <c r="U69" i="1" a="1"/>
  <c r="U69" i="1" s="1"/>
  <c r="V69" i="1" s="1" a="1"/>
  <c r="V69" i="1" s="1"/>
  <c r="U79" i="1" a="1"/>
  <c r="U79" i="1" s="1"/>
  <c r="V79" i="1" s="1" a="1"/>
  <c r="V79" i="1" s="1"/>
  <c r="U68" i="1" a="1"/>
  <c r="U68" i="1" s="1"/>
  <c r="V68" i="1" s="1" a="1"/>
  <c r="V68" i="1" s="1"/>
  <c r="U70" i="1" a="1"/>
  <c r="U70" i="1" s="1"/>
  <c r="V70" i="1" s="1" a="1"/>
  <c r="V70" i="1" s="1"/>
  <c r="U73" i="1" a="1"/>
  <c r="U73" i="1" s="1"/>
  <c r="V73" i="1" s="1" a="1"/>
  <c r="V73" i="1" s="1"/>
  <c r="U76" i="1" a="1"/>
  <c r="U76" i="1" s="1"/>
  <c r="V76" i="1" s="1" a="1"/>
  <c r="V76" i="1" s="1"/>
  <c r="U67" i="1" a="1"/>
  <c r="U67" i="1" s="1"/>
  <c r="V67" i="1" s="1" a="1"/>
  <c r="V67" i="1" s="1"/>
  <c r="U71" i="1" a="1"/>
  <c r="U71" i="1" s="1"/>
  <c r="V71" i="1" s="1" a="1"/>
  <c r="V71" i="1" s="1"/>
  <c r="U74" i="1" a="1"/>
  <c r="U74" i="1" s="1"/>
  <c r="V74" i="1" s="1" a="1"/>
  <c r="V74" i="1" s="1"/>
  <c r="U77" i="1" a="1"/>
  <c r="U77" i="1" s="1"/>
  <c r="V77" i="1" s="1" a="1"/>
  <c r="V77" i="1" s="1"/>
  <c r="U66" i="1" a="1"/>
  <c r="U66" i="1" s="1"/>
  <c r="V66" i="1" s="1" a="1"/>
  <c r="V66" i="1" s="1"/>
  <c r="U64" i="1" a="1"/>
  <c r="U64" i="1" s="1"/>
  <c r="V64" i="1" s="1" a="1"/>
  <c r="V64" i="1" s="1"/>
  <c r="U65" i="1" a="1"/>
  <c r="U65" i="1" s="1"/>
  <c r="V65" i="1" s="1" a="1"/>
  <c r="V65" i="1" s="1"/>
  <c r="U80" i="1" a="1"/>
  <c r="U80" i="1" s="1"/>
  <c r="V80" i="1" s="1" a="1"/>
  <c r="V80" i="1" s="1"/>
  <c r="R63" i="1" l="1" a="1"/>
  <c r="R63" i="1" s="1"/>
  <c r="R62" i="1" a="1"/>
  <c r="R62" i="1" s="1"/>
  <c r="R61" i="1" a="1"/>
  <c r="R61" i="1" s="1"/>
  <c r="R60" i="1" a="1"/>
  <c r="R60" i="1" s="1"/>
  <c r="R59" i="1" a="1"/>
  <c r="R59" i="1" s="1"/>
  <c r="R58" i="1" a="1"/>
  <c r="R58" i="1" s="1"/>
  <c r="R57" i="1" a="1"/>
  <c r="R57" i="1" s="1"/>
  <c r="R56" i="1" a="1"/>
  <c r="R56" i="1" s="1"/>
  <c r="R55" i="1" a="1"/>
  <c r="R55" i="1" s="1"/>
  <c r="R54" i="1" a="1"/>
  <c r="R54" i="1" s="1"/>
  <c r="R53" i="1" a="1"/>
  <c r="R53" i="1" s="1"/>
  <c r="R52" i="1" a="1"/>
  <c r="R52" i="1" s="1"/>
  <c r="R51" i="1" a="1"/>
  <c r="R51" i="1" s="1"/>
  <c r="R50" i="1" a="1"/>
  <c r="R50" i="1" s="1"/>
  <c r="R49" i="1" a="1"/>
  <c r="R49" i="1" s="1"/>
  <c r="R48" i="1" a="1"/>
  <c r="R48" i="1" s="1"/>
  <c r="R47" i="1" a="1"/>
  <c r="R47" i="1" s="1"/>
  <c r="R46" i="1" a="1"/>
  <c r="R46" i="1" s="1"/>
  <c r="R45" i="1" a="1"/>
  <c r="R45" i="1" s="1"/>
  <c r="R44" i="1" a="1"/>
  <c r="R44" i="1" s="1"/>
  <c r="R43" i="1" a="1"/>
  <c r="R43" i="1" s="1"/>
  <c r="R42" i="1" a="1"/>
  <c r="R42" i="1" s="1"/>
  <c r="R41" i="1" a="1"/>
  <c r="R41" i="1" s="1"/>
  <c r="R40" i="1" a="1"/>
  <c r="R40" i="1" s="1"/>
  <c r="R39" i="1" a="1"/>
  <c r="R39" i="1" s="1"/>
  <c r="R38" i="1" a="1"/>
  <c r="R38" i="1" s="1"/>
  <c r="R37" i="1" a="1"/>
  <c r="R37" i="1" s="1"/>
  <c r="R36" i="1" a="1"/>
  <c r="R36" i="1" s="1"/>
  <c r="R35" i="1" a="1"/>
  <c r="R35" i="1" s="1"/>
  <c r="R34" i="1" a="1"/>
  <c r="R34" i="1" s="1"/>
  <c r="R33" i="1" a="1"/>
  <c r="R33" i="1" s="1"/>
  <c r="R32" i="1" a="1"/>
  <c r="R32" i="1" s="1"/>
  <c r="R31" i="1" a="1"/>
  <c r="R31" i="1" s="1"/>
  <c r="R30" i="1" a="1"/>
  <c r="R30" i="1" s="1"/>
  <c r="R29" i="1" a="1"/>
  <c r="R29" i="1" s="1"/>
  <c r="R28" i="1" a="1"/>
  <c r="R28" i="1" s="1"/>
  <c r="R27" i="1" a="1"/>
  <c r="R27" i="1" s="1"/>
  <c r="R26" i="1" a="1"/>
  <c r="R26" i="1" s="1"/>
  <c r="R25" i="1" a="1"/>
  <c r="R25" i="1" s="1"/>
  <c r="R24" i="1" a="1"/>
  <c r="R24" i="1" s="1"/>
  <c r="R23" i="1" a="1"/>
  <c r="R23" i="1" s="1"/>
  <c r="R22" i="1" a="1"/>
  <c r="R22" i="1" s="1"/>
  <c r="R21" i="1" a="1"/>
  <c r="R21" i="1" s="1"/>
  <c r="R20" i="1" a="1"/>
  <c r="R20" i="1" s="1"/>
  <c r="R19" i="1" a="1"/>
  <c r="R19" i="1" s="1"/>
  <c r="R18" i="1" a="1"/>
  <c r="R18" i="1" s="1"/>
  <c r="R17" i="1" a="1"/>
  <c r="R17" i="1" s="1"/>
  <c r="R16" i="1" a="1"/>
  <c r="R16" i="1" s="1"/>
  <c r="R15" i="1" a="1"/>
  <c r="R15" i="1" s="1"/>
  <c r="R14" i="1" a="1"/>
  <c r="R14" i="1" s="1"/>
  <c r="R13" i="1" a="1"/>
  <c r="R13" i="1" s="1"/>
  <c r="R12" i="1" a="1"/>
  <c r="R12" i="1" s="1"/>
  <c r="R11" i="1" a="1"/>
  <c r="R11" i="1" s="1"/>
  <c r="R10" i="1" a="1"/>
  <c r="R10" i="1" s="1"/>
  <c r="R9" i="1" a="1"/>
  <c r="R9" i="1" s="1"/>
  <c r="R8" i="1" a="1"/>
  <c r="R8" i="1" s="1"/>
  <c r="R7" i="1" a="1"/>
  <c r="R7" i="1" s="1"/>
  <c r="R6" i="1" a="1"/>
  <c r="R6" i="1" s="1"/>
  <c r="R5" i="1" a="1"/>
  <c r="R5" i="1" s="1"/>
  <c r="R4" i="1" a="1"/>
  <c r="R4" i="1" s="1"/>
  <c r="R3" i="1" a="1"/>
  <c r="R3" i="1" s="1"/>
  <c r="Q63" i="1" a="1"/>
  <c r="Q63" i="1" s="1"/>
  <c r="Q62" i="1" a="1"/>
  <c r="Q62" i="1" s="1"/>
  <c r="Q61" i="1" a="1"/>
  <c r="Q61" i="1" s="1"/>
  <c r="Q60" i="1" a="1"/>
  <c r="Q60" i="1" s="1"/>
  <c r="Q59" i="1" a="1"/>
  <c r="Q59" i="1" s="1"/>
  <c r="Q58" i="1" a="1"/>
  <c r="Q58" i="1" s="1"/>
  <c r="Q57" i="1" a="1"/>
  <c r="Q57" i="1" s="1"/>
  <c r="Q56" i="1" a="1"/>
  <c r="Q56" i="1" s="1"/>
  <c r="Q55" i="1" a="1"/>
  <c r="Q55" i="1" s="1"/>
  <c r="Q54" i="1" a="1"/>
  <c r="Q54" i="1" s="1"/>
  <c r="Q53" i="1" a="1"/>
  <c r="Q53" i="1" s="1"/>
  <c r="Q52" i="1" a="1"/>
  <c r="Q52" i="1" s="1"/>
  <c r="Q51" i="1" a="1"/>
  <c r="Q51" i="1" s="1"/>
  <c r="Q50" i="1" a="1"/>
  <c r="Q50" i="1" s="1"/>
  <c r="Q49" i="1" a="1"/>
  <c r="Q49" i="1" s="1"/>
  <c r="Q48" i="1" a="1"/>
  <c r="Q48" i="1" s="1"/>
  <c r="Q47" i="1" a="1"/>
  <c r="Q47" i="1" s="1"/>
  <c r="Q46" i="1" a="1"/>
  <c r="Q46" i="1" s="1"/>
  <c r="Q45" i="1" a="1"/>
  <c r="Q45" i="1" s="1"/>
  <c r="Q44" i="1" a="1"/>
  <c r="Q44" i="1" s="1"/>
  <c r="Q43" i="1" a="1"/>
  <c r="Q43" i="1" s="1"/>
  <c r="Q42" i="1" a="1"/>
  <c r="Q42" i="1" s="1"/>
  <c r="Q41" i="1" a="1"/>
  <c r="Q41" i="1" s="1"/>
  <c r="Q40" i="1" a="1"/>
  <c r="Q40" i="1" s="1"/>
  <c r="Q39" i="1" a="1"/>
  <c r="Q39" i="1" s="1"/>
  <c r="Q38" i="1" a="1"/>
  <c r="Q38" i="1" s="1"/>
  <c r="Q37" i="1" a="1"/>
  <c r="Q37" i="1" s="1"/>
  <c r="Q36" i="1" a="1"/>
  <c r="Q36" i="1" s="1"/>
  <c r="Q35" i="1" a="1"/>
  <c r="Q35" i="1" s="1"/>
  <c r="Q34" i="1" a="1"/>
  <c r="Q34" i="1" s="1"/>
  <c r="Q33" i="1" a="1"/>
  <c r="Q33" i="1" s="1"/>
  <c r="Q32" i="1" a="1"/>
  <c r="Q32" i="1" s="1"/>
  <c r="Q31" i="1" a="1"/>
  <c r="Q31" i="1" s="1"/>
  <c r="Q30" i="1" a="1"/>
  <c r="Q30" i="1" s="1"/>
  <c r="Q29" i="1" a="1"/>
  <c r="Q29" i="1" s="1"/>
  <c r="Q28" i="1" a="1"/>
  <c r="Q28" i="1" s="1"/>
  <c r="Q27" i="1" a="1"/>
  <c r="Q27" i="1" s="1"/>
  <c r="Q26" i="1" a="1"/>
  <c r="Q26" i="1" s="1"/>
  <c r="Q25" i="1" a="1"/>
  <c r="Q25" i="1" s="1"/>
  <c r="Q24" i="1" a="1"/>
  <c r="Q24" i="1" s="1"/>
  <c r="Q23" i="1" a="1"/>
  <c r="Q23" i="1" s="1"/>
  <c r="Q22" i="1" a="1"/>
  <c r="Q22" i="1" s="1"/>
  <c r="Q21" i="1" a="1"/>
  <c r="Q21" i="1" s="1"/>
  <c r="Q20" i="1" a="1"/>
  <c r="Q20" i="1" s="1"/>
  <c r="Q19" i="1" a="1"/>
  <c r="Q19" i="1" s="1"/>
  <c r="Q18" i="1" a="1"/>
  <c r="Q18" i="1" s="1"/>
  <c r="Q17" i="1" a="1"/>
  <c r="Q17" i="1" s="1"/>
  <c r="Q16" i="1" a="1"/>
  <c r="Q16" i="1" s="1"/>
  <c r="Q15" i="1" a="1"/>
  <c r="Q15" i="1" s="1"/>
  <c r="Q14" i="1" a="1"/>
  <c r="Q14" i="1" s="1"/>
  <c r="Q13" i="1" a="1"/>
  <c r="Q13" i="1" s="1"/>
  <c r="Q12" i="1" a="1"/>
  <c r="Q12" i="1" s="1"/>
  <c r="Q11" i="1" a="1"/>
  <c r="Q11" i="1" s="1"/>
  <c r="Q10" i="1" a="1"/>
  <c r="Q10" i="1" s="1"/>
  <c r="Q9" i="1" a="1"/>
  <c r="Q9" i="1" s="1"/>
  <c r="Q8" i="1" a="1"/>
  <c r="Q8" i="1" s="1"/>
  <c r="Q7" i="1" a="1"/>
  <c r="Q7" i="1" s="1"/>
  <c r="Q6" i="1" a="1"/>
  <c r="Q6" i="1" s="1"/>
  <c r="Q5" i="1" a="1"/>
  <c r="Q5" i="1" s="1"/>
  <c r="Q4" i="1" a="1"/>
  <c r="Q4" i="1" s="1"/>
  <c r="Q3" i="1" a="1"/>
  <c r="Q3" i="1" s="1"/>
  <c r="S63" i="1" a="1"/>
  <c r="S63" i="1" s="1"/>
  <c r="S62" i="1" a="1"/>
  <c r="S62" i="1" s="1"/>
  <c r="S61" i="1" a="1"/>
  <c r="S61" i="1" s="1"/>
  <c r="S60" i="1" a="1"/>
  <c r="S60" i="1" s="1"/>
  <c r="S59" i="1" a="1"/>
  <c r="S59" i="1" s="1"/>
  <c r="S58" i="1" a="1"/>
  <c r="S58" i="1" s="1"/>
  <c r="S57" i="1" a="1"/>
  <c r="S57" i="1" s="1"/>
  <c r="S56" i="1" a="1"/>
  <c r="S56" i="1" s="1"/>
  <c r="S55" i="1" a="1"/>
  <c r="S55" i="1" s="1"/>
  <c r="S54" i="1" a="1"/>
  <c r="S54" i="1" s="1"/>
  <c r="S53" i="1" a="1"/>
  <c r="S53" i="1" s="1"/>
  <c r="S52" i="1" a="1"/>
  <c r="S52" i="1" s="1"/>
  <c r="S51" i="1" a="1"/>
  <c r="S51" i="1" s="1"/>
  <c r="S50" i="1" a="1"/>
  <c r="S50" i="1" s="1"/>
  <c r="S49" i="1" a="1"/>
  <c r="S49" i="1" s="1"/>
  <c r="S48" i="1" a="1"/>
  <c r="S48" i="1" s="1"/>
  <c r="S47" i="1" a="1"/>
  <c r="S47" i="1" s="1"/>
  <c r="S46" i="1" a="1"/>
  <c r="S46" i="1" s="1"/>
  <c r="S45" i="1" a="1"/>
  <c r="S45" i="1" s="1"/>
  <c r="S44" i="1" a="1"/>
  <c r="S44" i="1" s="1"/>
  <c r="S43" i="1" a="1"/>
  <c r="S43" i="1" s="1"/>
  <c r="S42" i="1" a="1"/>
  <c r="S42" i="1" s="1"/>
  <c r="S41" i="1" a="1"/>
  <c r="S41" i="1" s="1"/>
  <c r="S40" i="1" a="1"/>
  <c r="S40" i="1" s="1"/>
  <c r="S39" i="1" a="1"/>
  <c r="S39" i="1" s="1"/>
  <c r="S38" i="1" a="1"/>
  <c r="S38" i="1" s="1"/>
  <c r="S37" i="1" a="1"/>
  <c r="S37" i="1" s="1"/>
  <c r="S36" i="1" a="1"/>
  <c r="S36" i="1" s="1"/>
  <c r="S35" i="1" a="1"/>
  <c r="S35" i="1" s="1"/>
  <c r="S34" i="1" a="1"/>
  <c r="S34" i="1" s="1"/>
  <c r="S33" i="1" a="1"/>
  <c r="S33" i="1" s="1"/>
  <c r="S32" i="1" a="1"/>
  <c r="S32" i="1" s="1"/>
  <c r="S31" i="1" a="1"/>
  <c r="S31" i="1" s="1"/>
  <c r="S30" i="1" a="1"/>
  <c r="S30" i="1" s="1"/>
  <c r="S29" i="1" a="1"/>
  <c r="S29" i="1" s="1"/>
  <c r="S28" i="1" a="1"/>
  <c r="S28" i="1" s="1"/>
  <c r="S27" i="1" a="1"/>
  <c r="S27" i="1" s="1"/>
  <c r="S26" i="1" a="1"/>
  <c r="S26" i="1" s="1"/>
  <c r="S25" i="1" a="1"/>
  <c r="S25" i="1" s="1"/>
  <c r="S24" i="1" a="1"/>
  <c r="S24" i="1" s="1"/>
  <c r="S23" i="1" a="1"/>
  <c r="S23" i="1" s="1"/>
  <c r="S22" i="1" a="1"/>
  <c r="S22" i="1" s="1"/>
  <c r="S21" i="1" a="1"/>
  <c r="S21" i="1" s="1"/>
  <c r="S20" i="1" a="1"/>
  <c r="S20" i="1" s="1"/>
  <c r="S19" i="1" a="1"/>
  <c r="S19" i="1" s="1"/>
  <c r="S18" i="1" a="1"/>
  <c r="S18" i="1" s="1"/>
  <c r="S17" i="1" a="1"/>
  <c r="S17" i="1" s="1"/>
  <c r="S16" i="1" a="1"/>
  <c r="S16" i="1" s="1"/>
  <c r="S15" i="1" a="1"/>
  <c r="S15" i="1" s="1"/>
  <c r="S14" i="1" a="1"/>
  <c r="S14" i="1" s="1"/>
  <c r="S13" i="1" a="1"/>
  <c r="S13" i="1" s="1"/>
  <c r="S12" i="1" a="1"/>
  <c r="S12" i="1" s="1"/>
  <c r="S11" i="1" a="1"/>
  <c r="S11" i="1" s="1"/>
  <c r="S10" i="1" a="1"/>
  <c r="S10" i="1" s="1"/>
  <c r="S9" i="1" a="1"/>
  <c r="S9" i="1" s="1"/>
  <c r="S8" i="1" a="1"/>
  <c r="S8" i="1" s="1"/>
  <c r="S7" i="1" a="1"/>
  <c r="S7" i="1" s="1"/>
  <c r="S6" i="1" a="1"/>
  <c r="S6" i="1" s="1"/>
  <c r="S5" i="1" a="1"/>
  <c r="S5" i="1" s="1"/>
  <c r="S3" i="1" a="1"/>
  <c r="S3" i="1" s="1"/>
  <c r="S4" i="1" a="1"/>
  <c r="S4" i="1" s="1"/>
  <c r="U17" i="1" l="1" a="1"/>
  <c r="U17" i="1" s="1"/>
  <c r="T24" i="1" a="1"/>
  <c r="T24" i="1" s="1"/>
  <c r="U24" i="1" s="1" a="1"/>
  <c r="U24" i="1" s="1"/>
  <c r="T25" i="1" a="1"/>
  <c r="T25" i="1" s="1"/>
  <c r="U25" i="1" s="1" a="1"/>
  <c r="U25" i="1" s="1"/>
  <c r="T26" i="1" a="1"/>
  <c r="T26" i="1" s="1"/>
  <c r="U26" i="1" s="1" a="1"/>
  <c r="U26" i="1" s="1"/>
  <c r="T27" i="1" a="1"/>
  <c r="T27" i="1" s="1"/>
  <c r="U27" i="1" s="1" a="1"/>
  <c r="U27" i="1" s="1"/>
  <c r="T28" i="1" a="1"/>
  <c r="T28" i="1" s="1"/>
  <c r="U28" i="1" s="1" a="1"/>
  <c r="U28" i="1" s="1"/>
  <c r="T29" i="1" a="1"/>
  <c r="T29" i="1" s="1"/>
  <c r="U29" i="1" s="1" a="1"/>
  <c r="U29" i="1" s="1"/>
  <c r="T30" i="1" a="1"/>
  <c r="T30" i="1" s="1"/>
  <c r="U30" i="1" s="1" a="1"/>
  <c r="U30" i="1" s="1"/>
  <c r="T31" i="1" a="1"/>
  <c r="T31" i="1" s="1"/>
  <c r="U31" i="1" s="1" a="1"/>
  <c r="U31" i="1" s="1"/>
  <c r="T32" i="1" a="1"/>
  <c r="T32" i="1" s="1"/>
  <c r="U32" i="1" s="1" a="1"/>
  <c r="U32" i="1" s="1"/>
  <c r="T33" i="1" a="1"/>
  <c r="T33" i="1" s="1"/>
  <c r="U33" i="1" s="1" a="1"/>
  <c r="U33" i="1" s="1"/>
  <c r="T34" i="1" a="1"/>
  <c r="T34" i="1" s="1"/>
  <c r="U34" i="1" s="1" a="1"/>
  <c r="U34" i="1" s="1"/>
  <c r="T35" i="1" a="1"/>
  <c r="T35" i="1" s="1"/>
  <c r="U35" i="1" s="1" a="1"/>
  <c r="U35" i="1" s="1"/>
  <c r="T36" i="1" a="1"/>
  <c r="T36" i="1" s="1"/>
  <c r="U36" i="1" s="1" a="1"/>
  <c r="U36" i="1" s="1"/>
  <c r="T37" i="1" a="1"/>
  <c r="T37" i="1" s="1"/>
  <c r="U37" i="1" s="1" a="1"/>
  <c r="U37" i="1" s="1"/>
  <c r="T38" i="1" a="1"/>
  <c r="T38" i="1" s="1"/>
  <c r="U38" i="1" s="1" a="1"/>
  <c r="U38" i="1" s="1"/>
  <c r="T39" i="1" a="1"/>
  <c r="T39" i="1" s="1"/>
  <c r="U39" i="1" s="1" a="1"/>
  <c r="U39" i="1" s="1"/>
  <c r="T40" i="1" a="1"/>
  <c r="T40" i="1" s="1"/>
  <c r="U40" i="1" s="1" a="1"/>
  <c r="U40" i="1" s="1"/>
  <c r="T41" i="1" a="1"/>
  <c r="T41" i="1" s="1"/>
  <c r="U41" i="1" s="1" a="1"/>
  <c r="U41" i="1" s="1"/>
  <c r="T42" i="1" a="1"/>
  <c r="T42" i="1" s="1"/>
  <c r="U42" i="1" s="1" a="1"/>
  <c r="U42" i="1" s="1"/>
  <c r="T43" i="1" a="1"/>
  <c r="T43" i="1" s="1"/>
  <c r="U43" i="1" s="1" a="1"/>
  <c r="U43" i="1" s="1"/>
  <c r="T44" i="1" a="1"/>
  <c r="T44" i="1" s="1"/>
  <c r="U44" i="1" s="1" a="1"/>
  <c r="U44" i="1" s="1"/>
  <c r="T45" i="1" a="1"/>
  <c r="T45" i="1" s="1"/>
  <c r="U45" i="1" s="1" a="1"/>
  <c r="U45" i="1" s="1"/>
  <c r="T46" i="1" a="1"/>
  <c r="T46" i="1" s="1"/>
  <c r="U46" i="1" s="1" a="1"/>
  <c r="U46" i="1" s="1"/>
  <c r="T47" i="1" a="1"/>
  <c r="T47" i="1" s="1"/>
  <c r="U47" i="1" s="1" a="1"/>
  <c r="U47" i="1" s="1"/>
  <c r="T48" i="1" a="1"/>
  <c r="T48" i="1" s="1"/>
  <c r="U48" i="1" s="1" a="1"/>
  <c r="U48" i="1" s="1"/>
  <c r="T49" i="1" a="1"/>
  <c r="T49" i="1" s="1"/>
  <c r="U49" i="1" s="1" a="1"/>
  <c r="U49" i="1" s="1"/>
  <c r="T50" i="1" a="1"/>
  <c r="T50" i="1" s="1"/>
  <c r="U50" i="1" s="1" a="1"/>
  <c r="U50" i="1" s="1"/>
  <c r="T51" i="1" a="1"/>
  <c r="T51" i="1" s="1"/>
  <c r="U51" i="1" s="1" a="1"/>
  <c r="U51" i="1" s="1"/>
  <c r="T52" i="1" a="1"/>
  <c r="T52" i="1" s="1"/>
  <c r="U52" i="1" s="1" a="1"/>
  <c r="U52" i="1" s="1"/>
  <c r="T53" i="1" a="1"/>
  <c r="T53" i="1" s="1"/>
  <c r="U53" i="1" s="1" a="1"/>
  <c r="U53" i="1" s="1"/>
  <c r="T54" i="1" a="1"/>
  <c r="T54" i="1" s="1"/>
  <c r="U54" i="1" s="1" a="1"/>
  <c r="U54" i="1" s="1"/>
  <c r="T55" i="1" a="1"/>
  <c r="T55" i="1" s="1"/>
  <c r="U55" i="1" s="1" a="1"/>
  <c r="U55" i="1" s="1"/>
  <c r="T56" i="1" a="1"/>
  <c r="T56" i="1" s="1"/>
  <c r="U56" i="1" s="1" a="1"/>
  <c r="U56" i="1" s="1"/>
  <c r="T57" i="1" a="1"/>
  <c r="T57" i="1" s="1"/>
  <c r="U57" i="1" s="1" a="1"/>
  <c r="U57" i="1" s="1"/>
  <c r="T58" i="1" a="1"/>
  <c r="T58" i="1" s="1"/>
  <c r="U58" i="1" s="1" a="1"/>
  <c r="U58" i="1" s="1"/>
  <c r="T59" i="1" a="1"/>
  <c r="T59" i="1" s="1"/>
  <c r="U59" i="1" s="1" a="1"/>
  <c r="U59" i="1" s="1"/>
  <c r="T60" i="1" a="1"/>
  <c r="T60" i="1" s="1"/>
  <c r="U60" i="1" s="1" a="1"/>
  <c r="U60" i="1" s="1"/>
  <c r="T61" i="1" a="1"/>
  <c r="T61" i="1" s="1"/>
  <c r="U61" i="1" s="1" a="1"/>
  <c r="U61" i="1" s="1"/>
  <c r="T62" i="1" a="1"/>
  <c r="T62" i="1" s="1"/>
  <c r="U62" i="1" s="1" a="1"/>
  <c r="U62" i="1" s="1"/>
  <c r="T63" i="1" a="1"/>
  <c r="T63" i="1" s="1"/>
  <c r="U63" i="1" s="1" a="1"/>
  <c r="U63" i="1" s="1"/>
  <c r="T4" i="1" a="1"/>
  <c r="T4" i="1" s="1"/>
  <c r="U4" i="1" s="1" a="1"/>
  <c r="U4" i="1" s="1"/>
  <c r="T5" i="1" a="1"/>
  <c r="T5" i="1" s="1"/>
  <c r="U5" i="1" s="1" a="1"/>
  <c r="U5" i="1" s="1"/>
  <c r="T6" i="1" a="1"/>
  <c r="T6" i="1" s="1"/>
  <c r="U6" i="1" s="1" a="1"/>
  <c r="U6" i="1" s="1"/>
  <c r="T7" i="1" a="1"/>
  <c r="T7" i="1" s="1"/>
  <c r="U7" i="1" s="1" a="1"/>
  <c r="U7" i="1" s="1"/>
  <c r="T8" i="1" a="1"/>
  <c r="T8" i="1" s="1"/>
  <c r="U8" i="1" s="1" a="1"/>
  <c r="U8" i="1" s="1"/>
  <c r="T9" i="1" a="1"/>
  <c r="T9" i="1" s="1"/>
  <c r="U9" i="1" s="1" a="1"/>
  <c r="U9" i="1" s="1"/>
  <c r="T10" i="1" a="1"/>
  <c r="T10" i="1" s="1"/>
  <c r="U10" i="1" s="1" a="1"/>
  <c r="U10" i="1" s="1"/>
  <c r="T11" i="1" a="1"/>
  <c r="T11" i="1" s="1"/>
  <c r="U11" i="1" s="1" a="1"/>
  <c r="U11" i="1" s="1"/>
  <c r="T12" i="1" a="1"/>
  <c r="T12" i="1" s="1"/>
  <c r="U12" i="1" s="1" a="1"/>
  <c r="U12" i="1" s="1"/>
  <c r="T13" i="1" a="1"/>
  <c r="T13" i="1" s="1"/>
  <c r="U13" i="1" s="1" a="1"/>
  <c r="U13" i="1" s="1"/>
  <c r="T14" i="1" a="1"/>
  <c r="T14" i="1" s="1"/>
  <c r="U14" i="1" s="1" a="1"/>
  <c r="U14" i="1" s="1"/>
  <c r="T15" i="1" a="1"/>
  <c r="T15" i="1" s="1"/>
  <c r="U15" i="1" s="1" a="1"/>
  <c r="U15" i="1" s="1"/>
  <c r="T16" i="1" a="1"/>
  <c r="T16" i="1" s="1"/>
  <c r="U16" i="1" s="1" a="1"/>
  <c r="U16" i="1" s="1"/>
  <c r="T18" i="1" a="1"/>
  <c r="T18" i="1" s="1"/>
  <c r="U18" i="1" s="1" a="1"/>
  <c r="U18" i="1" s="1"/>
  <c r="T19" i="1" a="1"/>
  <c r="T19" i="1" s="1"/>
  <c r="U19" i="1" s="1" a="1"/>
  <c r="U19" i="1" s="1"/>
  <c r="T20" i="1" a="1"/>
  <c r="T20" i="1" s="1"/>
  <c r="U20" i="1" s="1" a="1"/>
  <c r="U20" i="1" s="1"/>
  <c r="T21" i="1" a="1"/>
  <c r="T21" i="1" s="1"/>
  <c r="U21" i="1" s="1" a="1"/>
  <c r="U21" i="1" s="1"/>
  <c r="T22" i="1" a="1"/>
  <c r="T22" i="1" s="1"/>
  <c r="U22" i="1" s="1" a="1"/>
  <c r="U22" i="1" s="1"/>
  <c r="T23" i="1" a="1"/>
  <c r="T23" i="1" s="1"/>
  <c r="U23" i="1" s="1" a="1"/>
  <c r="U23" i="1" s="1"/>
  <c r="T3" i="1" a="1"/>
  <c r="T3" i="1" s="1"/>
  <c r="U3" i="1" s="1" a="1"/>
  <c r="U3" i="1" s="1"/>
  <c r="V55" i="1" l="1" a="1"/>
  <c r="V55" i="1" s="1"/>
  <c r="V27" i="1" a="1"/>
  <c r="V27" i="1" s="1"/>
  <c r="V38" i="1" a="1"/>
  <c r="V38" i="1" s="1"/>
  <c r="V28" i="1" a="1"/>
  <c r="V28" i="1" s="1"/>
  <c r="V49" i="1" a="1"/>
  <c r="V49" i="1" s="1"/>
  <c r="V40" i="1" a="1"/>
  <c r="V40" i="1" s="1"/>
  <c r="V62" i="1" a="1"/>
  <c r="V62" i="1" s="1"/>
  <c r="V50" i="1" a="1"/>
  <c r="V50" i="1" s="1"/>
  <c r="V26" i="1" a="1"/>
  <c r="V26" i="1" s="1"/>
  <c r="V61" i="1" a="1"/>
  <c r="V61" i="1" s="1"/>
  <c r="V37" i="1" a="1"/>
  <c r="V37" i="1" s="1"/>
  <c r="V60" i="1" a="1"/>
  <c r="V60" i="1" s="1"/>
  <c r="V24" i="1" a="1"/>
  <c r="V24" i="1" s="1"/>
  <c r="V44" i="1" a="1"/>
  <c r="V44" i="1" s="1"/>
  <c r="V48" i="1" a="1"/>
  <c r="V48" i="1" s="1"/>
  <c r="V25" i="1" a="1"/>
  <c r="V25" i="1" s="1"/>
  <c r="V56" i="1" a="1"/>
  <c r="V56" i="1" s="1"/>
  <c r="V31" i="1" a="1"/>
  <c r="V31" i="1" s="1"/>
  <c r="V54" i="1" a="1"/>
  <c r="V54" i="1" s="1"/>
  <c r="V53" i="1" a="1"/>
  <c r="V53" i="1" s="1"/>
  <c r="V41" i="1" a="1"/>
  <c r="V41" i="1" s="1"/>
  <c r="V29" i="1" a="1"/>
  <c r="V29" i="1" s="1"/>
  <c r="V52" i="1" a="1"/>
  <c r="V52" i="1" s="1"/>
  <c r="V43" i="1" a="1"/>
  <c r="V43" i="1" s="1"/>
  <c r="V47" i="1" a="1"/>
  <c r="V47" i="1" s="1"/>
  <c r="V32" i="1" a="1"/>
  <c r="V32" i="1" s="1"/>
  <c r="V63" i="1" a="1"/>
  <c r="V63" i="1" s="1"/>
  <c r="V42" i="1" a="1"/>
  <c r="V42" i="1" s="1"/>
  <c r="V58" i="1" a="1"/>
  <c r="V58" i="1" s="1"/>
  <c r="V46" i="1" a="1"/>
  <c r="V46" i="1" s="1"/>
  <c r="V51" i="1" a="1"/>
  <c r="V51" i="1" s="1"/>
  <c r="V30" i="1" a="1"/>
  <c r="V30" i="1" s="1"/>
  <c r="V36" i="1" a="1"/>
  <c r="V36" i="1" s="1"/>
  <c r="V57" i="1" a="1"/>
  <c r="V57" i="1" s="1"/>
  <c r="V45" i="1" a="1"/>
  <c r="V45" i="1" s="1"/>
  <c r="V33" i="1" a="1"/>
  <c r="V33" i="1" s="1"/>
  <c r="V34" i="1" a="1"/>
  <c r="V34" i="1" s="1"/>
  <c r="V39" i="1" a="1"/>
  <c r="V39" i="1" s="1"/>
  <c r="V59" i="1" a="1"/>
  <c r="V59" i="1" s="1"/>
  <c r="V35" i="1" a="1"/>
  <c r="V35" i="1" s="1"/>
  <c r="V10" i="1" a="1"/>
  <c r="V10" i="1" s="1"/>
  <c r="V12" i="1" a="1"/>
  <c r="V12" i="1" s="1"/>
  <c r="V17" i="1" a="1"/>
  <c r="V17" i="1" s="1"/>
  <c r="V16" i="1" a="1"/>
  <c r="V16" i="1" s="1"/>
  <c r="V22" i="1" a="1"/>
  <c r="V22" i="1" s="1"/>
  <c r="V7" i="1" a="1"/>
  <c r="V7" i="1" s="1"/>
  <c r="V15" i="1" a="1"/>
  <c r="V15" i="1" s="1"/>
  <c r="V19" i="1" a="1"/>
  <c r="V19" i="1" s="1"/>
  <c r="V23" i="1" a="1"/>
  <c r="V23" i="1" s="1"/>
  <c r="V18" i="1" a="1"/>
  <c r="V18" i="1" s="1"/>
  <c r="V5" i="1" a="1"/>
  <c r="V5" i="1" s="1"/>
  <c r="V20" i="1" a="1"/>
  <c r="V20" i="1" s="1"/>
  <c r="V14" i="1" a="1"/>
  <c r="V14" i="1" s="1"/>
  <c r="V4" i="1" a="1"/>
  <c r="V4" i="1" s="1"/>
  <c r="V6" i="1" a="1"/>
  <c r="V6" i="1" s="1"/>
  <c r="V8" i="1" a="1"/>
  <c r="V8" i="1" s="1"/>
  <c r="V9" i="1" a="1"/>
  <c r="V9" i="1" s="1"/>
  <c r="V13" i="1" a="1"/>
  <c r="V13" i="1" s="1"/>
  <c r="V21" i="1" a="1"/>
  <c r="V21" i="1" s="1"/>
  <c r="V11" i="1" a="1"/>
  <c r="V11" i="1" s="1"/>
  <c r="V3" i="1" a="1"/>
  <c r="V3" i="1" s="1"/>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<sst xmlns="http://schemas.openxmlformats.org/spreadsheetml/2006/main" count="4247" uniqueCount="1721">
  <si>
    <t>IDENTIFICACIÓN</t>
  </si>
  <si>
    <t>ALCANCE</t>
  </si>
  <si>
    <t>PRIORIZACIÓN</t>
  </si>
  <si>
    <t>COMPLEJIDAD</t>
  </si>
  <si>
    <t>ID HU</t>
  </si>
  <si>
    <t>Track / Plataforma</t>
  </si>
  <si>
    <t>Nombre HU</t>
  </si>
  <si>
    <t>Producto</t>
  </si>
  <si>
    <t>Descripción Funcional (qué hace)</t>
  </si>
  <si>
    <t>Reglas de Negocio Clave</t>
  </si>
  <si>
    <t>Canal(es) Afectado(s)</t>
  </si>
  <si>
    <t>Usuario Final / Actor Principal</t>
  </si>
  <si>
    <t>Justificación Criticidad</t>
  </si>
  <si>
    <t>Esfuerzo Estimado
(días)</t>
  </si>
  <si>
    <t>Plataforma Principal</t>
  </si>
  <si>
    <t>HDU-SMART-R4-01</t>
  </si>
  <si>
    <t>Smart Vista</t>
  </si>
  <si>
    <t>Certificar layouts de maquila con proveedores.</t>
  </si>
  <si>
    <t>TDC</t>
  </si>
  <si>
    <t>Habilitar la certificación de layouts posicionales/planos homologados para los 4 proveedores de maquila (GID, Forza, TGS, Thomas Greg &amp; Sons), con cifrado PGP por proveedor y HSM por tarjeta, para emitir tarjetas del producto 4900 de forma controlada y trazable.</t>
  </si>
  <si>
    <t>Layout único homologado para los 4 maquiladores. Campos alfanuméricos validados para rechazar caracteres no embosables. Cifrado PGP+HSM; vigencia de llaves validada antes de generar. Reproceso de archivo sin alterar números de tarjeta. Solo producto 4900 parametrizado en SV Back Office [RN-OP-MA-01/02/03/05].</t>
  </si>
  <si>
    <t>Área de Suministros / Administración de Tarjetas</t>
  </si>
  <si>
    <t>Alta</t>
  </si>
  <si>
    <t>Prerequisito operativo para emisión de tarjetas físicas 4900. Sin layouts certificados no puede haber maquila.</t>
  </si>
  <si>
    <t>Parametrizable</t>
  </si>
  <si>
    <t>Media</t>
  </si>
  <si>
    <t>SmartVista Back Office</t>
  </si>
  <si>
    <t>HDU-SMART-R4-02</t>
  </si>
  <si>
    <t>Consultar inventario de tarjetas por sucursal.</t>
  </si>
  <si>
    <t>Consulta del stock de tarjetas disponibles por sucursal distinguiendo 'en existencia', 'en ruta' y 'por fabricar'; cálculo de stock semanal sobre existencias reales; filtro por tipo de sucursal. El inventario vive íntegramente en Smart Vista, sin dependencia de Macweb.</t>
  </si>
  <si>
    <t>Stock semanal basado SOLO en existencias físicas (no en ruta/por fabricar) [RN-HU-001]. Filtro por Tipo de Sucursal. Detalle de lotes en proceso por producto/sucursal. Datos provienen de SV, ruptura con legado Macweb [RN-OP-MA-05].</t>
  </si>
  <si>
    <t>Área de Suministros</t>
  </si>
  <si>
    <t>Insumo de decisión para reórdenes automáticos y manuales. Sin inventario confiable, la maquila es reactiva.</t>
  </si>
  <si>
    <t>Caja</t>
  </si>
  <si>
    <t>Baja</t>
  </si>
  <si>
    <t>HDU-SMART-R4-03</t>
  </si>
  <si>
    <t>Calcular maquila con parámetros de abasto.</t>
  </si>
  <si>
    <t>Cálculo diario automatizado (batch 6:00 AM) de la cantidad de tarjetas a reordenar por sucursal/producto, usando piso mínimo y semanas-a-dotar parametrizables, con redondeo a múltiplos de 250 plásticos y consumo calculado sobre mes calendario completo.</t>
  </si>
  <si>
    <t>Corrida batch 6:00 AM. Piso mínimo default 4 semanas, parametrizable por producto/sucursal [RN-OP-MA-04]. Semanas a dotar de 1 a N (hoy topado a 3). Redondeo a múltiplos de 250 [RN-OP-MA-11]. Consumo sobre mes calendario completo, no ventana fija [RN-HU-002/078].</t>
  </si>
  <si>
    <t>Motor que automatiza el reabastecimiento y evita desabasto en las 1,700+ sucursales.</t>
  </si>
  <si>
    <t>HDU-SMART-R4-04</t>
  </si>
  <si>
    <t>Ejecutar solicitud automatizada de maquila.</t>
  </si>
  <si>
    <t>Detona el proceso de emisión masiva de tarjetas tras el cálculo de reorden. Incluye validación anti-duplicidad, pre-asignación de proveedor, notificación por correo a ~30 destinatarios usando número de lote. Dos pasos pendientes de automatizar en R4: generación OCG vía Cron y entrega Connect Direct.</t>
  </si>
  <si>
    <t>Solicitud se detona solo si layout tiene datos completos [RN-HU-004]. Anti-duplicidad: si existe solicitud en mismo layout se rechaza [RN-HU-003]. Pre-asignación de proveedor por matriz de capacidades o manual [RN-OP-MA-10]. Correo diario ~30 destinatarios con número de lote.</t>
  </si>
  <si>
    <t>Automatización del reorden que reemplaza proceso manual actual. Gap técnico: automatización de OCG y Connect Direct aún pendiente para R4.</t>
  </si>
  <si>
    <t>Desarrollo</t>
  </si>
  <si>
    <t>SmartVista / Connect Direct</t>
  </si>
  <si>
    <t>HDU-SMART-R4-05</t>
  </si>
  <si>
    <t>Ejecutar solicitud manual de maquila.</t>
  </si>
  <si>
    <t>Permite al área de Suministros generar solicitudes manuales de maquila para casos específicos (ej. apertura de sucursal), usando el mismo layout que la maquila automática. Restricción: un lote por día por sucursal.</t>
  </si>
  <si>
    <t>Solicitud manual usa layout único compartido con la automática [RN-OP-MA-01]. Dotación inicial garantizada ante apertura de sucursal nueva. Restricción: 1 lote/día/sucursal (proceso tarda 2-3 semanas). Funcionalidad demo confirmada en S1/S2.</t>
  </si>
  <si>
    <t>Complemento necesario de la automática para casos operativos específicos. Flujo ya demo-ado en sesión.</t>
  </si>
  <si>
    <t>HDU-SMART-R4-06</t>
  </si>
  <si>
    <t>Generar archivos seguros de maquila.</t>
  </si>
  <si>
    <t>Generación y resguardo del archivo para el maquilador tras procesar la solicitud. Incluye cifrado PGP/HSM, flujo de 4 pasos (SVBO→OCG→Cargen→PGP→Connect Direct), trazabilidad Orden→Lote→Tarjeta, y alertamiento/reproceso ante error del maquilador.</t>
  </si>
  <si>
    <t>Flujo técnico: SVBO→OCG→Cargen→PGP→Connect Direct [Comentado en sesión]. Archivo cifrado con PGP del proveedor destino. Trazabilidad completa Orden→Lote→Tarjeta. Alertamiento y reproceso ante error de procesamiento en maquilador [DEF RF-01 Escenario 3/4].</t>
  </si>
  <si>
    <t>Administrador de Maquila / Suministros</t>
  </si>
  <si>
    <t>Integración crítica de seguridad y trazabilidad. Sin archivos seguros certificados no puede completarse el proceso de emisión.</t>
  </si>
  <si>
    <t>HDU-SMART-R4-07</t>
  </si>
  <si>
    <t>Dar seguimiento a estatus de lotes.</t>
  </si>
  <si>
    <t>Consulta del estatus de emisión y entrega de lotes por sucursal (Inventario POS), incluyendo seguimiento de paquetería desde recolección hasta entrega, reportería de existencia y detalle de lotes en proceso.</t>
  </si>
  <si>
    <t>Seguimiento de paquetería recolección→entrega, confirmación de recepción [DEF RF-01 Escenarios 5/6]. Consulta limitada al periodo máximo [RN-HU-006]. Sin reposición proactiva ante vencimiento: cliente acude a sucursal [RN-OP-MA-06/08].</t>
  </si>
  <si>
    <t>Área de Suministros / Operaciones</t>
  </si>
  <si>
    <t>Visibilidad operativa del proceso de distribución. No bloquea MVP pero es necesario para operación en mercado abierto.</t>
  </si>
  <si>
    <t>HDU-SMART-R4-08</t>
  </si>
  <si>
    <t>Controlar recepción y cancelación de lotes.</t>
  </si>
  <si>
    <t>Recepción de lotes en sucursal desde SIWEB con validación de lote correcto, baja de tarjetas dañadas/inexistentes, bloqueo de asignación para créditos vencidos, y validación obligatoria de huella del Gerente para cancelaciones.</t>
  </si>
  <si>
    <t>Recepción desde SIWEB; rechazo de lote incorrecto o de otra sucursal [RN-HU-007/008]. Mensaje corregido 'tarjeta no existe' (hoy muestra erróneamente 'ya reportada') [RN-HU-009]. Bloqueo con crédito vencido &gt;1 mes [RN-HU-010]. Huella de Gerente obligatoria para cancelar dañadas [RN-OP-MA-12]. Gap: baja por daño solo si tarjeta asignada (candidato R4.5).</t>
  </si>
  <si>
    <t>Smart Vista, SIWEB</t>
  </si>
  <si>
    <t>Gerente de Sucursal / Ejecutivo de Sucursal</t>
  </si>
  <si>
    <t>Gate operativo: sin recepción y cancelación controlada, el inventario en sucursal sería inconsistente.</t>
  </si>
  <si>
    <t>SmartVista / SIWEB</t>
  </si>
  <si>
    <t>HDU-SMART-R4-09</t>
  </si>
  <si>
    <t>Homologar conceptos de comisiones TDC.</t>
  </si>
  <si>
    <t>Definición del catálogo normativo único de comisiones para TDC 4900 (17 comisiones replicando esquema 8500), alineado a BANXICO. Solo cambia la etiqueta visible; caídas y cuentas contables permanecen idénticas. Límites de longitud: 40 caracteres en EDC, 26 en ticket SIWEB.</t>
  </si>
  <si>
    <t>Catálogo normativo único alineado a BANXICO [RN-HU-016]. 17 comisiones 4900=esquema 8500. Solo cambia etiqueta, NO la contabilidad [RF-03 Acuerdo S3]. Límites: 40 chars EDC / 26 chars ticket. Mapeo nombre-actual→nombre-nuevo con ID de comisión.</t>
  </si>
  <si>
    <t>Smart Vista, App, SIWEB</t>
  </si>
  <si>
    <t>Área Normativa / Negocio</t>
  </si>
  <si>
    <t>Cumplimiento regulatorio BANXICO. Sin homologación existe riesgo de multa.</t>
  </si>
  <si>
    <t>HDU-SMART-R4-10</t>
  </si>
  <si>
    <t>Sincronizar nombres de comisiones en canales.</t>
  </si>
  <si>
    <t>Verificación de que los nombres homologados de comisiones se muestran de forma idéntica en todos los canales de consulta (Smart Vista, App, SIWEB, EDC), cumpliendo la regulación BANXICO y los límites de longitud por canal.</t>
  </si>
  <si>
    <t>Nombres idénticos en SV, App, SIWEB, EDC [RN-HU-016/017/018]. Verificación por punto de consulta. Auditoría BANXICO sin inconsistencias. Límites 40 EDC / 26 ticket. Depende de catálogo HDU-SMART-R4-09.</t>
  </si>
  <si>
    <t>Smart Vista, App, SIWEB, EDC</t>
  </si>
  <si>
    <t>Área Normativa / Todos los canales</t>
  </si>
  <si>
    <t>Dependiente de HDU-09. Sin sincronización multicanal el riesgo BANXICO persiste.</t>
  </si>
  <si>
    <t>Transversal multicanal</t>
  </si>
  <si>
    <t>HDU-SMART-R4-11</t>
  </si>
  <si>
    <t>Incorporar reglas del autorizador BPC.</t>
  </si>
  <si>
    <t>Motor de 88 reglas del autorizador BPC en tiempo real: Módulo 1 (estatus/ISO 8583) y Fraud Management. Incluye rechazo con códigos ISO específicos, validación MIT sin OTID contra Whitelist, y mapeo de rechazos por bloqueo temporal.</t>
  </si>
  <si>
    <t>88 reglas BPC divididas entre SV Frontend y Fraud Management [RF-06a Acuerdo S3]. Módulo 1: rechazo con código ISO (BIN desconocido ISO 14, robada ISO 43, extraviada ISO 41) [RN-HU-025]. MIT sin OTID: Regla 45 vs Whitelist + umbrales Regla 88 [RN-HU-026]. Sin afectación contable hasta batch cierre de día. Alerta 000916 por bloqueo temporal [RN-OP-AU-01/02].</t>
  </si>
  <si>
    <t>Smart Vista (Autorizador BPC)</t>
  </si>
  <si>
    <t>Administrador de Tarjetas / BPC</t>
  </si>
  <si>
    <t>Corazón del procesamiento transaccional TDC. Sin reglas del autorizador no puede operar el procesador.</t>
  </si>
  <si>
    <t>SmartVista / E-global / BPC</t>
  </si>
  <si>
    <t>HDU-SMART-R4-12</t>
  </si>
  <si>
    <t>Parametrizar límite de saldo a favor.</t>
  </si>
  <si>
    <t>Interfaz de administración para configurar el parámetro único de límite de saldo a favor por TDC (monto o % de la línea), con switch on/off para TDC clásica 4900 y propagación consistente a todos los canales.</t>
  </si>
  <si>
    <t>Parámetro único: monto o % sobre línea de crédito. Switch apagar/prender para TDC clásica (4900); extensible a legado [RF-25]. Aplica a productos 6001 y 4900. Propagación automática a todos los canales. Solo rol autorizado puede modificar [RN-HU-021].</t>
  </si>
  <si>
    <t>Smart Vista (todos los canales)</t>
  </si>
  <si>
    <t>Área de Negocio / Administrador</t>
  </si>
  <si>
    <t>Requisito regulatorio de CNBV/Auditoría. Parámetro base que habilita las validaciones en HDU-13 y -15.</t>
  </si>
  <si>
    <t>HDU-SMART-R4-13</t>
  </si>
  <si>
    <t>Validar límite  por línea de crédito.</t>
  </si>
  <si>
    <t>Validación transaccional del límite de saldo a favor según la línea: tope fijo $15,000 para líneas &lt;$25,000; 20% para líneas ≥$25,000. Aplica acumulado mensual. Rechaza pago/depósito que excede el tope.</t>
  </si>
  <si>
    <t>Límite dinámico: $15,000 fijo (líneas ≤$24,999) o 20% de línea (líneas ≥$25,000) [RF-05 Acuerdo S3, RN-OP-APP-21]. Acumulado o en una sola exhibición. Rechazo si inicio de periodo ya con límite alcanzado. Conectado al HUB de Pagos. Reportería desde SV [RN-HU-022].</t>
  </si>
  <si>
    <t>Smart Vista (todos los canales de pago)</t>
  </si>
  <si>
    <t>Cliente Final / Sistema</t>
  </si>
  <si>
    <t>Obligatorio regulatorio. Sin esta validación el banco queda expuesto a mal uso de saldos a favor.</t>
  </si>
  <si>
    <t>SmartVista</t>
  </si>
  <si>
    <t>HDU-SMART-R4-14</t>
  </si>
  <si>
    <t>Excluir abonos bancarios del límite.</t>
  </si>
  <si>
    <t>Los abonos originados por el banco (aclaraciones, correcciones, reversos, abonos CAT) no están sujetos al límite de saldo a favor y se procesan libremente sin sumar al tope del cliente.</t>
  </si>
  <si>
    <t>Abonos del banco (aclaración/corrección/reverso/CAT) exentos del límite [RN-OP-S3-01]. No suman al saldo a favor para efectos del tope. NOTA: Confirmado por negocio que se desestima para R4 y pasa al siguiente release.</t>
  </si>
  <si>
    <t>Área de Negocio / Sistema</t>
  </si>
  <si>
    <t>Desestimado para R4 por negocio. Candidato R4.5/R5.</t>
  </si>
  <si>
    <t>HDU-SMART-R4-15</t>
  </si>
  <si>
    <t>Mostrar mensaje por límite alcanzado.</t>
  </si>
  <si>
    <t>Mensaje homologado exacto al rechazar pagos/depósitos por límite de saldo a favor: 'No se puede completar la transacción. Límite de saldo a favor alcanzado.' Aplica en App, SIWEB, ATM, BPI y SPEI/corresponsales.</t>
  </si>
  <si>
    <t>Mensaje exacto homologado en todos los canales [RN-HU-022/023/024/065-068]. Frontend deshabilita 'Otra cantidad' para evitar Defecto 748001 [RN-OP-SF-02]. SPEI/corresponsales: rechaza, regresa fondos al emisor sin notificar al cliente [RN-HU-069/070]. Sin conteo de intentos en R4 [RN-OP-S3-02].</t>
  </si>
  <si>
    <t>App, SIWEB, ATM, BPI, SPEI, Corresponsales</t>
  </si>
  <si>
    <t>Cliente Final / Canales</t>
  </si>
  <si>
    <t>Gate de experiencia transversal. Mensaje inconsistente entre canales expone a multa BANXICO y reclamos de clientes.</t>
  </si>
  <si>
    <t>Transversal (SV + canales)</t>
  </si>
  <si>
    <t>HDU-SMARTVISTA-R4-16</t>
  </si>
  <si>
    <t>Configurar campañas de compras diferidas.</t>
  </si>
  <si>
    <t>Configuración de campañas de Compras Diferidas (MCI) en Smart Vista: atributo permanente por toda la vida de la cuenta, campañas temporales con tasa promocional dentro de vigencia y portafolio elegible. Split: MSI libera en R4 con pruebas integrales; MCI solo backend en R4, consumo App en R4.5.</t>
  </si>
  <si>
    <t>Atributo permanente independiente de segmentación inicial [DEF RF-4 MCI]. Campaña temporal: tasa solo dentro de vigencia/portafolio [RN-HU-048]. Fuera del portafolio: no aplica la tasa. Split confirmado S4/S5: MSI solo pruebas en R4, MCI backend R4/App R4.5 [RN-OP-S4-02/03].</t>
  </si>
  <si>
    <t>Administrador de Producto</t>
  </si>
  <si>
    <t>Prerequisito para compras diferidas MCI/MSI. Sin configuración de campañas no puede ofrecerse el diferimiento.</t>
  </si>
  <si>
    <t>HDU-SMART-R4-17</t>
  </si>
  <si>
    <t>Calcular oferta de compra diferida.</t>
  </si>
  <si>
    <t>Cálculo de la oferta de diferimiento para compras elegibles (&gt;$1,000, no parcializadas, del periodo actual o último): plazos 3, 6, 9, 12, 18 y 24 meses con cuota mensual, capital e intereses. Validación de línea disponible neta al confirmar.</t>
  </si>
  <si>
    <t>Elegibilidad: compra &gt;$1,000, no parcializada, del periodo o último [RN-HU-049-053]. Plazos 3/6/9/12/18/24 meses con cuota mensual e intereses [DEF RF-4]. Validación de línea neta al swipe/token [RN-OP-S4-01]. Sin sobregiro salvo capitalización de intereses [RN-OP-S4-11]. Desglose capital+intereses antes de confirmar. Umbral resuelto en $1,000.</t>
  </si>
  <si>
    <t>Smart Vista (motor de cálculo)</t>
  </si>
  <si>
    <t>Cliente Final TDC</t>
  </si>
  <si>
    <t>Núcleo funcional del diferimiento. Sin cálculo correcto no puede presentarse ni aplicarse ningún plan.</t>
  </si>
  <si>
    <t>HDU-SMART-R4-18</t>
  </si>
  <si>
    <t>Aplicar plan MCI/MSI a compra.</t>
  </si>
  <si>
    <t>Aplicación del plan de compras diferidas en línea (inmediata) con impacto de saldo, cuenta y estado. Por cada movimiento diferido se crea un Pago Fijo independiente; abono inverso reclasifica al grupo contable 13; intereses cobrados solo en fecha de corte.</t>
  </si>
  <si>
    <t>Aplicación en línea, no esperar cierre contable [DEF RF-4]. Producto Pago Fijo independiente por movimiento; saldo retenido = suma capital+intereses. Abono inverso reclasifica a grupo 13, no recircula a 2402/Eglobal [RN-OP-S4-04/05]. Intereses solo en corte [RN-OP-S4-06]. TRNT exacta pendiente guía contable formal.</t>
  </si>
  <si>
    <t>Impacto contable estructural. Requiere validación de normatividad contable (confirmada en sesión).</t>
  </si>
  <si>
    <t>SmartVista / Contabilidad</t>
  </si>
  <si>
    <t>HDU-SMART-R4-19</t>
  </si>
  <si>
    <t>Aplicar pagos anticipados a pagos fijos.</t>
  </si>
  <si>
    <t>Pago anticipado parcial aplicado directo al capital de una compra diferida, reduciendo el plazo (no la mensualidad). Selección de compra específica. No exime la siguiente mensualidad. Registro via transacción SIWEB 623.</t>
  </si>
  <si>
    <t>Pago a capital reduce plazo, no monto de mensualidad [RN-OP-S4-07]. Sin límite de pagos parciales por corte. No exime siguiente mensualidad. Transacción SIWEB 623 'PAGO CGO A CTA DE CREDISOLUCIONES'. Pago directo a productos MSI/MCI (6900/8900).</t>
  </si>
  <si>
    <t>Smart Vista, SIWEB, App</t>
  </si>
  <si>
    <t>Cliente Final TDC / Ejecutivo de Sucursal</t>
  </si>
  <si>
    <t>Funcionalidad de valor para el cliente. Sin adelantos parciales, el diferimiento pierde flexibilidad competitiva.</t>
  </si>
  <si>
    <t>HDU-SMART-R4-20</t>
  </si>
  <si>
    <t>Liquidar totalmente compras diferidas.</t>
  </si>
  <si>
    <t>Liquidación total de compra diferida: capital pendiente + intereses devengados sin cobrar intereses futuros. Al liquidar, el pago fijo se cancela automáticamente. App solo permite liquidación total (no parcial).</t>
  </si>
  <si>
    <t>Monto = capital pendiente + intereses devengados, sin intereses futuros [RN-HU-058, RN-OP-S4-06]. Cancelación automática del pago fijo al liquidar [DEF RF-6]. Transacción SIWEB 623. App SOLO permite liquidación total, sucursal permite parcial y total [RN-HU-059]. Recálculo de intereses MCI para no cobrar no devengados.</t>
  </si>
  <si>
    <t>Complemento crítico del diferimiento. Sin liquidación total no se puede cerrar el ciclo del pago fijo.</t>
  </si>
  <si>
    <t>HDU-SMART-R4-21</t>
  </si>
  <si>
    <t>Cancelar compras diferidas en línea.</t>
  </si>
  <si>
    <t>Cancelación en línea del pago fijo desde el mismo día de apertura. Cancelación centralizada por impago (2 meses consecutivos) o aclaración de cargo no reconocido sin validación de identidad. Cargo en una exhibición al revolvente. Solo aplica a digital 4900.</t>
  </si>
  <si>
    <t>Cancelación posible desde el día de apertura [DEF RF-7]. Centralizada por 2 impagos consecutivos o aclaración, sin validación de identidad [RF-18/DEF RF-7]. Cargo 'Cargo por cancelación de CrediSoluciones'. Solo tarjetas digitales 4900 [RN-OP-S10-05]. NOTA: Estrategia E2E difiere RF-18 a R5 — validar con negocio.</t>
  </si>
  <si>
    <t>Cliente Final / Sistema (centralizado)</t>
  </si>
  <si>
    <t>Funcionalidad importante pero con riesgo de alcance: RF-18 en tensión entre R4 y R5. Requiere decisión de negocio.</t>
  </si>
  <si>
    <t>HDU-APP-R4-01</t>
  </si>
  <si>
    <t>APP</t>
  </si>
  <si>
    <t>Mostrar módulo TDC en home APP.</t>
  </si>
  <si>
    <t>Con TDC activa (BIN 4900 o migrada a SV), el Home 'Cuentas' renderiza el módulo 'Tarjetas de Crédito' con Card TDC, Botonera Central e Inferior. Sin TDC, el módulo no se renderiza. Tap en card navega al detalle. Tipo de plástico resuelto por atributo Classification (F/D), no por BIN.</t>
  </si>
  <si>
    <t>Aplica a BIN 4900 o migradas a SV. Card física: número, saldo, límite. Card digital: CVV dinámico y vencimiento. Tipo resuelto por Classification F/D, no por BIN [RN-OP-APP-01/RF-07a]. Sin TDC aplicable: módulo no se renderiza.</t>
  </si>
  <si>
    <t>App BanCoppel</t>
  </si>
  <si>
    <t>Punto de entrada de toda la experiencia TDC en canal digital. Prerequisito de todas las HUs de App.</t>
  </si>
  <si>
    <t>App BanCoppel / SmartVista</t>
  </si>
  <si>
    <t>HDU-APP-R4-02</t>
  </si>
  <si>
    <t>Aplicar convivencia de estados TDC.</t>
  </si>
  <si>
    <t>Matriz de convivencia de estados física/digital sobre la misma línea: Activa (00), Inactiva (14 física/12 digital), Bloqueo App (20), Bloqueo Prevención (21), Reportada/cancelada (43). Diferenciación visual clara y estados finales no reversibles.</t>
  </si>
  <si>
    <t>Catálogo unificado de estatus: 00 activa, 12 digital no activada, 14 FORCED PIN CHANGE (física), 20 bloqueo App, 21 bloqueo prevención, 43 cancelada. Diferenciación visual física vs digital por icono/etiqueta/color. Estado 43 no reversible. Estado resuelto por deviceStatus/Classification.</t>
  </si>
  <si>
    <t>Experiencia correcta diferenciada física/digital. Errores en estados generan reclamos de clientes.</t>
  </si>
  <si>
    <t>HDU-APP-R4-03</t>
  </si>
  <si>
    <t>Controlar botoneras dinámicas del home.</t>
  </si>
  <si>
    <t>Botoneras dinámicas del Home según feature flags y estatus. Si API no responde con datos válidos: se oculta la botonera y se despliega alerta 707. Con agingPeriod&gt;0: solo se habilita recepción de pagos. Opciones únicas por línea mostradas una sola vez.</t>
  </si>
  <si>
    <t>Botoneras según feature flags y estatus. Fallo de API → oculta botonera + alerta 707 regresa al login [RN-OP-APP-05]. agingPeriod&gt;0 inhabilita compras/disposiciones, solo habilita pagos [RN-OP-APP-11/12]. Etapas mora: E1(0-1), E2(2-3), E3(≥4). Opciones por línea una sola vez [DEF RF-2].</t>
  </si>
  <si>
    <t>Comportamiento correcto ante mora y fallas. Crítico para prevención de fraude y experiencia de cliente.</t>
  </si>
  <si>
    <t>HDU-APP-R4-04</t>
  </si>
  <si>
    <t>Mostrar submódulo de tarjetas asociadas.</t>
  </si>
  <si>
    <t>Submódulo 'Mis tarjetas asociadas' con visualización dual (física + digital) o única. Cada tarjeta con acciones de bloquear/desbloquear; movimientos por tarjeta y consolidados. Activación pendiente de digital no enrolada (estatus 12).</t>
  </si>
  <si>
    <t>Visualización dual o única según lo que tenga el cliente. Bloquear/desbloquear por tarjeta. Movimientos separados y consolidados. Opciones por línea (disposición, pago, domiciliación, EDC) una sola vez. Con una sola tarjeta, Home sin cambios vs producción. Digital estatus 12: botón 'Activar Digital'. Física estatus 14: leyenda 'Asigna NIP en ATM'.</t>
  </si>
  <si>
    <t>Gestión completa de plásticos desde App. Prerequisito para bloqueo, desbloqueo y eliminación de digital.</t>
  </si>
  <si>
    <t>HDU-APP-R4-05</t>
  </si>
  <si>
    <t>Visualizar detalle de tarjeta TDC.</t>
  </si>
  <si>
    <t>Detalle de tarjeta física o digital con datos y estado actual. Revelación de número completo/CVV requiere 2FA/token (PCI-DSS). Bloqueo temporal de plástico no interrumpe cargos recurrentes/domiciliaciones. Defecto técnico: ownFunds mal mapeado a paymentType, pendiente corrección.</t>
  </si>
  <si>
    <t>Revelación número/CVV exige 2FA/token [RN-HU-028 PCI-DSS]. Copia de datos y encendido/apagado del plástico desde detalle. Apagado de plástico NO interrumpe cargos recurrentes/domiciliaciones [RF-08]. Defecto técnico: ownFunds→paymentType mal mapeado, pendiente tickets BIAN.</t>
  </si>
  <si>
    <t>Seguridad PCI-DSS en revelación de datos sensibles. Defecto técnico identificado que debe resolverse antes de SIT.</t>
  </si>
  <si>
    <t>HDU-APP-R4-06</t>
  </si>
  <si>
    <t>Controlar estado de acciones por CVV.</t>
  </si>
  <si>
    <t>Regla de seguridad: controla el estado de botones/acciones sensibles mientras el CVV dinámico de la tarjeta digital está visible. La tarjeta física no tiene CVV dinámico. El 8° dígito del BIN 426807 producto 11 distingue digital (0-4) de física (5-9).</t>
  </si>
  <si>
    <t>CVV dinámico solo en digital, física no [RF-08]. Botones sensibles controlados mientras CVV visible. Identificación por 8° dígito: 0-4=digital, 5-9=física [RN-OP-APP-02]. Terminaciones de física y digital siempre distintas aunque compartan cuenta [RN-OP-APP-01].</t>
  </si>
  <si>
    <t>Regla de seguridad que previene exposición innecesaria de datos sensibles.</t>
  </si>
  <si>
    <t>HDU-APP-R4-07</t>
  </si>
  <si>
    <t>Consultar movimientos TDC últimos 30 días.</t>
  </si>
  <si>
    <t>Listado de movimientos por periodo (hoy, 7 días, 30 días), del más reciente al más antiguo. Etiqueta 'En proceso' para no conciliadas (amountHoldPlaced=true). Rango máximo 30 días por llamada API; para más redirige a descargar EDC. Movimientos del banco sin indicador físico/digital.</t>
  </si>
  <si>
    <t>Periodos: hoy, 7 días, 30 días. Orden: más reciente→más antiguo. Indicador físico/digital por transacción. 'En proceso' en tiempo real cuando amountHoldPlaced=true [RN-OP-APP-09]. Tope 30 días, más → descargar EDC [RN-OP-APP-10]. Movimientos de banco sin indicador [RN-OP-APP-06]. API getTransactions v22.</t>
  </si>
  <si>
    <t>Consulta de movimientos es funcionalidad básica de la tarjeta. Sin esto no puede salir a mercado abierto.</t>
  </si>
  <si>
    <t>HDU-APP-R4-08</t>
  </si>
  <si>
    <t>Mostrar detalle de movimiento TDC.</t>
  </si>
  <si>
    <t>Detalle de cada movimiento: fecha/hora exacta, comercio, monto, estado actual (En Proceso/Aprobada/Rechazada) e indicador físico/digital. Sin indicador 'días restantes' (retirado). Desde 'En Proceso'/'Aprobada' el cliente puede acceder a aclaración.</t>
  </si>
  <si>
    <t>Detalle: fecha/hora exacta, comercio, monto, estado, indicador físico/digital [DEF RF-3 Escenario 2]. Estados: En Proceso (PENDING_AUTH), Aprobada (SETTLED), Rechazada (REJECTED). Sin indicador 'días restantes' (acuerdo S10). Habilitador de aclaración desde En Proceso/Aprobada. RFC del comercio sin cierre formal.</t>
  </si>
  <si>
    <t>Detalle necesario para aclaraciones y transparencia. Acuerdo S10: eliminar indicador de días restantes ya incorporado.</t>
  </si>
  <si>
    <t>HDU-APP-R4-09</t>
  </si>
  <si>
    <t>Bloquear temporalmente tarjeta desde APP.</t>
  </si>
  <si>
    <t>Bloqueo temporal de tarjeta física o digital desde la App: cambia estatus a 20 en SmartVista, centralizado en tronco común (igual que CAT y Sucursal). Transacciones entrantes sobre tarjeta bloqueada son rechazadas. Cargos recurrentes continúan (a mover a release posterior).</t>
  </si>
  <si>
    <t>Bloqueo temporal estatus 20, centralizado en tronco común [RN-OP-S6/RF-10]. Aplica física y digital. Transacciones entrantes rechazadas por autorizador [RN-HU-031]. Registro con fecha, hora, canal + notificación al cliente. Recurrentes/domiciliaciones continúan en backoffice (a release posterior).</t>
  </si>
  <si>
    <t>App BanCoppel, SmartVista</t>
  </si>
  <si>
    <t>Seguridad esencial para mercado abierto. Sin bloqueo desde App, el cliente queda desprotegido ante pérdida/robo.</t>
  </si>
  <si>
    <t>HDU-APP-R4-10</t>
  </si>
  <si>
    <t>Desbloquear tarjeta temporal desde APP.</t>
  </si>
  <si>
    <t>Desbloqueo de tarjeta con bloqueo temporal reversible (estatus 20→00) desde App. No aplica para bloqueos definitivos (43) ni judiciales. Notificación al cliente del cambio de estado.</t>
  </si>
  <si>
    <t>Solo desbloquea bloqueos reversibles (estatus 20) [RN-HU-032]. No permite desbloquear definitivos (43) desde App. Bloqueos judiciales no reversibles en App [RN-OP-APP-15] — descartado para R4. Centralizado, mismo mecanismo que CAT/Sucursal. Notificación al cliente.</t>
  </si>
  <si>
    <t>Complemento del bloqueo. Sin desbloqueo el cliente queda atrapado en un estado que solo puede resolver en sucursal.</t>
  </si>
  <si>
    <t>HDU-APP-R4-11</t>
  </si>
  <si>
    <t>Eliminar tarjeta digital desde APP.</t>
  </si>
  <si>
    <t>Eliminación de tarjeta digital con 2FA. Solo la digital es eliminable desde App (la física se gestiona en sucursal). Elegibilidad: crédito vigente, agingPeriod=0. Al eliminar, suscripciones/recurrentes dejan de funcionar.</t>
  </si>
  <si>
    <t>2FA para eliminar [DEF RF-11]. Solo digital eliminable, física en sucursal [RN-OP-APP-04]. Crédito vigente, sin adeudos vencidos [RN-OP-APP-14/15]. agingPeriod&gt;0 bloquea [RN-HU-033/RN-OP-APP-11/12]. Al eliminar, suscripciones/recurrentes dejan de funcionar.</t>
  </si>
  <si>
    <t>Control de seguridad ante fraude. Sin eliminación de digital el cliente queda expuesto en compras online.</t>
  </si>
  <si>
    <t>HDU-APP-R4-12</t>
  </si>
  <si>
    <t>Generar nueva tarjeta digital.</t>
  </si>
  <si>
    <t>Generación inmediata de nueva tarjeta digital con número, vencimiento y CVV diferentes. Elegibilidad: crédito al corriente. Límites: máx 5 activas simultáneas y máx 3 reposiciones/vida de la cuenta. API bloquea botón al alcanzar el límite.</t>
  </si>
  <si>
    <t>Nueva digital instantánea con número/vencimiento/CVV distintos [DEF RF-11]. Crédito 'al corriente' (distinto de 'vigente' de eliminación). agingPeriod&gt;0 bloquea [RN-HU-034]. Máx 5 activas / máx 3 regeneraciones en toda la vida [RF-11 Acuerdo S6/S12]. API RecreCustomerCreditCard controla el contador.</t>
  </si>
  <si>
    <t>Permite al cliente continuar operando digitalmente tras eliminar o ante fraude. Cierra el ciclo de seguridad.</t>
  </si>
  <si>
    <t>HDU-APP-R4-13</t>
  </si>
  <si>
    <t>Informar impactos por tarjeta digital eliminada.</t>
  </si>
  <si>
    <t>Antes de eliminar la tarjeta digital, informar al cliente sobre cargos domiciliados, compras recurrentes (ej. Netflix) y saldo diferido activo (que se consolida en una exhibición al revolvente). Parte del flujo de eliminación con valor propio.</t>
  </si>
  <si>
    <t>Advertencia de recurrentes/domiciliados antes de eliminar [RN-OP-APP-13/14]. Mensaje: debe notificar a comercios afiliados. Si hay saldo diferido activo: notificar consolidación en una exhibición al revolvente [RN-OP-APP-16]. Regla nueva de advertencia de domiciliaciones (comentado en sesión).</t>
  </si>
  <si>
    <t>Previene reclamos post-eliminación por servicios cortados. Protección al cliente y reducción de atención a CAT.</t>
  </si>
  <si>
    <t>HDU-APP-R4-14</t>
  </si>
  <si>
    <t>Adelantar pago parcial desde APP.</t>
  </si>
  <si>
    <t>Adelanto parcial de compra diferida desde App: aplica directo a capital reduciendo el plazo. Selección de compra específica. No exime mensualidad. Rechazo si bloqueo 2/3/4 o mensualidades vencidas. NOTA: Comentarios indican posible exclusión por enfoque de canal.</t>
  </si>
  <si>
    <t>Aplica a capital, reduce plazo [RN-OP-S4-07]. No exime siguiente mensualidad. Selección de compra específica. Rechazo con bloqueo 2/3/4 o vencidos [RN-HU-073]. Transacción 623. NOTA: Comentarios del archivo Appwhere indican 'Se excluye HU ya que es enfoque a otro canal'.</t>
  </si>
  <si>
    <t>App BanCoppel, SIWEB</t>
  </si>
  <si>
    <t>Marcado como potencialmente excluido en el archivo Appwhere ('enfoque a otro canal'). Confirmar con track owner si aplica o se difiere.</t>
  </si>
  <si>
    <t>HDU-APP-R4-15</t>
  </si>
  <si>
    <t>Liquidar compra diferida desde APP.</t>
  </si>
  <si>
    <t>Liquidación total de compra diferida desde App. App solo permite total (no parcial). Recálculo: no cobra intereses futuros no devengados. Pago fijo se cancela automáticamente. NOTA: Similar a HDU-14, archivo indica posible exclusión.</t>
  </si>
  <si>
    <t>App SOLO permite liquidación total, no parcial [RN-HU-059]. Recálculo intereses: no cobrar no devengados [RN-HU-058/RN-OP-S4-06]. Pago fijo cancelado automáticamente. Transacción 623. NOTA: Archivo Appwhere indica 'Se excluye HU ya que es enfoque a otro canal'.</t>
  </si>
  <si>
    <t>Marcado como potencialmente excluido. Confirmar con track owner.</t>
  </si>
  <si>
    <t>HDU-APP-R4-16</t>
  </si>
  <si>
    <t>Cancelar compra diferida desde APP.</t>
  </si>
  <si>
    <t>Cancelación de compra diferida desde App con validación de identidad (huella/token) ANTES de mostrar cualquier detalle. Cargo en una exhibición al revolvente. Solo tarjetas digitales 4900. NOTA: Estrategia E2E difiere RF-18 a R5 — riesgo de alcance.</t>
  </si>
  <si>
    <t>Validación de identidad ANTES de mostrar detalle credisoluciones [RN-HU-062]. Cargo en una exhibición. Saldo (capital+intereses+IVA) traslado al revolvente [RF-18]. Solo digital 4900 [RN-OP-S10-05]. Notificación de consolidación [RN-OP-APP-16]. Estrategia E2E difiere RF-18 a R5. NOTA: Archivo indica 'Se excluye HU ya que es enfoque a otro canal'.</t>
  </si>
  <si>
    <t>Riesgo de alcance doble: posible exclusión por canal Y diferimiento a R5 por Estrategia E2E. Requiere decisión explícita de negocio.</t>
  </si>
  <si>
    <t>HDU-APP-R4-17</t>
  </si>
  <si>
    <t>Visualizar y actualizar en APP BanCoppel los saldos y montos requeridos de pago después de que el cliente realiza un abono a su Tarjeta de Crédito.</t>
  </si>
  <si>
    <t>La App muestra pago mínimo, PPNGI y saldo a la fecha actualizados después de que un pago sea aplicado. Cálculo en middleware: máx(0, PM_corte - totalPayments) y máx(0, PPNGI_corte - totalMatPayments). Latencia de actualización: ~5 min SPEI/ventanilla, 12-24h interbancarios.</t>
  </si>
  <si>
    <t>Pago mínimo actualizado = máx(0, PM_corte - totalMADPayments). PPNGI actualizado = máx(0, PPNGI_corte - totalTADPayments). Ningún monto en negativo. Pago mayor al saldo: excedente como saldo a favor positivo. App conserva última info disponible mientras pago no posteado. Comunicar latencia por canal. Campos totalPayments/totalMatPayments pendientes de validación técnica de contrato API. HU adicional confirmada en S12.</t>
  </si>
  <si>
    <t>HU adicional de alcance confirmada en S12. Evita pagos duplicados por información desactualizada. Validación técnica de campos API pendiente.</t>
  </si>
  <si>
    <t>App BanCoppel / SmartVista / Middleware</t>
  </si>
  <si>
    <t>HDU-APP-R4-18</t>
  </si>
  <si>
    <t>Validación de respaldo en middleware ante depósitos que exceden el saldo a favor.</t>
  </si>
  <si>
    <t>Validación de respaldo a nivel API Gateway/middleware independiente del frontend. Consulta parámetro vigente y acumulado del mes calendario antes de impactar SmartVista. Si la regla se rompe, la API aborta la operación y retorna código de rechazo [RN-HU-023].</t>
  </si>
  <si>
    <t>Validación independiente del frontend. Consulta parámetro y acumulado mensual antes de impactar SV. Si regla se rompe: API aborta, retorna código rechazo, SV no se afecta [RN-HU-023]. Mensaje homologado 'No se puede completar la transacción. Límite de saldo a favor alcanzado.'</t>
  </si>
  <si>
    <t>App (Middleware / API Gateway)</t>
  </si>
  <si>
    <t>Sistema / Middleware</t>
  </si>
  <si>
    <t>Segunda línea de defensa regulatoria. Previene bypass del frontend que podría romper el límite en el core.</t>
  </si>
  <si>
    <t>Middleware / API Gateway / SmartVista</t>
  </si>
  <si>
    <t>HDU-APP-R4-19</t>
  </si>
  <si>
    <t>Mensaje de restricción de saldo a favor al pagar TDC desde la App.</t>
  </si>
  <si>
    <t>Mensaje claro al cliente cuando su pago (cuenta débito propia o transferencia manual) generará saldo a favor superior al límite. Flujo de pago se cancela inmediatamente al presionar 'Pagar'/'Continuar'. Mensaje exacto homologado igual a SV y SIWEB.</t>
  </si>
  <si>
    <t>Aplica a pagos con cuentas débito propias y transferencias manuales. Flujo cancela inmediatamente al presionar 'Pagar'/'Continuar' [RN-HU-066]. Mensaje exacto homologado igual que SV (HDU-SM-15) y SIWEB. Mensaje pendiente confirmación UX: 'Ingresa un monto menor que no supere tu limite de saldo a favor'.</t>
  </si>
  <si>
    <t>Consistencia del mensaje de rechazo en el canal digital. Error de UX en este mensaje genera reclamos.</t>
  </si>
  <si>
    <t>HDU-APP-R4-20</t>
  </si>
  <si>
    <t>Validación preventiva del input "Otra cantidad" ante saldo a favor.</t>
  </si>
  <si>
    <t>El campo 'Otra cantidad' se deshabilita preventivamente cuando el monto capturado generaría saldo a favor por encima del límite (primera capa de defensa, antes del middleware). Evita el Defecto 748001.</t>
  </si>
  <si>
    <t>Límite dinámico: $15,000 (líneas ≤$24,999) o 20% de línea (líneas ≥$25,000). Si pago excede crédito utilizado: Pago Mínimo y PPNGI muestran $0.00, excedente como Saldo a Favor [RN-OP-APP-21]. Bloqueo preventivo del input evita Defecto 748001 (errores tipo 'Error 1200'/BD). Primera capa antes de middleware (HDU-18).</t>
  </si>
  <si>
    <t>Previene defecto conocido 748001. Primera capa de defensa en UX antes del middleware.</t>
  </si>
  <si>
    <t>HDU-CAT-R4-01</t>
  </si>
  <si>
    <t>CAT</t>
  </si>
  <si>
    <t>Alta producto 4900 en menú IVR.</t>
  </si>
  <si>
    <t>Alta del producto 4900 en el menú IVR del 800 BanCoppel con opciones 1-6. IVR acepta cuenta contrato a 18 dígitos (vs 12 del legado). Canal IVR parametrizado desde cero en SmartVista. Item 4 'Enviar CLABE por SMS' deshabilitado para 4900.</t>
  </si>
  <si>
    <t>Opciones 1-6 en menú IVR [DEF RF-13]. Cuenta contrato a 18 dígitos (vs 12 legado) [RN-OP-CAT-06]. Canal IVR parametrizado desde cero en SV [Comentado en sesión]. Item 4 CLABE por SMS deshabilitado para 4900 [RN-OP-CAT-07]. Validación ANI: coincidencia habilita consulta automática [RN-OP-CAT-01].</t>
  </si>
  <si>
    <t>CAT (IVR)</t>
  </si>
  <si>
    <t>Cliente Final BanCoppel</t>
  </si>
  <si>
    <t>Prerequisito de atención telefónica para clientes TDC 4900. Sin esto, CAT no puede dar servicio a mercado abierto.</t>
  </si>
  <si>
    <t>CAT / SmartVista (IVR)</t>
  </si>
  <si>
    <t>HDU-CAT-R4-02</t>
  </si>
  <si>
    <t>Rutar opciones IVR de atención TDC.</t>
  </si>
  <si>
    <t>Enrutamiento de opciones IVR hacia el ejecutivo o servicio correspondiente. Sin coincidencia ANI: transferencia directa al ejecutivo con batería de preguntas. Consulta de saldos/movimientos por cuenta contrato de 18 dígitos para incluir histórico completo.</t>
  </si>
  <si>
    <t>Sin coincidencia ANI: transfiere al ejecutivo, bloquea consultas automáticas [RN-OP-CAT-02]. Ejecutivo aplica batería de preguntas antes de consulta [RN-OP-CAT-03]. Consulta por 18 dígitos incluye comisiones/cargos de tarjetas antiguas [RN-OP-CAT-11]. Knockouts RN-HU-035..040.</t>
  </si>
  <si>
    <t>Depende de HDU-CAT-01. Enrutamiento correcto es prerequisito de toda la atención telefónica.</t>
  </si>
  <si>
    <t>HDU-CAT-R4-03</t>
  </si>
  <si>
    <t>Identificar cliente Apolo en CAT.</t>
  </si>
  <si>
    <t>Identificación del cliente originado en APOLO/4900 en ICCAT mediante batería de preguntas aleatorias Factor 1. Enmascaramiento de número de tarjeta (solo últimos 4 dígitos), muestra tipo de producto y estatus. Obligatorio mostrar 18 dígitos del crédito.</t>
  </si>
  <si>
    <t>Batería de preguntas Factor 1 aleatoria para clientes APOLO [DEF RF-14]. Clientes no-APOLO: autenticación estándar [RF-14 Escenario 3]. Enmascaramiento de número (últimos 4 dígitos), tipo y estatus [RN-OP-S10-04]. 18 dígitos del crédito obligatorios. Actualización de contacto en sucursal sincroniza en Informix sin desfase batch [RF-14].</t>
  </si>
  <si>
    <t>CAT (ICCAT)</t>
  </si>
  <si>
    <t>Ejecutivo CAT</t>
  </si>
  <si>
    <t>Identificación correcta es prerequisito para toda atención CAT de clientes 4900/APOLO.</t>
  </si>
  <si>
    <t>CAT / ICCAT / Apolo</t>
  </si>
  <si>
    <t>HDU-CAT-R4-04</t>
  </si>
  <si>
    <t>Mantener autenticación en misma llamada.</t>
  </si>
  <si>
    <t>Reutilización de autenticación durante la misma llamada activa con el mismo ejecutivo. Nueva autenticación requerida al finalizar la llamada o al transferir a otro ejecutivo. Tercer intento fallido del día bloquea la atención por el resto del día.</t>
  </si>
  <si>
    <t>Autenticación válida solo durante la misma llamada con el mismo ejecutivo. Nueva autenticación: al iniciar nueva llamada [RN-HU-042] o al transferir a otro ejecutivo [RN-HU-043]. 3er intento fallido del día bloquea y envía a sucursal [RN-HU-044]. Respuestas enmascaradas. Cada intento se audita en SV.</t>
  </si>
  <si>
    <t>Agilidad operativa en CAT. Sin persistencia de autenticación, el tiempo de atención aumenta y la experiencia se degrada.</t>
  </si>
  <si>
    <t>CAT / ICCAT / SmartVista</t>
  </si>
  <si>
    <t>HDU-CAT-R4-05</t>
  </si>
  <si>
    <t>Bloquear tarjeta por CAT.</t>
  </si>
  <si>
    <t>Bloqueo temporal (estatus 20) de tarjeta física o digital desde CAT a petición del cliente autenticado. Centralizado en tronco común igual que App y Sucursal. Para virtuales: solo bloqueo temporal (no cancelación por robo/extravío). Notificación por correo MAI_BDT_IC y SMS.</t>
  </si>
  <si>
    <t>Bloqueo estatus 20, centralizado [DEF RF-16/RN-OP-CAT-04]. Solo si cliente autenticado [RN-HU-045]. Para tarjetas virtuales: solo bloqueo temporal (20), NO cancelación 06/07 [RN-OP-CAT-08]. Estatus final 43 no modificable [RN-OP-CAT-09]. Notificación automática correo MAI_BDT_IC + SMS SMS_BDT_IC [RN-OP-CAT-10].</t>
  </si>
  <si>
    <t>CAT, SmartVista</t>
  </si>
  <si>
    <t>Seguridad de canal telefónico. Sin bloqueo CAT, el cliente debe acudir físicamente ante pérdida/sospecha.</t>
  </si>
  <si>
    <t>HDU-CAT-R4-06</t>
  </si>
  <si>
    <t>Desbloquear tarjeta por CAT.</t>
  </si>
  <si>
    <t>Desbloqueo temporal (estatus 20→00) desde CAT con validación obligatoria de código SMS OTP de 4 dígitos. Si SMS no llega: ejecutivo reenvía o cliente cancela con 1111. Código inválido/expirado rechaza el desbloqueo. Aplica para física y digital.</t>
  </si>
  <si>
    <t>Desbloqueo solo bloqueos reversibles (20→00). SMS OTP 4 dígitos obligatorio — revierte acuerdo S9 [RN-OP-S10-03]. Código inválido/expirado rechaza [RN-HU-046]. Reenvío disponible. 1111 cancela el trámite. Centralizado igual que App/Sucursal. Aplica a física y digital [RN-OP-CAT-04].</t>
  </si>
  <si>
    <t>Completa el ciclo de bloqueo/desbloqueo telefónico. OTP es la segunda capa de seguridad acordada en S10.</t>
  </si>
  <si>
    <t>HDU-CAT-R4-07</t>
  </si>
  <si>
    <t>Actualizar históricos CAT por cambio de estatus.</t>
  </si>
  <si>
    <t>Consulta del estatus actualizado de tarjetas en ICCAT tras bloqueos, desbloqueos, cancelaciones y reposiciones. Sin mostrar datos parciales en cambio fallido. Consulta histórica por cuenta clave de 18 dígitos con número enmascarado.</t>
  </si>
  <si>
    <t>Estatus actualizado de cada tarjeta tras cambios [DEF RF-16]. Cambio fallido: no mostrar datos parciales [RN-HU-012/013]. Cliente no autenticado: no mostrar información [RN-HU-047]. Consulta histórica por cuenta clave 18 dígitos. Número enmascarado últimos 4 [RN-OP-S10-02/04]. Motivos de cancelación granulares: Extraviada, Deterioro, Robada, Dañada.</t>
  </si>
  <si>
    <t>Visibilidad transversal del estado de tarjetas. Sin esto, el ejecutivo puede operar sobre estatus incorrectos.</t>
  </si>
  <si>
    <t>HDU-CAT-R4-08</t>
  </si>
  <si>
    <t>Consultar saldos y movimientos del producto 4900 por IVR.</t>
  </si>
  <si>
    <t>Consulta de saldos y movimientos del producto 4900 vía IVR tras autenticación. Usa cuenta/contrato de 18 dígitos. Fecha de referencia: si apertura anterior a corte → fecha de corte; si posterior → fecha de apertura. Transferencia al ejecutivo ante indisponibilidad.</t>
  </si>
  <si>
    <t>Reconocimiento del producto 4900 en IVR. Autenticación previa obligatoria. Consulta por cuenta/contrato 18 dígitos. Fecha de consulta: anterior al corte → fecha de corte; posterior → fecha de apertura. Servicio no disponible → transferencia al ejecutivo. Datos sensibles protegidos.</t>
  </si>
  <si>
    <t>CAT (IVR), SmartVista</t>
  </si>
  <si>
    <t>Servicio de autoatención en IVR. Sin saldos/movimientos en IVR, todos los clientes deben esperar a un ejecutivo.</t>
  </si>
  <si>
    <t>CAT / IVR / SmartVista</t>
  </si>
  <si>
    <t>HDU-CAT-R4-09</t>
  </si>
  <si>
    <t>Controlar datos inválidos e intentos fallidos en el IVR.</t>
  </si>
  <si>
    <t>Validación de formato y consistencia de datos en IVR. Registro de cada intento fallido. Bloqueo del autoservicio al alcanzar el umbral (3 intentos). Conservación de evidencia de auditoría. Enrutamiento al ejecutivo al alcanzar el límite.</t>
  </si>
  <si>
    <t>Validación de formato de datos (tarjeta, CLABE, teléfono). Registro de intento fallido por cliente y periodo. Máx 3 intentos → bloquea autoservicio y enruta según política. Auditoría conserva fecha, canal y resultado. Mensajes de error específicos por tipo de error.</t>
  </si>
  <si>
    <t>Control de seguridad para prevenir ataques de fuerza bruta en IVR. Gate de seguridad del canal.</t>
  </si>
  <si>
    <t>HDU-CAT-R4-10</t>
  </si>
  <si>
    <t>Gestionar intentos fallidos de autenticación en ICCAT.</t>
  </si>
  <si>
    <t>Conteo de intentos fallidos de autenticación a nivel cliente en ICCAT durante el periodo diario. Bloqueo al alcanzar el umbral (3 intentos), invitando a acudir a sucursal. Reutilización del contador entre llamadas del mismo periodo. Inicio de nuevo periodo sin borrar histórico.</t>
  </si>
  <si>
    <t>Conteo de intentos fallidos nivel cliente, periodo diario. 3er intento fallido del día → bloqueo del flujo + invitación a sucursal. Preguntas cambian en cada reintento sin repetirse. Reutiliza contador entre llamadas del mismo periodo. Nuevo periodo respeta parametrización sin borrar histórico.</t>
  </si>
  <si>
    <t>Seguridad de canal CAT. Previene suplantación de identidad telefónica.</t>
  </si>
  <si>
    <t>HDU-CAT-R4-11</t>
  </si>
  <si>
    <t>Consultar en CAT los productos y estatus de tarjetas del cliente.</t>
  </si>
  <si>
    <t>Consulta de productos TDC del cliente en CAT incluyendo el producto 4900, mostrando tarjeta física y digital como instrumentos independientes con estatus homologado, tipo de tarjeta y número enmascarado (últimos 4 dígitos). Sin datos parciales ante fallo de servicio.</t>
  </si>
  <si>
    <t>Muestra todos los TDC del cliente incluyendo 4900. Física y digital como instrumentos independientes con su propio estatus. Estatus homologado, tipo y últimos 4 dígitos. Refleja cambios confirmados por SV (bloqueo, desbloqueo, reposición, cancelación). Sin datos parciales ante fallo del servicio de consulta.</t>
  </si>
  <si>
    <t>CAT (ICCAT), SmartVista</t>
  </si>
  <si>
    <t>Capacidad transversal de CAT. Sin esta consulta, el ejecutivo no puede identificar qué tarjeta operar.</t>
  </si>
  <si>
    <t>HDU-CAT-R4-12</t>
  </si>
  <si>
    <t>Reportar robo, extravío, daño o vencimiento y cancelar el plástico desde CAT.</t>
  </si>
  <si>
    <t>Registro del motivo de reporte (robo, extravío, daño, vencimiento) y cancelación del plástico afectado. Solo cancela el plástico seleccionado sin modificar el otro instrumento. Registro de folio, fecha, canal, ejecutivo y estatus resultante. Refleja cambio en SV, CAT, App y SIWEB.</t>
  </si>
  <si>
    <t>Selección del instrumento y motivo: robo (07), extravío (06), daño (27), vencimiento. Solo plástico seleccionado se cancela. Folio, fecha, canal, ejecutivo y estatus resultante registrados. Cambio reflejado en SV+CAT+App+SIWEB tras confirmación. Informar al ejecutivo si transición no es válida o falla. Sin cancelación parcial.</t>
  </si>
  <si>
    <t>CAT (ICCAT), SmartVista, App, SIWEB</t>
  </si>
  <si>
    <t>Proceso de seguridad ante robo/extravío. Sin esto, el cliente puede quedar con tarjeta activa reportada como robada.</t>
  </si>
  <si>
    <t>HDU-SIWEB-R4-01</t>
  </si>
  <si>
    <t>SIWEB</t>
  </si>
  <si>
    <t>Adelantar pago parcial en SIWEB.</t>
  </si>
  <si>
    <t>Adelanto de pago parcial anticipado a compras diferidas desde ventanilla, directo a capital reduciendo el plazo. No exime la siguiente mensualidad. Transacción SIWEB 623. Bloqueo estricto si cliente tiene pagos vencidos (agingPeriod&gt;0).</t>
  </si>
  <si>
    <t>Aplica a capital, reduce plazo [RN-OP-S4-07]. No exime siguiente mensualidad [DEF RF-6]. Transacción SIWEB 623 'PAGO CGO A CTA DE CREDISOLUCIONES'. Pago directo a productos MSI/MCI (6900/8900). Bloqueo si agingPeriod&gt;0 [RN-OP-S10-01]. En sucursal aplica parcial Y total (a diferencia de App, solo total).</t>
  </si>
  <si>
    <t>SIWEB (Sucursal)</t>
  </si>
  <si>
    <t>Ejecutivo de Sucursal / Cajero</t>
  </si>
  <si>
    <t>Canal físico de servicio post-venta TDC. Funcionalidad core para atención en sucursal.</t>
  </si>
  <si>
    <t>SIWEB / SmartVista</t>
  </si>
  <si>
    <t>HDU-SIWEB-R4-02</t>
  </si>
  <si>
    <t>Liquidar compra diferida en SIWEB.</t>
  </si>
  <si>
    <t>Liquidación total de compra diferida desde ventanilla: capital pendiente + intereses devengados sin cobrar futuros. Pago fijo se cancela automáticamente. En sucursal aplica parcial y total (diferencia vs App). Transacción SIWEB 623.</t>
  </si>
  <si>
    <t>Monto = capital pendiente + intereses devengados, sin futuros [RN-HU-060/RN-OP-S4-06]. Cancelación automática del pago fijo. Transacción SIWEB 623. En sucursal aplica parcial y total [RN-HU-061]. Recálculo de intereses MCI para no cobrar no devengados.</t>
  </si>
  <si>
    <t>Ejecutivo de Sucursal</t>
  </si>
  <si>
    <t>Cierra el ciclo de diferimiento desde sucursal. Complemento de HDU-SIWEB-01.</t>
  </si>
  <si>
    <t>HDU-SIWEB-R4-03</t>
  </si>
  <si>
    <t>Cancelar compra diferida en SIWEB.</t>
  </si>
  <si>
    <t>Cancelación de compra diferida en sucursal con validación de identidad (huella) ANTES de mostrar cualquier detalle de MCI/MSI. Cargo en una exhibición. Sin cancelar si crédito vencido. Restricción cruzada con credisolucion de saldo total vigente.</t>
  </si>
  <si>
    <t>Validación de huella ANTES de mostrar detalle [RN-HU-063]. Cargo en una exhibición por monto restante. Sin cancelar con crédito vencido (comentado en sesión). Restricción cruzada: con credisolucion de saldo total vigente no se permite nuevo pago fijo [RN-HU-054..057]. Crédito vigente obligatorio.</t>
  </si>
  <si>
    <t>Control de seguridad en cancelación de diferimientos. Prerequisito la validación biométrica.</t>
  </si>
  <si>
    <t>HDU-SIWEB-R4-04</t>
  </si>
  <si>
    <t>Registrar efectos contables de pagos fijos.</t>
  </si>
  <si>
    <t>Registro de los efectos contables de pagos, liquidaciones y cancelaciones de compras diferidas en SIWEB (productos 6900/8900). Al cancelar: capital al revolvente, intereses devengados+IVA al revolvente. Reverso controlado ante falla contable.</t>
  </si>
  <si>
    <t>Asientos contables para productos 6900/8900. Al cancelar: capital+intereses devengados+IVA→revolvente [RF-18 Escenario 2]. Concepto 'Cargo por cancelación de CrediSoluciones'. Reverso/ajuste controlado ante falla contable [RN-OP-S4-09/RN-HU-064]. TRNT exacta pendiente de guía contable formal (VAL-13).</t>
  </si>
  <si>
    <t>SIWEB / Contabilidad</t>
  </si>
  <si>
    <t>Área Operativa / Contable</t>
  </si>
  <si>
    <t>Gate contable transversal. Sin registro correcto de asientos, hay descuadre contable.</t>
  </si>
  <si>
    <t>SIWEB / SmartVista / Contabilidad</t>
  </si>
  <si>
    <t>HDU-SIWEB-R4-05</t>
  </si>
  <si>
    <t>Validar el límite de saldo a favor en transacciones de caja.</t>
  </si>
  <si>
    <t>Validación del pago/depósito de TDC contra el límite centralizado de saldo a favor antes de contabilizarlo. Aplica a ventanilla en efectivo y cargo a cuenta. Rechazo completo si excede el límite, sin generar póliza parcial. Abonos por aclaración bancaria: decisión diferida a R4.5/R5.</t>
  </si>
  <si>
    <t>Consulta en SV el parámetro vigente antes de aplicar el pago. Regla acumulada todos los canales incluida ventanilla. Rechazo completo si excede el límite; no póliza parcial. Mensaje homologado al usuario de caja. Abonos por aclaración: decisión R4 vigente, exclusión diferida a R4.5/R5.</t>
  </si>
  <si>
    <t>SIWEB (Sucursal / Caja)</t>
  </si>
  <si>
    <t>Ejecutivo de Caja / Ventanilla</t>
  </si>
  <si>
    <t>Cierra el perímetro regulatorio de saldo a favor en el canal físico. Complementa HDU-SM-12/13/15.</t>
  </si>
  <si>
    <t>HDU-TDC-R4-04</t>
  </si>
  <si>
    <t>Apolo</t>
  </si>
  <si>
    <t>HDU-TDC-R4-10</t>
  </si>
  <si>
    <t>Solicitante TDC</t>
  </si>
  <si>
    <t>Apolo / Modyo</t>
  </si>
  <si>
    <t>HDU-TDC-R4-23</t>
  </si>
  <si>
    <t>HDU-TDC-R4-24</t>
  </si>
  <si>
    <t>Apolo / Frontend</t>
  </si>
  <si>
    <t>HDU-TDC-R4-26</t>
  </si>
  <si>
    <t>Apolo / SMS Gateway</t>
  </si>
  <si>
    <t>HDU-TDC-R4-27</t>
  </si>
  <si>
    <t>HDU-TDC-R4-05</t>
  </si>
  <si>
    <t>HDU-TDC-R4-13</t>
  </si>
  <si>
    <t>HDU-TDC-R4-34</t>
  </si>
  <si>
    <t>Sistema / SmartVista</t>
  </si>
  <si>
    <t>HDU-TDC-R4-14</t>
  </si>
  <si>
    <t>HDU-TDC-R4-16</t>
  </si>
  <si>
    <t>HDU-TDC-R4-21</t>
  </si>
  <si>
    <t>HDU-TDC-R4-07</t>
  </si>
  <si>
    <t>HDU-TDC-R4-08</t>
  </si>
  <si>
    <t>HDU-TDC-R4-01</t>
  </si>
  <si>
    <t>HDU-TDC-R4-06</t>
  </si>
  <si>
    <t>HDU-TDC-R4-17</t>
  </si>
  <si>
    <t>HDU-TDC-R4-18</t>
  </si>
  <si>
    <t>HDU-TDC-R4-19</t>
  </si>
  <si>
    <t>HDU-TDC-R4-20</t>
  </si>
  <si>
    <t>HDU-TDC-R4-25</t>
  </si>
  <si>
    <t>HDU-TDC-R4-03</t>
  </si>
  <si>
    <t>Obligatorio legal: el banco debe entregar copia del contrato. Evidencia de la relación contractual.</t>
  </si>
  <si>
    <t>Tipo Solución</t>
  </si>
  <si>
    <t xml:space="preserve">Complejidad Solución
</t>
  </si>
  <si>
    <t>Criticidad Negocio</t>
  </si>
  <si>
    <t>Épica:</t>
  </si>
  <si>
    <t>Gestión omnicanal de Tarjeta de Crédito R4 en Smart Vista, APP BanCoppel, CAT y SIWEB.</t>
  </si>
  <si>
    <t>Descripción:</t>
  </si>
  <si>
    <t>Habilitar la operación integral de la Tarjeta de Crédito R4 en Smart Vista, APP BanCoppel, CAT y SIWEB, homologando consultas, transacciones, seguridad y reglas de negocio para ofrecer una experiencia omnicanal segura y consistente.</t>
  </si>
  <si>
    <t>HDU ID</t>
  </si>
  <si>
    <t>Canal/Sistema</t>
  </si>
  <si>
    <t>Descripción corta</t>
  </si>
  <si>
    <t>Canal /  Requerimiento Funcional / Funcionalidad Asociada</t>
  </si>
  <si>
    <t>HU original</t>
  </si>
  <si>
    <t>Narrativa optimizada</t>
  </si>
  <si>
    <t>Criterios funcionales identificados</t>
  </si>
  <si>
    <t>Criterios de aceptación optimizados</t>
  </si>
  <si>
    <t>Condiciones</t>
  </si>
  <si>
    <t>DoR Funcional</t>
  </si>
  <si>
    <t>DoD Funcional</t>
  </si>
  <si>
    <t>Observaciones de entendimiento</t>
  </si>
  <si>
    <t>Quién validó / aprobó en sesión</t>
  </si>
  <si>
    <t>Fuente de refinamiento principal</t>
  </si>
  <si>
    <t>Comentarios</t>
  </si>
  <si>
    <t>Smart Vista/Req. Funcional 1 / Solicitud de Maquila automatizada/Layouts homologados y certificados para proveedores</t>
  </si>
  <si>
    <t>Solicitud de Maquila automatizada
 HU ORIGINAL — CITA TEXTUAL DEL DEF
 Fuente: Requisito funcional 28 – Automatización de Maquila, págs. 69-71
 HU Habilitar con los diferentes proveedores la emisión de maquila
 Como dueño de producto
 Quiero que exista un proceso automatizado para poder solicitar la emisión de tarjetas físicas
 Para Evitar desabasto en las sucursales</t>
  </si>
  <si>
    <t>Yo: Como área de suministros y administración de tarjetas
Quiero: contar con layouts homologados y certificados para proveedores de maquila
Para: emitir tarjetas del producto 4900 de forma controlada y trazable.</t>
  </si>
  <si>
    <t>• Layout único posicional/plano homologado para los 4 maquiladores habilitados (GID, Forza, TGS, Thomas Greg &amp; Sons) [RN-OP-MA-01].
 • Certificación del layout por proveedor: campos alfanuméricos validados para rechazar caracteres especiales no legibles por embozadoras (defecto ya corregido con GID, pendiente Forza/TGS/TGS) [RN-OP-MA-03].
 • Cifrado PGP por proveedor (llave propia) + HSM por tarjeta; validar vigencia de llaves antes de generar [RN-OP-MA-02].
 • Reprocesamiento de archivo con otra llave PGP sin perder ni alterar los números de tarjeta generados [RN-OP-MA-05 / RN-OP-MA-03].
 • Producto parametrizado exclusivamente 4900 en Smart Vista Back Office para R4 [RN-HU-005].
 CITA TEXTUAL DEL DEF
 Fuente: Requisito funcional 28 – Automatización de Maquila, págs. 69-71
 Solo aplicará temporalmente para el producto Tarjeta Digital 4900,
 El bin BIN correspondiente es 4268 0711
 Dado que este producto contará tanto con tarjeta física como digital, es necesario proceder con la certificación de los layouts de la solicitud de maquila con cada uno de los proveedores que le dan servicio a BanCoppel.
 FORZA ( es el primer proveedor que debemos de tocar base , y tiene un equipo TI ÁGIL)
 TGS ( mayor cantidad de tarjetas asignadas)
 TALES o Gemalto ( iniciará con productos tradicionales )
 - Solo aplica por el momento para el producto 4900</t>
  </si>
  <si>
    <t>CA01 - Layout homologado 
Dado que existe un layout posicional definido para emisión de tarjetas 4900
Cuando se configura para los proveedores autorizados (Giesecke Y Devrient  (GyD), Forza, TGS (Thomas Greg &amp; Sons)
Entonces el mismo layout queda disponible y certificado para todos sin variantes de formato
CA02 - Validación de vigencia de llaves 
Dado que se va a generar un archivo de maquila
Cuando las llaves criptográficas PGP del proveedor o HSM de la tarjeta no están vigentes
Entonces el sistema valida su vigencia y no permite continuar hasta regularizarlas
CA03 - Reproceso con otra llave PGP 
Dado que un archivo se cifró con la llave PGP de un proveedor equivocado
Cuando se detecta el error y se reprocesa con la llave correcta
Entonces el archivo se re-cifra sin perder ni alterar los números de tarjeta ya generados
CA04 - Rechazo de caracteres no embosables 
Dado que un campo alfanumérico del layout recibe caracteres especiales no legibles por la embosadora
Cuando se valida la solicitud antes de generar
Entonces el sistema rechaza el registro e informa el motivo
CA05 - Producto fuera de parametrización 
Dado que la solicitud llega con un producto distinto a 4900
Cuando se valida contra el catálogo parametrizado en SmartVista Back Office
Entonces el sistema no permite la creación de tarjetas (único producto parametrizado en R4)</t>
  </si>
  <si>
    <t>• Producto 4900 dado de alta y parametrizado en Smart Vista Back Office.
• Llaves criptográficas (PGP por proveedor, HSM por tarjeta) vigentes y cargadas.
• Proveedor a certificar seleccionado por el área de Suministros (decisión operativa, RN-OP-MA-01).
• El layout real cifrado no es accesible para Operaciones; la certificación la ejecuta el equipo técnico (Comentado en sesión).</t>
  </si>
  <si>
    <t xml:space="preserve">• Alcance trazado a RF-01 (DEF) y a HDU-MA-03-SV del análisis de sesión S1/S2.
• Canales asociados definido: Smart Vista.
• Reglas RN-OP-MA-01/02/03/05 documentadas; caracteres alfanuméricos y vigencia de llaves como validaciones bloqueantes.
• Dependencia externa: certificación con Forza (prioritario, TI ágil), TGS (mayor volumen) y Thomas Greg &amp; Sons.
• Escenarios positivo (layout homologado), negativo (llave vencida / carácter inválido) y alterno (reprocesar con otra llave) definidos.
</t>
  </si>
  <si>
    <t>• El layout homologado queda disponible y certificado para los 3 proveedores sin variantes de formato.
• El sistema valida vigencia de llaves PGP/HSM y bloquea la generación si alguna no está vigente.
• Un archivo cifrado con llave equivocada puede reprocesarse con la llave correcta conservando los números de tarjeta.
• Se rechazan caracteres especiales no embosables en campos alfanuméricos del layout.
• Canales asociados: Smart Vista</t>
  </si>
  <si>
    <t>Robustecida con acuerdos de sesión S1/S2 (2026-07-07). Reglas aplicables: RN-OP-MA-01 (layout único), RN-OP-MA-02 (vigencia de llaves), RN-OP-MA-03 (control de caracteres), RN-OP-MA-05 (reproceso PGP). Knockouts: RN-HU-004 (layout sin datos → no detona), RN-HU-005 (producto != 4900 → no crea). [SUPUESTO] Certificación por proveedor pendiente Forza/TGS/TGS; corrección alfanumérica ya hecha con GID (Comentado en sesión).
[Nota de fragmentación original] Se separa porque la certificación del layout y proveedores es una capacidad previa e independiente al cálculo, envío y seguimiento de maquila.</t>
  </si>
  <si>
    <t>Genaro Alberto Pérez Romero; Miguel Sánchez Hernández; Carlos Mario Sarmiento; Tomás Lara; Sergio Arellano Payán.</t>
  </si>
  <si>
    <r>
      <rPr>
        <u/>
        <sz val="9"/>
        <color rgb="FF467886"/>
        <rFont val="Carlito"/>
      </rPr>
      <t xml:space="preserve">15_Minuta_S1S2_SmartVista_Maquila_2026-07-07.md
</t>
    </r>
    <r>
      <rPr>
        <u/>
        <sz val="9"/>
        <color rgb="FF1F1F1F"/>
        <rFont val="Carlito"/>
      </rPr>
      <t>Alcance: Intersección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automatizada/Layouts homologados y certificados para proveedores.</t>
    </r>
  </si>
  <si>
    <t>SMART VISTA/Req. Funcional 1 /  Solicitud de Maquila automatizada/Consulta de inventario de tarjetas por sucursal</t>
  </si>
  <si>
    <t>Yo: Como usuario de suministros
Quiero: consultar el stock de tarjetas disponibles por sucursal
Para: evitar desabasto y planear solicitudes de maquila manual o automatizada.</t>
  </si>
  <si>
    <t>• Consulta de inventario por sucursal distinguiendo 'en existencia' (físicas en sucursal) vs. 'en ruta/por fabricar' en columnas separadas [RN-OP-MA-05].
 • El promedio de stock semanal se basa SOLO en existencias, sin considerar 'en ruta' ni 'por fabricar' [RN-HU-001].
 • Filtro por Tipo de Sucursal disponible (ej. valor 'CHICA') para diferenciar parámetros de reorden .
 • El inventario R4 vive enteramente del lado de Smart Vista/BPC; no se alimenta del sistema legado Macweb .
 • Detalle de lotes en proceso y existencia por producto/sucursal.
 CITA TEXTUAL DEL DEF
 Fuente: Requisito funcional 28 – Automatización de Maquila, págs. 69-71
 Debe existir una aplicación en donde el área de suministros pueda consultar el inventario de las sucursales en donde pueda visualizar un resumen de tarjetas en donde muestre:
 Número de sucursal
 Tipo de tarjeta .- donde puede ser crédito o débito ( por el momento solo aplica crédito)
 BIN . BIN a 8 dígitos
 Total de tarjetas no asignadas
 No de lotes disponibles
 - Deberá de existir un aplicativo en donde el área de suministros pueda conocer el inventario de cada tarjeta
 Escenario 6 Inventario de Tarjetas
 Dado que se van asignando tarjetas
 Cuando el área de operaciones requiere revisar la existencia de tarjeta
 Entonces debe de haber reportería en donde pueda consultar la existencia
 Y Podrá tener detalles de lo lotes en proceso</t>
  </si>
  <si>
    <t>CA01 - Consulta de existencia por sucursal 
Dado que un usuario de Suministros consulta el inventario de una sucursal
Cuando solicita el resumen de tarjetas
Entonces el sistema muestra existencia, en ruta y por fabricar en columnas separadas, con número de sucursal, tipo de tarjeta, BIN a 8 dígitos, total no asignadas y lotes disponibles
CA02 - Cálculo de stock solo sobre existencia 
Dado que la sucursal tiene tarjetas en ruta o por fabricar
Cuando se calcula el stock semanal disponible
Entonces el cálculo usa solo tarjetas existentes físicamente, sin considerar 'en ruta' ni 'por fabricar'
CA03 - Filtro por tipo de sucursal 
Dado que el usuario requiere segmentar el reporte
Cuando aplica el filtro Tipo de Sucursal (ej. 'CHICA')
Entonces el sistema devuelve el inventario filtrado por ese tipo de sucursal
CA04 - Inventario desde Smart Vista 
Dado que se consulta el inventario para R4
Cuando el sistema recupera los datos
Entonces la información proviene íntegramente de Smart Vista/BPC y no del legado Macweb</t>
  </si>
  <si>
    <t>• Usuario de Suministros autenticado con permisos de consulta de inventario.
• Inventario sincronizado en Smart Vista (dependiente de actualización de estatus en sucursal, (Comentado en sesion).
• Catálogo de tipos de tarjeta y sucursales cargado.</t>
  </si>
  <si>
    <t xml:space="preserve">• Alcance trazado a RF-01 (DEF) y HDU-MA-01-SV.
• Canales asociados: Smart Vista
• Regla de cálculo sobre existencias confirmada (RN-HU-001).
• Dependencia: exactitud del inventario ligada a la actualización de estatus por personal de sucursal (Comentado en sesión).
</t>
  </si>
  <si>
    <t>• La consulta muestra existencia real, en ruta y por fabricar en columnas separadas.
• El promedio de stock semanal se calcula solo sobre existencias.
• El filtro por Tipo de Sucursal opera y afecta la vista.
• La información se consulta desde Smart Vista sin dependencia de Macweb.
• Canales asociados: Smart Vista.</t>
  </si>
  <si>
    <t>Robustecida con S1/S2. Reglas: RN-OP-MA-05 (existencia vs. ruta), RN-HU-001 (promedio sólo existencias). Comentado en sesion(inventario depende de actualización manual en sucursal). Ruptura con Macweb confirmada .
[Nota de fragmentación original] Se fragmenta porque la consulta de inventario tiene valor propio y alimenta la decisión de maquila, sin ejecutar la emisión.</t>
  </si>
  <si>
    <t>15_Minuta_S1S2_SmartVista_Maquila_2026-07-07.md
Alcance: Intersección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automatizada/Consulta de inventario de tarjetas por sucursal.</t>
  </si>
  <si>
    <t>SMART VISTA/Req. Funcional 1 / Solicitud de Maquila automatizada/Cálculo de maquila con parámetros de abasto</t>
  </si>
  <si>
    <t>Yo: Como usuario de suministros
Quiero: calcular la cantidad de tarjetas a maquilar con parámetros de piso y abasto
Para: automatizar la reposición de inventario por sucursal.</t>
  </si>
  <si>
    <t>• Cálculo diario de reorden a las 6:00 AM en Smart Vista Back Office [RN-OP-MA-04].
 • Piso mínimo parametrizable por producto/sucursal (valor por defecto 4 semanas de stock) [RN-OP-MA-04](Comentado en sesión).
 • Semanas a dotar parametrizables de 1 a N (hoy topado a 3) [RN-OP-MA-04, (Comentado en sesión)].
 • Volumen redondeado a múltiplos de 250 plásticos [RN-OP-MA-11].
 • Consumo promedio calculado sobre mes calendario completo, no ventana fija de 4 semanas [RN-HU-002 / RN-HU-078].
 CITA TEXTUAL DEL DEF
 Fuente: Requisito funcional 28 – Automatización de Maquila, págs. 69-71
 Y Debe de poder realizar solicitud de maquila de manera periódica es decir en automático y en caso necesario se pueda solicitar a alguna sucursal en específico que requiera la maquila poder solicitarlo desde un aplicativo directamente.
 - Deberá de existir un proceso en el cual se pueda ejecutar de manera automática
 El proceso debe estar parametrizable para futuros productos. Las funcionalidades deben estar disponibles para 1.7 millones de clientes activos.</t>
  </si>
  <si>
    <t>CA01 - Cálculo diario de reorden 
Dado que es la corrida batch de las 6:00 AM en Smart Vista Back Office
Cuando se ejecuta el cálculo de reabastecimiento por sucursal/producto
Entonces el sistema calcula el volumen a maquilar según piso y semanas a dotar parametrizados
CA02 - Parametrización de piso y semanas 
Dado que el área de Suministros ajusta piso mínimo y semanas a dotar
Cuando guarda valores por producto y sucursal
Entonces el sistema acepta piso (por default 4 semanas)
CA03 - Redondeo a múltiplos de 250 
Dado que el cálculo arroja un volumen no múltiplo de 250
Cuando se genera la cantidad a solicitar
Entonces el sistema redondea la cantidad al múltiplo de 250 más cercano por restricción del maquilador
CA04 - Consumo sobre mes calendario 
Dado que un mes tiene más de 4 semanas (30-31 días)
Cuando se calcula el consumo promedio
Entonces el cálculo usa el mes calendario completo y no contempla el consumo con ventana fija de 4 semanas</t>
  </si>
  <si>
    <t>• Parámetros de piso y semanas a dotar configurados por producto/sucursal.
• Consumo histórico disponible (mes calendario completo).
• Ejecución batch diaria habilitada (6:00 AM).</t>
  </si>
  <si>
    <t>• Alcance trazado a RF-01 y HDU-MA-02-SV/HDU-MA-63-SV.
• Canales asociados: Smart Vista.
• Reglas RN-OP-MA-04/11 y RN-HU-002/078 documentadas.
• Escenarios: cálculo normal, mes con 5 semanas (defecto), redondeo a 250.</t>
  </si>
  <si>
    <t>• El reorden se calcula diariamente a las 6:00 AM.
• Piso (default 4 semanas) y semanas a dotar (1..N) son parametrizables por producto/sucursal.
• El volumen se redondea a múltiplos de 250 plásticos.
• El consumo se calcula sobre mes calendario completo.
• Canales asociados: SmartVista.</t>
  </si>
  <si>
    <t>Robustecida con S1/S2. Reglas: RN-OP-MA-04 (cadencia y piso parametrizable 4 semanas), RN-OP-MA-11 (múltiplos de 250), RN-HU-002/RN-HU-078 (mes calendario completo). (4 semanas, no 5). (topado hoy a 3 semanas, debe ser 1..N). Comentado en sesión 
[Nota de fragmentación original] Se separa porque el cálculo paramétrico es independiente del envío y debe ser probado con reglas matemáticas propias.</t>
  </si>
  <si>
    <t>15_Minuta_S1S2_SmartVista_Maquila_2026-07-07.md
Alcance: Intersección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automatizada/Cálculo de maquila con parámetros de abasto.</t>
  </si>
  <si>
    <t>SMARTVISTA/Req. Funcional 1 /  Solicitud de Maquila automatizada/Solicitud automatizada de maquila</t>
  </si>
  <si>
    <t>Yo: Como usuario de suministros
Quiero: confirmar y ejecutar solicitudes automatizadas de maquila
Para: procesar emisiones masivas conforme al inventario requerido.</t>
  </si>
  <si>
    <t>• Ejecución automatizada del reorden: la solicitud de maquila se detona con los datos calculados [RN-HU-004].
 • Rechazo de duplicidad: si ya existe una solicitud en el mismo layout, no se incluye la misma emisión [RN-HU-003].
 • Pre-asignación de proveedor por matriz de capacidades o campo abierto para selección manual de Suministros [RN-OP-MA-10].
 • Automatización pendiente en R4: paso 2 (generación/ejecución del archivo OCG vía Cron) y entrega final a Connect Direct (hoy 2 tickets manuales) (Comentado en sesión).
 • Réplica del RPA de reórdenes: correo diario a ~30 destinatarios usando el número de lote como referencia (Comentado en sesión).
 CITA TEXTUAL DEL DEF
 Fuente: Requisito funcional 28 – Automatización de Maquila, págs. 69-71
 - Solo aplica por el momento para el producto 4900
 - Deberá de existir un proceso en el cual se pueda ejecutar de manera automática
 - El área de suministros es quien deberá de llevar el control de las solicitudes de maquila y al proveedor de emisión
 Escenario 1 Solicitud de maquila exitoso
 Dado que se requiera una solicitud de maquila del sistema
 Cuando esta se procese se le debe de informar al área de suministros
 Y este cuente con los datos necesarios
 Entonces se deberá detonar el proceso de generación de maquila
 Escenario 2 Solicitud de maquila no exitoso
 Dado que se requiera una solicitud de maquila Cuando se ejecute el layout
 Y este NO cuente con los datos necesarios
 Entonces no se deberá detonar el proceso de generación de maquila
 Y se le informará al usuario si este fue procesado o no</t>
  </si>
  <si>
    <t xml:space="preserve">CA01 - Solicitud automatizada exitosa 
Dado que se requiere una solicitud de maquila del sistema y el layout cuenta con los datos necesarios
Cuando el proceso se ejecuta de forma automática
Entonces se detona el proceso de generación de maquila y se informa al área de Suministros
CA02 - Layout sin datos necesarios 
Dado que se ejecuta el layout de solicitud
Cuando el layout NO cuenta con los datos necesarios
Entonces no se detona la generación de maquila y se informa al usuario si fue procesado o no
CA03 - Rechazo de duplicidad 
Dado que ya existe una solicitud en el mismo layout
Cuando se intenta incluir la misma emisión
Entonces el sistema rechaza la duplicidad de emisión
</t>
  </si>
  <si>
    <t>• Cálculo de reorden ejecutado (HDU-03).
• Proveedor pre-asignado o seleccionado por Suministros.
• Layout con datos completos y válidos.</t>
  </si>
  <si>
    <t>• Alcance trazado a RF-01 y HDU-MA-02-SV.
• Canales asociados: Smart Vista
• Reglas RN-HU-003/004 y RN-OP-MA-10 documentadas.
• Dependencia: automatización de OCG (Cron) y Connect Direct; canal RPA de notificación (Comentado en sesión).
• Escenarios: solicitud exitosa, layout sin datos, duplicidad.</t>
  </si>
  <si>
    <t>• La solicitud automatizada se detona con los datos del reorden calculado.
• Si el layout no tiene los datos necesarios, no se detona y se informa al usuario.
• Se rechaza la duplicidad de una emisión ya solicitada en el mismo layout.
• El proveedor queda pre-asignado o disponible para selección manual.
• Canales asociados: Smart Vista.</t>
  </si>
  <si>
    <t>Robustecida con S1/S2. Reglas: RN-HU-003 (anti-duplicidad), RN-HU-004 (layout sin datos → no detona + informar), RN-OP-MA-10 (pre-asignación de proveedor). Gap técnico R4: automatizar OCG y Connect Direct  replicar RPA de reórdenes a ~30 destinatarios . SVBO→SVCG ya automatizado vía NFS+Cron (Comentado en sesión).
[Nota de fragmentación original] Se fragmenta porque la ejecución automatizada es un flujo operativo distinto al cálculo y al archivo de salida.</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</si>
  <si>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automatizada/Solicitud automatizada de maquila.</t>
  </si>
  <si>
    <t>SMARTVISTA/Req. Funcional 1 / Solicitud de Maquila automatizada/Solicitud manual de maquila</t>
  </si>
  <si>
    <t>Yo: Como usuario de suministros
Quiero: generar solicitudes manuales de maquila cuando la operación lo requiera
Para: atender necesidades específicas de inventario por sucursal.</t>
  </si>
  <si>
    <t>• Solicitud manual de maquila con disparador y control operativo propio del área de Suministros.
 • Comparte el layout único con la maquila automática [RN-OP-MA-01].
 • Dotación garantizada ante apertura de sucursal nueva.
 • Restricción: sólo un número de lote por día por sucursal (proceso de maquila tarda 2-3 semana.
 CITA TEXTUAL DEL DEF
 Fuente: Requisito funcional 28 – Automatización de Maquila, págs. 69-71
 Se debe asegurar que en el caso de la apertura de una sucursal esta pueda ser dotada
 Y Debe de poder realizar solicitud de maquila de manera periódica es decir en automático y en caso necesario se pueda solicitar a alguna sucursal en específico que requiera la maquila poder solicitarlo desde un aplicativo directamente.</t>
  </si>
  <si>
    <t>CA01 - Solicitud manual exitosa 
Dado que la operación requiere una emisión específica no cubierta por el reorden automático
Cuando el usuario de Suministros genera la solicitud manual con el layout único
Entonces el sistema procesa la solicitud y responde '00000-Solicitud Generada con éxito'
CA02 - Dotación de sucursal nueva 
Dado que se apertura una sucursal nueva sin inventario
Cuando se solicita la maquila manual para dotarla
Entonces el sistema permite la dotación inicial de la sucursal
CA03 - Evitar duplicidad de solicitudes
Dado que ya se realizo una solicitó previamente un lote
Cuando se intenta solicitar nuevamente un lote 
Entonces el sistema no lo permite; ya que existe un lote en proceso</t>
  </si>
  <si>
    <t>• Usuario de Suministros autenticado.
• Sucursal y producto identificados.
• Layout único disponible (compartido con automática).</t>
  </si>
  <si>
    <t>• Alcance trazado a RF-01 y HDU-MA-02-SV (modo manual).
• Canales asociados: Smart Vista,
• Regla RN-OP-MA-01 (layout único) documentada.
• Restricción operativa: 1 lote/día/sucursal .
• Escenarios: solicitud manual exitosa, sucursal nueva, restricción de lote diario.</t>
  </si>
  <si>
    <t>• La solicitud manual se genera con el layout único compartido.
• Una sucursal recién aperturada puede ser dotada.
• El sistema respeta la restricción de un lote por día por sucursal.
• Canales asociados: SmartVista.</t>
  </si>
  <si>
    <t>Robustecida con S1/S2. Regla RN-OP-MA-01 (mismo layout que automática). Demo confirmó que la solicitud manual ya funciona punta a punta para Débito y Crédito. Restricción 1 lote/día/sucursal.
[Nota de fragmentación original] Se separa porque la maquila manual tiene disparador y control operativo propios, aunque comparta layout con la automática.</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</si>
  <si>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automatizada/Solicitud manual de maquila.</t>
  </si>
  <si>
    <t>SMARTVISTA/Req. Funcional 1 / Solicitud de Maquila automatizada/Archivos seguros de maquila</t>
  </si>
  <si>
    <t>Solicitud de Maquila automatizada
 HU ORIGINAL — CITA TEXTUAL DEL DEF
 Fuente: Requisito funcional 28 – Automatización de Maquila, págs. 70-71
 HU Habilitar con los diferentes proveedores la emisión de maquila
 Como dueño de producto
 Quiero que exista un proceso automatizado para poder solicitar la emisión de tarjetas físicas
 Para Evitar desabasto en las sucursales</t>
  </si>
  <si>
    <t>Yo: Como administrador de maquila
Quiero: generar y resguardar archivos de maquila con filtros de seguridad
Para: permitir trazabilidad con banco y maquilador.</t>
  </si>
  <si>
    <t>• Generación del archivo para el maquilador tras procesar la solicitud, con guardado en repositorio de consulta.
 • Filtros de seguridad del lado del banco y del lado del maquilador [DEF RF-01 Escenario 3].
 • Flujo técnico de 4 pasos: SVBO → OCG → Cargen → PGP → Connect Direct [Comentado en sesión].
 • Trazabilidad de la ejecución de la generación de tarjetas (Orden → Lote → Tarjeta) [Comentado en sesión].
 • Alertamiento y reproceso ante error del maquilador al procesar el archivo [Comentado en sesión].
 CITA TEXTUAL DEL DEF
 Fuente: Requisito funcional 28 – Automatización de Maquila, págs. 70-71
 Escenario 3 Generación de archivos de maquila
 Dado que se haya procesado una solicitud de maquila
 Cuando este se procese debe de crear un archivo para el maquilador
 Y este sea guardado para su generación
 Y esté guardado en repositorio de consulta
 Y este cuente con los filtros de seguridad correspondientes del lado del banco
 Y este cuente con los filtros de seguridad correspondientes del lado del maquilador
 Entonces se podrá rastrear la ejecución de la generación de las tarjetas
 Escenario 4 Error en procesamiento de archivo de maquila
 Dado que se haya procesado una solicitud de maquila
 Cuando este el maquilador tenga un archivo por procesar
 Y este de un error
 Entonces se tendrá que tener un alertamiento para procesar el archivo nuevamente
 y poder dar seguimiento</t>
  </si>
  <si>
    <t xml:space="preserve">CA01 - Generación de archivo de maquila 
Dado que se procesó una solicitud de maquila
Cuando el sistema genera el archivo para el maquilador
Entonces el archivo se crea, cifra con PGP del proveedor y se resguarda en el repositorio de consulta 
CA02 - Trazabilidad de generación 
Dado que el archivo se guardó para su generación
Cuando se consulta el repositorio
Entonces se puede rastrear la ejecución de la generación de las tarjetas (Orden → Lote → Tarjeta)
CA03 - Error de procesamiento en maquilador 
Dado que el maquilador tiene un archivo por procesar
Cuando el archivo da error al procesarse
Entonces el sistema permitira la regeneracion de maquila bajo demanda operativa 
</t>
  </si>
  <si>
    <t>• Solicitud de maquila procesada (HDU-04 o HDU-05).
• Llaves PGP del proveedor destino vigentes.
• Repositorio de consulta y carpetas seguras Connect Direct disponibles.</t>
  </si>
  <si>
    <t>• Alcance trazado a RF-01 y HDU-MA-03-SV.
• Canales asociados: Smart Vista
• Reglas RN-OP-MA-02 (Connect Direct/.cps cifrado) documentadas.
• Dependencia: automatización de Connect Direct (2 tickets manuales, Comentado en sesión).
• Escenarios: generación exitosa, error de procesamiento en maquilador.</t>
  </si>
  <si>
    <t>• El archivo se genera, cifra y resguarda en repositorio con filtros de seguridad de banco y maquilador.
• Se deposita en la carpeta segura Connect Direct del proveedor.
• Se puede rastrear la ejecución de la generación de tarjetas.
• Ante error del maquilador se genera alertamiento para reprocesar y dar seguimiento.
• Canales asociados: SmartVista</t>
  </si>
  <si>
    <t>Robustecida con S1/S2. Reglas: RN-OP-MA-02 (Connect Direct deposita .cps cifrado en carpeta por proveedor). Flujo de 4 pasos confirmado; SVBO→SVCG ya vía NFS+Cron (Comentado en sesión). Knockout de alertamiento por error de procesamiento (RN-HU-004).
[Nota de fragmentación original] Se separa porque la generación y resguardo del archivo es una integración/persistencia independiente.</t>
  </si>
  <si>
    <t>15_Minuta_S1S2_SmartVista_Maquila_2026-07-07.md
Alcance: 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automatizada/Archivos seguros de maquila.</t>
  </si>
  <si>
    <t>SMARTVISTA/Req. Funcional 1 / Solicitud de Maquila automatizada/Seguimiento de estatus de lotes</t>
  </si>
  <si>
    <t>Solicitud de Maquila automatizada
 HU ORIGINAL — CITA TEXTUAL DEL DEF
 Fuente: Requisito funcional 28 – Automatización de Maquila, pág. 71
 HU Habilitar con los diferentes proveedores la emisión de maquila
 Como dueño de producto
 Quiero que exista un proceso automatizado para poder solicitar la emisión de tarjetas físicas
 Para Evitar desabasto en las sucursales</t>
  </si>
  <si>
    <t>Yo: Como usuario de suministros
Quiero: consultar el estatus de emisión y entrega de lotes
Para: asegurar rastreo, recepción y control de tarjetas.</t>
  </si>
  <si>
    <t>• Seguimiento de estatus de emisión y entrega de lotes (Inventario POS).
 • Seguimiento de paquetería: recolección → entrega, confirmación de recepción de lote por sucursal.
 • Reportería de existencia con detalle de lotes en proceso [DEF RF-01 Escenario 6].
 • Consulta limitada al periodo máximo permitido [RN-HU-006]
 • No reposición proactiva de tarjeta vencida: el cliente acude a sucursal [RN-OP-MA-06 / RN-OP-MA-08, comentado en sesión].
 CITA TEXTUAL DEL DEF
 Fuente: Requisito funcional 28 – Automatización de Maquila, pág. 71
 Entonces se podrá rastrear la ejecución de la generación de las tarjetas
 Escenario 4 Error en procesamiento de archivo de maquila
 Dado que se haya procesado una solicitud de maquila
 Cuando este el maquilador tenga un archivo por procesar
 Y este de un error
 Entonces se tendrá que tener un alertamiento para procesar el archivo nuevamente
 y poder dar seguimiento
 Escenario 5 Paqueteria tarjeta
 Dado que las tarjetas se han generado exitosamente
 Cuando se le informe a la paquetería la recolección de la tarjeta
 Entonces se podrá darle seguimiento para confirmar la entrega</t>
  </si>
  <si>
    <r>
      <rPr>
        <sz val="9"/>
        <color rgb="FF1F2937"/>
        <rFont val="Carlito"/>
      </rPr>
      <t>CA01 - Seguimiento de estatus de lote 
Dado que se van asignando tarjetas y se requiere revisar la existencia
Cuando el área de Operaciones consulta el inventario
Entonces el sistema muestra la existencia y el detalle de los lotes en proceso
CA02 - Seguimiento de paquetería 
Dado que las tarjetas se generaron exitosamente
Cuando se informa a la paquetería la recolección
Entonces se puede dar seguimiento con el reporte dentro de SmartVista con el archivo de los datos que se manejan actualmente hasta confirmar la entrega, y la sucursal puede recibir el lote desde SIWEB</t>
    </r>
    <r>
      <rPr>
        <b/>
        <sz val="9"/>
        <color rgb="FF1F2937"/>
        <rFont val="Carlito"/>
      </rPr>
      <t xml:space="preserve"> </t>
    </r>
    <r>
      <rPr>
        <sz val="9"/>
        <color rgb="FF1F2937"/>
        <rFont val="Carlito"/>
      </rPr>
      <t xml:space="preserve">
</t>
    </r>
  </si>
  <si>
    <t>• Lote generado y en proceso de emisión/entrega.
• Usuario de Suministros/Operaciones autenticado.
• Integración con paqueteria disponible para seguimiento.</t>
  </si>
  <si>
    <t>• Alcance trazado a RF-01 y HDU-MA-04-SV.
• Canales asociados: Smart Vista
• Escenarios: seguimiento de lote, paquetería, límite de consulta.</t>
  </si>
  <si>
    <t>• Se puede consultar el estatus de emisión y entrega de cada lote.
• Se da seguimiento a la paquetería hasta confirmar la entrega/recepción en sucursal.
• La reportería muestra existencia y lotes en proceso.
• No se genera reposición proactiva ante vencimiento de tarjeta.
• Canales asociados: Smart Vista</t>
  </si>
  <si>
    <t>Robustecida con S1/S2. Reglas: RN-OP-MA-06/RN-OP-MA-08 (sin reposición proactiva; el cliente acude a sucursal — decisión de negocio,  comentado en sesión).
[Nota de fragmentación original] Se separa porque la reportería de seguimiento tiene consultas, filtros y estados propios.</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</si>
  <si>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automatizada/Seguimiento de estatus de lotes.</t>
  </si>
  <si>
    <t>SMARTVISTA/Req. Funcional 1 /  Solicitud de Maquila automatizada /Recepción y cancelación de lotes</t>
  </si>
  <si>
    <t>Yo: Como gerente o usuario de sucursal
Quiero: recibir lotes y cancelar tarjetas no asignadas o dañadas
Para: mantener inventario confiable y evitar asignaciones incorrectas.</t>
  </si>
  <si>
    <t>• Recepción de lotes en sucursal desde SIWEB con validación de lote correcto y pertenencia a la sucursal [RN-HU-007/008].
 • Baja de tarjetas dañadas o inexistentes: mensaje correcto 'tarjeta no existe' (hoy muestra erróneamente 'tarjeta ya reportada') [RN-HU-009].
 • No permitir asignación/reposición si el crédito está vencido desde un mes [RN-HU-010].
 • Validación obligatoria de huella del Gerente de Sucursal para desmarcar/cancelar tarjetas dañadas/inexistentes no asignadas [RN-OP-MA-12].
 • Gap: hoy solo permite baja por daño si la tarjeta ya está asignada (candidato R4.5) [RN-OP-MA-06(sesión)/comentado en sesión].
 CITA TEXTUAL DEL DEF
 Fuente: Requisito funcional 28 – Automatización de Maquila, pág. 71
 Escenario 5 Paqueteria tarjeta
 Dado que las tarjetas se han generado exitosamente
 Cuando se le informe a la paquetería la recolección de la tarjeta
 Entonces se podrá darle seguimiento para confirmar la entrega
 Y la sucursal desde siweb podrá recibir el lote
 Y en caso de recepción por la sucursal física , se le pueda informa que debe de recibir el lote
 Escenario 6 Inventario de Tarjetas
 Dado que se van asignando tarjetas
 Cuando el área de operaciones requiere revisar la existencia de tarjeta
 Entonces debe de haber reportería en donde pueda consultar la existencia
 Y Podrá tener detalles de lo lotes en proceso</t>
  </si>
  <si>
    <t xml:space="preserve">CA01 - Recepción de lote correcto 
Dado que la sucursal recibe un lote que le corresponde
Cuando el ejecutivo confirma la recepción desde SIWEB
Entonces el sistema registra la recepción del lote en el inventario de la sucursal
CA02 - Lote incorrecto o de otra sucursal 
Dado que el lote es incorrecto o pertenece a otra sucursal
Cuando se intenta recibir
Entonces el sistema rechaza la recepción y muestra 'el lote es incorrecto' o no lo permite salvo flujo de excepción autorizado
CA03 - Baja de tarjetas por perdidas o dañadas
Dado que se identifica la ausencia de una tarjeta esperada o el daño de la tarjeta
Cuando se recibe el lote en suscursal 
Entonces el sistema debe permitir la baja de una tarjeta perdida o dañada </t>
  </si>
  <si>
    <t>• Lote emitido y asociado a la sucursal receptora.
• Gerente de Sucursal disponible para validación de huella (bajas).
• Tarjeta identificada en el inventario de la sucursal.</t>
  </si>
  <si>
    <t>• Alcance trazado a RF-01 y HDU-MA-05-SIWEB/06-SIWEB/08-SIWEB.
• Canales asociados: Smart Vista
• Reglas RN-HU-007/008/009/010 y RN-OP-MA-12 documentadas.
• Gap conocido: baja por daño requiere asignación previa (Comentado en sesión, candidato R4.5).
• Escenarios: recepción, lote incorrecto/otra sucursal, baja de dañada, crédito vencido.</t>
  </si>
  <si>
    <t>• El lote se recibe en la sucursal correcta; se rechazan lotes incorrectos o de otra sucursal.
• La baja de tarjeta inexistente muestra 'tarjeta no existe' (corrige el mensaje erróneo actual).
• No se permite asignación/reposición con crédito vencido.
• La baja de dañada/inexistente exige huella del Gerente de Sucursal.
• Trazable a: Smart Vista, Recepción de lotes, Tarjetas dañadas; a RF-01.</t>
  </si>
  <si>
    <t>Robustecida con S1/S2. Reglas: RN-HU-007 (lote incorrecto), RN-HU-008 (lote de otra sucursal), RN-HU-009 (mensaje 'tarjeta no existe'), RN-HU-010 (crédito vencido bloquea asignación), RN-OP-MA-12 (huella de Gerente). Comentado en sesion: baja por daño requiere asignación previa (candidato R4.5).
[Nota de fragmentación original] Se separa porque la recepción y cancelación de inventario no asignado ocurre en sucursal y tiene validaciones específicas.</t>
  </si>
  <si>
    <t>15_Minuta_S1S2_SmartVista_Maquila_2026-07-07.md
Alcance: Interseccion DEF-Inventario. Normativa: DEF PV 1006626 Mercado Abierto (R4 )(1).docx. Sesión/grabación: 15_Minuta_S1S2_SmartVista_Maquila_2026-07-07.md. Validador(es): Genaro Alberto Pérez Romero; Miguel Sánchez Hernández; Carlos Mario Sarmiento; Tomás Lara; Sergio Arellano Payán.. Funcionalidad/BB: SMARTVISTA/Req. Funcional 1 - Solicitud de Maquila automatizada/Recepción y cancelación de lotes.</t>
  </si>
  <si>
    <t>SMARTVISTA/Req. Funcional 3 - Homologación de conceptos de comisiones/Catálogo homologado de conceptos de comisiones TDC</t>
  </si>
  <si>
    <t>Homologación de conceptos de comisiones
 HU ORIGINAL — CITA TEXTUAL DEL DEF
 Fuente: Requisito funcional 21 – Homologación de conceptos de comisiones, págs. 62-63
 Como área normativa,
 Quiero que se homologuen los nombres de las comisiones en todos los canales de consulta,
 Para no ser multados por BANXICO.</t>
  </si>
  <si>
    <t>Yo: Como área normativa y negocio
Quiero: homologar los conceptos de comisiones de TDC
Para: cumplir con BANXICO y evitar inconsistencias entre canales.</t>
  </si>
  <si>
    <t>• Definición del catálogo normativo único de comisiones (nombre estándar por comisión) alineado a BANXICO [RN-HU-016].
 • Catálogo específico de 4900: 17 comisiones que replican el esquema del producto 8500 [Comentado en sesión].
 • Las descripciones son cambio de etiqueta en terminación de número de tarjeta : las caídas y cuentas contables permanecen idénticas en el ledger [RF-03 Acuerdo S3].
 • Límites de longitud: 40 caracteres en estado de cuenta, 26 en ticket impreso SIWEB (truncamientos definidos) [RF-03 Acuerdo S3].
 • Inventario y mapeo nombre-actual → nombre-nuevo con Id de comisión.
 CITA TEXTUAL DEL DEF
 Fuente: Requisito funcional 21 – Homologación de conceptos de comisiones, págs. 62-63
 Inventario de Comisiones: Se requiere un inventario completo y actualizado de todas las comisiones existentes y los nombres que actualmente tienen en cada canal.
 Definición del Nombre Estándar: Es crucial que el área normativa defina formalmente y comunique el nombre único y estándar para cada comisión que debe aplicarse en todos los canales.
 Mapeo de Nombres: Se debe realizar un mapeo claro entre los nombres antiguos/variados y el nuevo nombre estándar para facilitar la implementación técnica.
 Se deberá homologar los nombres de las comisiones de tarjeta de crédito de acuerdo al siguiente catálogo:
 Mapeo de comisiones BANXICO 4900
 Comisiones Legado</t>
  </si>
  <si>
    <t>CA01 - Definición de nombre estándar 
Dado que el área normativa define un nombre estándar único por comisión
Cuando publica el catálogo homologado
Entonces el sistema registra el nombre estándar e Id por comisión, alineado al catálogo BANXICO 4900 para el EDC de smartVista
CA02 - Contabilidad sin cambios 
Dado que se homologa la descripción visible de una comisión
Cuando se aplica el cambio de etiqueta
Entonces las caídas y cuentas contables asociadas permanecen idénticas en el ledger
CA03 - Límites de longitud
Dado que una descripción supera el límite del canal impreso
Cuando se prepara el texto para estado de cuenta (40) y ticket SIWEB (26)
Entonces el sistema aplica los truncamientos definidos respetando cada límite</t>
  </si>
  <si>
    <t>• Nombre estándar único definido y comunicado por el área normativa.
• Mapeo de nombres antiguos → nuevo estándar disponible.
• Catálogo de 17 comisiones 4900 recibido (anexo GR4).</t>
  </si>
  <si>
    <t>• Alcance trazado a RF-03 y HDU-MA-12-SV.
• Canales asociados: Smart Vista.
• Regla RN-HU-016 (sin inconsistencias auditables por BANXICO) documentada.
• IDs de comisión 4900 no confirmados; probable reutilización de IDs de 8500 (333/330/331/332/341, 561/594) — SUP-24.
•  SPEI no figura en la hoja 'Nombres de Movimientos' y debe agregarse (Comentado en sesión).</t>
  </si>
  <si>
    <t>• El catálogo normativo único queda definido con nombre estándar e Id por comisión.
• Las cuentas y caídas contables permanecen idénticas (solo cambia la etiqueta).
• Se respetan los límites de longitud (40 EDC / 26 ticket) con truncamientos definidos.
• El mapeo nombre-actual→estándar queda trazable para 4900.
• Canales asociados: Smart Vista.</t>
  </si>
  <si>
    <t>Robustecida con S3. Reglas: RN-HU-016 (auditoría BANXICO sin inconsistencias). Acuerdo S3: solo cambia etiqueta, no contabilidad; límites 40/26 caracteres.  IDs de 4900 = reutilización de 8500. [comentado en sesion] falta SPEI en nombres de movimientos. [SUPUESTO SUP-27] la API ¿regresa 1 movimiento combinado o 3 separados? sin resolver.
[Nota de fragmentación original] Se fragmenta porque la definición del catálogo normativo es una capacidad base, distinta a la visualización en canales.</t>
  </si>
  <si>
    <t>Diana Patricia Morales Ramírez; Eduardo Guzmán González; Gabriel Alejandro Maldonado Hernández; Oscar Melo Herrera; Luis Alberto Aguirre Juárez.</t>
  </si>
  <si>
    <t>18_Minuta_S3_SmartVista_Comisiones_Autorizador_SaldoFavor_2026-07-07.md
Alcancee: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3 - Homologación de conceptos de comisiones/Catálogo homologado de conceptos de comisiones TDC.</t>
  </si>
  <si>
    <t>SMARTVISTA/Req. Funcional 3 - Homologación de conceptos de comisiones/Sincronización de nombres de comisiones en canales</t>
  </si>
  <si>
    <t>Yo: Como área de negocio
Quiero: que los nombres homologados de comisiones se muestren igual en todos los canales
Para: asegurar consistencia operativa y regulatoria.</t>
  </si>
  <si>
    <t>• Los nombres homologados se muestran idénticos en todos los canales de consulta (Smart Vista, App, Web/SIWEB, EDC) [RN-HU-016/017/018].
 • Verificación por punto de consulta: Smart Vista, App/ SIWEB, OFI Tradicional.
 • Auditoría de cumplimiento BANXICO sin inconsistencias que deriven en multa.
 • Consistencia con los límites de longitud por canal (40 EDC / 26 ticket).
 CITA TEXTUAL DEL DEF
 Fuente: Requisito funcional 21 – Homologación de conceptos de comisiones, págs. 62-63
 Dado que existen nombres de comisiones en diferentes canales de consulta (e.g., Smart Vista, apps, web)
 Y que el área normativa ha definido un nombre estándar único para cada comisión
 Cuando se implementa la homologación en todos los canales de consulta
 Entonces los nombres de las comisiones visibles al usuario son idénticos en cada canal
 Y se cumple con la regulación de BANXICO para evitar multas.
 Dado que se ha implementado la homologación de nombres de comisiones
 Cuando consulto la información de comisiones en el sistema Smart Vista
 Entonces el nombre de la comisión mostrada coincide con el estándar definido por el área normativa.
 Dado que se ha implementado la homologación de nombres de comisiones
 Cuando un cliente consulta sus comisiones a través de la aplicación móvil o el sitio web
 Entonces el nombre de la comisión mostrada coincide con el estándar definido por el área normativa y con el nombre en otros canales.
 Canales Afectados: La implementación debe cubrir todos los puntos de contacto o sistemas donde el cliente o el personal interno pueda consultar el nombre de una comisión (e.g., Smart Vista, sistemas internos, extractos, estados de cuenta, apps, web, sucursales).</t>
  </si>
  <si>
    <t>CA01 - Consistencia multicanal
Dado que el catálogo homologado fue definido por normativa
Cuando se consulta la misma comisión en Smart Vista, App, SIWEB y EDC
Entonces el nombre mostrado es idéntico en todos los canales
CA02 - Verificación en canal específico
Dado que se implementó la homologación
Cuando se consulta la comisión en EDC Smart Vista
Entonces el nombre coincide con el estándar definido por el área normativa
CA03 - Auditoría BANXICO 
Dado que la homologación se completó en todos los canales
Cuando BANXICO realiza una auditoría de cumplimiento
Entonces no se encuentran inconsistencias de nombres que deriven en multa</t>
  </si>
  <si>
    <t>• Catálogo normativo único definido (HDU-09).
• Canales integrados al catálogo homologado.
• Mapeo de nombres desplegado en cada punto de consulta.</t>
  </si>
  <si>
    <t>• Alcance trazado a RF-03 y HDU-MA-12-APP/12-SIWEB.
• Canal asociado: Smart Vista, APP, SIWEB.
• Reglas RN-HU-016/017/018 documentadas.
• Dependencia: catálogo normativo (HDU-09) implementado.
• Escenarios: verificación por canal (Smart Vista, App), auditoría BANXICO.</t>
  </si>
  <si>
    <t>• El nombre de cada comisión es idéntico en todos los canales de consulta.
• Cada punto de consulta muestra el nombre estándar definido por normativa.
• Una auditoría BANXICO no encuentra inconsistencias.
• Canales asociados: Smart Vista, APP, SIWEB.</t>
  </si>
  <si>
    <t>Robustecida con S3. Reglas: RN-HU-016/017/018 (homologación en todos los canales, auditoría BANXICO). Depende del catálogo de HDU-SMARTVISTA-R4-09. La consistencia debe probarse por punto de consulta, no solo por catálogo.
[Nota de fragmentación original] Se separa porque la consistencia multicanal debe probarse por punto de consulta y no solo por catálogo.</t>
  </si>
  <si>
    <t>18_Minuta_S3_SmartVista_Comisiones_Autorizador_SaldoFavor_2026-07-07.md
Alcance:  / Intersección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3 - Homologación de conceptos de comisiones/Sincronización de nombres de comisiones en canales.</t>
  </si>
  <si>
    <t>SMARTVISTA/Req. Funcional 6 - Reglas del autorizador (88 reglas)/Reglas del autorizador BPC</t>
  </si>
  <si>
    <t>Reglas del autorizador (88 reglas)
 HU ORIGINAL — CITA TEXTUAL DEL DEF
 Fuente: Citas relacionadas del DEF; no existe una HU específica titulada “Reglas del autorizador (88 reglas)”
 El DEF no contiene una HU original específica con el nombre “Reglas del autorizador (88 reglas)”; se agregan únicamente las citas textuales relacionadas.
 Adicionalmente se debe igualar la oferta de valor en el nuevo administrador de tarjetas, para poder realizar la migración del portafolio vigente al nuevo administrador.
 Se requiere desacoplar funcionalidades que hoy en día ya existen en el core bancario y se migren al nuevo administrador de tarjetas BPC
 Creación de APIS que permitan consumir tanto el core actual /legado) cómo la nueva plataforma, para que una vez que el portafolio de tarjeta de crédito sea migrado, se consuma únicamente las nuevas plataformas</t>
  </si>
  <si>
    <t>Yo: Como administrador de tarjetas
Quiero: considerar las reglas del autorizador BPC
Para: asegurar que las operaciones TDC se autoricen conforme al DEF externo.</t>
  </si>
  <si>
    <t>• Motor de 88 reglas del autorizador BPC en tiempo real, divididas entre Smart Vista Frontend (estatus/ISO 8583) y Fraud Management (riesgo/fraude) [RF-06a Acuerdo S3].
 • Módulo 1: rechazo inmediato con código ISO específico (BIN desconocido ISO 14, tarjeta robada ISO 43, extraviada ISO 41) [RN-HU-025].
 • MIT sin OTID (20% alto riesgo): aplica Regla 45 contra Whitelist (afiliación/giro) y umbrales de la Regla 88 [RN-HU-026].
 • Sin afectación contable hasta el proceso batch de conciliación al cierre del día [RF-06a Acuerdo S3].
 • Mapeo de rechazo por bloqueo temporal: código genérico → Alerta 000916; específico → 'Operación declinada: Tarjeta bloqueada' [RN-OP-AU-01].
 • Retiro de efectivo: si el cálculo/cobro de comisión+IVA falla, el autorizador aborta la transacción [RN-OP-AU-02].
 CITA TEXTUAL DEL DEF
 Fuente: Citas relacionadas del DEF; no existe una HU específica titulada “Reglas del autorizador (88 reglas)”
 Desarrolló en el administrador de tarjetas Smart Vista para gestionar y ejecutar las nuevas funcionalidades desde la App BanCoppel y SIWEB para todos los productos de TDC
 Parametrización de las funcionalidades en el core para permitir la contratación directa desde el canal digital.
 Se requiere desacoplar funcionalidades que hoy en día ya existen en el core bancario y se migren al nuevo administrador de tarjetas BPC
 Creación de APIS que permitan consumir tanto el core actual /legado) cómo la nueva plataforma, para que una vez que el portafolio de tarjeta de crédito sea migrado, se consuma únicamente las nuevas plataformas
 El proceso debe estar parametrizable para futuros productos. Las funcionalidades deben estar disponibles para 1.7 millones de clientes activos.</t>
  </si>
  <si>
    <t>CA01 - Homologacion de reglas del Autorizador
Dado que el equipo de negocio requiere que los codigos de respuesta del autorizador correspondan con el documento de las 88 reglas
Cuando llega una transaccion a smart vista por medio de E-global
Entonces el switch evalua la transaccion y responde conforme al codigo de autorizacion esperado.</t>
  </si>
  <si>
    <t>• Catálogo de 88 reglas BPC cargado (dependencia externa, DEF del autorizador).
• Whitelist de afiliación/giro y umbrales de Regla 88 configurados.
• Fraud Management integrado.</t>
  </si>
  <si>
    <t>• Alcance trazado a RF-06a y HDU-MA-17-SV.
• Canal asociado: Smart Vista, Autorizador BPC.
• Reglas RN-HU-025/026, RN-OP-AU-01/02 documentadas.
• Dependencia externa fuerte: DEF de 88 reglas del autorizador (BPC) — no inventar reglas fuera del catálogo.
• Nota: el anexo menciona '95 reglas' pero el conteo válido es 88.</t>
  </si>
  <si>
    <t>• El motor evalúa las 88 reglas y rechaza con el código ISO específico cuando corresponde.
• Las MIT sin OTID se validan contra Whitelist y umbrales de Regla 88.
• No hay afectación contable hasta el batch de conciliación de cierre.
• Los rechazos por bloqueo se mapean a Alerta 916 o mensaje específico según corresponda.
• Trazable a canales: SmartVista, Autorizador BPC; a RF-06a, HDU-MA-17-SV.</t>
  </si>
  <si>
    <t>HDU única por dependencia externa (DEF de 88 reglas BPC); no se inventan reglas no contenidas en el DEF (Regla 1 anti-invención). Robustecida con S3: RN-HU-025 (rechazo ISO), RN-HU-026 (MIT/Regla 45/88), RN-OP-AU-01 (Alerta 916), RN-OP-AU-02 (abortar si falla comisión+IVA). 
[Nota de fragmentación original] Se mantiene como HDU única por dependencia externa; se evita inventar reglas no contenidas en el DEF.</t>
  </si>
  <si>
    <t>18_Minuta_S3_SmartVista_Comisiones_Autorizador_SaldoFavor_2026-07-07.md
Alcance:  /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6 - Reglas del autorizador (88 reglas)/Reglas del autorizador BPC.</t>
  </si>
  <si>
    <t>SMARTVISTA/Req. Funcional 5 - Nueva regla de limitar saldo a favor (Auditoría)/Parametrización del límite de saldo a favor</t>
  </si>
  <si>
    <t>Nueva regla de limitar saldo a favor (Auditoría)
 HU ORIGINAL — CITA TEXTUAL DEL DEF
 Fuente: Requisito funcional 25 – Nueva regla de limitar saldo a favor (Auditoría), págs. 66-68
 Como área de negocio,
 Quiero limitar los saldos a favor de cada una de las TDC para evitar un mal uso de las mismas,
 Para asegurar que se cumplan las reglas establecidas sin necesidad de procesos independientes por canal.</t>
  </si>
  <si>
    <t>Yo: Como área de negocio
Quiero: configurar un límite de saldo a favor para TDC 4900
Para: controlar depósitos y evitar mal uso del producto.</t>
  </si>
  <si>
    <t>• Interfaz de administración para un parámetro único de límite de saldo a favor por TDC.
 • Tipo de límite configurable: monto o porcentaje sobre la línea de crédito.
 • Switch 'apagar/prender' de la configuración para TDC clásica (4900); parametrizable para productos legado en caso necesario [RF-25 Consideraciones].
 • Importe/porcentaje parametrizable; aplica a productos 6001 y 4900 [RF-25 Consideraciones].
 • Propagación de la configuración a todos los canales de forma consistente.
 CITA TEXTUAL DEL DEF *****PARA AFINACION UNICAMENTE DE PUNTOS ENCONTRADOS****
 Fuente: Requisito funcional 25 – Nueva regla de limitar saldo a favor (Auditoría), págs. 66-68
 Escenario: Establecimiento de Límite de Saldo a Favor para TDC
 Dado que el área de negocio desea establecer un límite para los saldos a favor en las TDC
 Y se dispone de una interfaz de administración para establecer el parámetro único
 Cuando el área de negocio configura el límite de saldo a favor para las TDC
 Y Se indique el tipo de límite a considerar de acuerdo a la línea del crédito el cual puede ser un valor en monto o porcentaje
 Y activa la opción de "apagar/prender" la configuración para TDC clásica
 Entonces el sistema aplica el límite configurado en todos los canales automáticamente
 Y el sistema notifica que el parámetro ha sido actualizado con éxito
 Y el límite de saldo a favor se aplica en todos los canales existentes de forma consistente
 Escenario: Cambio de Parámetro de Límite de Saldo a Favor
 Dado que el área de negocio desea cambiar el límite de saldo a favor previamente configurado
 Y el parámetro único ha sido establecido con un valor en monto o porcentaje
 Cuando el área de negocio realiza un cambio en el límite de saldo a favor (monto o porcentaje)
 Entonces el nuevo valor se aplica automáticamente a todos los canales existentes
 Y el sistema notifica que el límite ha sido actualizado correctamente
 Y el sistema verifica que el cambio se haya propagado correctamente en todos los canales de pago
 El importe debe de ser parametrizable</t>
  </si>
  <si>
    <t>CA01 - Alta de parámetro 
Dado que el área de negocio desea establecer el límite
Cuando configura monto o porcentaje según la línea y activa la regla (apagar/prender)
Entonces el sistema guarda el parámetro y notifica actualización exitosa
CA02 - Cambio de parámetro 
Dado que ya existe un límite configurado
Cuando el área de negocio modifica monto o porcentaje
Entonces el nuevo valor se aplica en smart vista backoffice y se requiere correr el contenedor correspondiente como full export para que aplique a Smart vista Front end.
CA03 - Propagación consistente 
Dado que el parámetro fue actualizado
Cuando se valida en los canales de pago
Entonces el sistema verifica que la regla se aplique de forma consistente en Smart vista</t>
  </si>
  <si>
    <t>• Producto 4900 identificado.
• Usuario administrador autorizado (control de acceso — RN-HU-021).
• Parámetro de límite y tipo de cálculo (monto/porcentaje) definidos.</t>
  </si>
  <si>
    <t>• Alcance trazado a RF-05 y HDU-MA-15-SV.
• Canales asociados: Smart Vista.
• Regla RN-HU-021 (solo rol autorizado, registra intento) documentada [SUPUESTO: control de acceso a confirmar].
• Dependencia: anexo 'DEF RQM Límite Máximo de Saldos a Favor'.
• Escenarios: alta de parámetro, cambio, intentó sin rol.</t>
  </si>
  <si>
    <t>• El parámetro único (monto o %) se guarda y notifica actualización exitosa.
• El switch apagar/prender opera para TDC clásica.
• Un usuario sin rol no puede modificar el parámetro y el intento queda registrado.
• El parámetro es parametrizable y se propaga a todos los canales.
• Trazable a Canales: Smart Vista.</t>
  </si>
  <si>
    <t>Robustecida con S3/S4/S5. Reglas: RN-HU-021 (rol autorizado + registro de intento, [SUPUESTO]). Aplica a 6001 y 4900; legado con opción de implementar. El importe debe ser parametrizable (RF-25).
[Nota de fragmentación original] Se separa porque la parametrización es una capacidad administrativa independiente de la validación transaccional.</t>
  </si>
  <si>
    <t>18_Minuta_S3_SmartVista_Comisiones_Autorizador_SaldoFavor_2026-07-07.md
Alcance: Intersección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(Auditoría)/Parametrización del límite de saldo a favor.</t>
  </si>
  <si>
    <t>SMARTVISTA/Req. Funcional 5 - Nueva regla de limitar saldo a favor (Auditoría)/Validación del límite por línea de crédito</t>
  </si>
  <si>
    <t>Nueva regla de limitar saldo a favor (Auditoría)
 HU ORIGINAL — CITA TEXTUAL DEL DEF
 Fuente: Requisito funcional 25 – Nueva regla de limitar saldo a favor (Auditoría), pág. 67
 Como área de negocio,
 Quiero limitar los saldos a favor de cada una de las TDC para evitar un mal uso de las mismas,
 Para asegurar que se cumplan las reglas establecidas sin necesidad de procesos independientes por canal.</t>
  </si>
  <si>
    <t>Yo: Como cliente de TDC
Quiero: que los depósitos respeten el límite mensual de saldo a favor
Para: operar dentro de las reglas definidas por el banco.</t>
  </si>
  <si>
    <t>• Límite dinámico por línea: tope fijo $15,000 para líneas &lt; $25,000; tope 20% de la línea para líneas ≥ $25,000 [RF-05 Acuerdo S3, RN-OP-APP-21].
 • El límite máximo mensual aplica acumulado o en una sola exhibición.
 • Si el cliente no inicia el mes con saldo a favor, se valida contra el tope al depositar.
 • Smart Vista se conecta al nuevo HUB de Pagos; restricción presente en todos los canales que aceptan pago de TDC [RF-11 Consideraciones].
 • Reportería desde Smart Vista para detectar clientes que exceden el límite [RF-25 Consideraciones].
 CITA TEXTUAL DEL DEF
 Fuente: Requisito funcional 25 – Nueva regla de limitar saldo a favor (Auditoría), pág. 67
 Escenario: Límite de Saldo a Favor para TDC con Línea de Crédito Menor
 Dado que un cliente quiera realizar depósitos
 Y este no inicie el mes con saldo a favor
 Cuando que tengo una tarjeta de crédito con una línea de crédito menor o igual a $24,999.99 MXN
 Entonces el límite máximo mensual de saldo a favor será de $15,000.00 MXN, ya sea acumulado o en una sola exhibición
 Escenario: Límite de Saldo a Favor para TDC con Línea de Crédito Mayor
 Dado que un cliente quiera realizar depósitos
 Cuando la tarjeta de crédito con una línea de crédito igual o mayor a $25,000.00 MXN
 Entonces el límite máximo mensual de saldo a favor será el 20% de la línea de crédito vigente
 Y si el cliente lo excede no se permitirá Depositar más saldo</t>
  </si>
  <si>
    <t xml:space="preserve">CA01 - Línea de crédito menor 
Dado que el cliente tiene línea ≤ $24,999.99 MXN con saldo a favor
Cuando realiza depósitos
Entonces el límite máximo  de saldo a favor es $15,000.00 MXN
CA02 - Línea de crédito mayor 
Dado que el cliente tiene línea ≥ $25,000.00 MXN
Cuando realiza depósitos
Entonces el límite máximo  saldo a favor es el 20% (5000.00 MXN) de la línea vigente; si lo excede, no se permite depositar más saldo
</t>
  </si>
  <si>
    <t>• Parámetro de límite configurado (HDU-12).
• Línea de crédito vigente del cliente disponible.
• Cálculo de saldo a favor proyectado (campo on-us) accesible.</t>
  </si>
  <si>
    <t>• Alcance trazado a RF-05 y HDU-MA-16-SV.
• Canales asociado: Smart Vista
• Reglas RN-HU-022 (rechazo por límite) y RN-OP-APP-21 documentadas.
• Campo técnico: on-us (getInstantCreditStatement) para inhabilitar 'Otra cantidad'.
• Escenarios: línea menor ($15K), línea mayor (20%), límite alcanzado al inicio de periodo.</t>
  </si>
  <si>
    <t>• Se aplica $15,000 a líneas &lt; $25,000 y 20% a líneas ≥ $25,000.
• Se rechaza el pago/depósito que genera saldo a favor por encima del tope.
• Si el cliente inicia con el límite alcanzado, se impide generar saldo a favor adicional hasta el siguiente periodo.
• Canales asociados: Smart Vista.</t>
  </si>
  <si>
    <t>Robustecida con S3/S4/S5. Reglas: RN-HU-022 (rechazo, mensaje homologado), RN-OP-APP-21 (tope $15K/20% desde la UI). Campo on-us proyecta el saldo a favor. Los depósitos del banco NO suman (ver HDU-14).
[Nota de fragmentación original] Se fragmenta porque la validación transaccional y cálculo por línea son reglas de negocio centrales.</t>
  </si>
  <si>
    <t>18_Minuta_S3_SmartVista_Comisiones_Autorizador_SaldoFavor_2026-07-07.md
Alcance:  /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(Auditoría)/Validación del límite mensual por línea de crédito.</t>
  </si>
  <si>
    <t>SMARTVISTA/Req. Funcional 5 - Nueva regla de limitar saldo a favor (Auditoría)/Exclusión de abonos bancarios del límite de saldo a favor</t>
  </si>
  <si>
    <t>Nueva regla de limitar saldo a favor (Auditoría)
 HU ORIGINAL — CITA TEXTUAL DEL DEF
 Fuente: Requisito funcional 25 – Nueva regla de limitar saldo a favor (Auditoría), págs. 67-68
 Como área de negocio,
 Quiero limitar los saldos a favor de cada una de las TDC para evitar un mal uso de las mismas,
 Para asegurar que se cumplan las reglas establecidas sin necesidad de procesos independientes por canal.</t>
  </si>
  <si>
    <t>Yo: Como área de negocio
Quiero: excluir abonos realizados por el banco de la validación de saldo a favor
Para: permitir aclaraciones u operaciones internas sin afectar el límite del cliente.</t>
  </si>
  <si>
    <t>• Los abonos generados por el banco (aclaraciones procedentes, correcciones, reversos, abonos del CAT) NO están sujetos al límite y se procesan libremente [RN-OP-S3-01].
 • El abono por aclaración no suma al saldo a favor del cliente para efectos del tope [RF-25 Escenario].
 • El sistema actualiza el saldo disponible sin aplicar la validación de límite para estas transacciones.
 CITA TEXTUAL DEL DEF
 Fuente: Requisito funcional 25 – Nueva regla de limitar saldo a favor (Auditoría), págs. 67-68
 Escenario: Excluir Transacciones Bancarias de la Validación de Límite de Saldo a Favor
 Dado que tengo una tarjeta de crédito con un saldo a favor de $5,000.00 MXN
 Y el límite de saldo a favor para mi tarjeta es de $15,000.00 MXN
 Y el sistema recibe una transacción de abono por parte del banco
 Cuando el sistema valida la transacción
 Entonces el sistema no sumará el abono por aclaración al saldo a favor
 Y permitirá la transacción sin afectar el límite de saldo a favor
 Y el sistema actualizará el saldo disponible sin aplicar la validación de límite
 Los depósitos del banco no deben de sumar</t>
  </si>
  <si>
    <t>CA01 - Abono por aclaración excede el límite 
Dado que el cliente tiene saldo a favor $5,000 y su límite es $15,000, y el banco emite un abono por aclaración procedente
Cuando el sistema valida la transacción
Entonces no suma el abono por aclaración al saldo a favor y permite la transacción sin afectar el límite
CA02 - Actualización de saldo sin validar límite 
Dado que llega un abono generado por el banco (corrección/reverso/CAT)
Cuando el sistema procesa el abono
Entonces actualiza el saldo disponible sin aplicar la validación de límite de saldo a favor
CA03 - Abono del banco por encima del tope 
Dado que el abono del banco haría que el saldo a favor supere el tope del cliente
Cuando se procesa la operación
Entonces el sistema la permite sin rechazar, por ser un abono generado por el propio banco</t>
  </si>
  <si>
    <t>• Transacción de abono identificada como originada por el banco (aclaración/corrección/reverso/CAT).
• Parámetro de límite configurado (HDU-12).
• Marca/origen de la transacción disponible para diferenciar cliente vs. banco.</t>
  </si>
  <si>
    <t>• Alcance trazado a RF-05 y HDU-MA-16-SV (excepción).
• Canales asociados: Smart Vista.
• Regla RN-OP-S3-01 documentada (nuevo alcance, Change Request pendiente).
• Dependencia: identificación fiable del origen 'banco' de la transacción.
• Escenarios: abono por aclaración que excede el límite, actualización de saldo sin validar.</t>
  </si>
  <si>
    <t>• Los abonos del banco se procesan aún si exceden el tope de saldo a favor.
• El abono por aclaración no se suma al saldo a favor para efectos del límite.
• El saldo disponible se actualiza sin aplicar la validación de límite para estas transacciones.
• Canales asociados: Smart Vista.</t>
  </si>
  <si>
    <t>Robustecida con S3. Regla: RN-OP-S3-01 (abonos del banco exentos del límite). Es nuevo alcance respecto al DEF original — requiere Change Request. La parametrización base 15K/20% ya está en pruebas, pero esta excepción no está construida.
[Nota de fragmentación original] Se separa porque la excepción por abonos bancarios requiere validación distinta a la operación de pago de cliente.</t>
  </si>
  <si>
    <t>18_Minuta_S3_SmartVista_Comisiones_Autorizador_SaldoFavor_2026-07-07.md
Alcance:  /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(Auditoría)/Exclusión de abonos bancarios del límite de saldo a favor.</t>
  </si>
  <si>
    <t>Validar si esta HU entraria para este realese (Negocio) 
Confirmado por negocio : Se desestima para el presente alcance y pasa al siguiente release.</t>
  </si>
  <si>
    <t>SMARTVISTA/Req. Funcional 5 - Nueva regla de limitar saldo a favor (Auditoría)/Mensaje por límite de saldo a favor alcanzado</t>
  </si>
  <si>
    <t>Yo: Como cliente TDC
Quiero: recibir un mensaje claro cuando exceda el límite de saldo a favor
Para: entender por qué no se permite el depósito.</t>
  </si>
  <si>
    <t>• Mensaje exacto homologado al rechazar: 'No se puede completar la transacción. Límite de saldo a favor alcanzado.' [RN-HU-022/023/024, RN-HU-065..068].
 • El front-end deshabilita el input 'Otra cantidad' e informa 'Límite alcanzado' para evitar el Defecto 748001 (errores genéricos 'Error 1200'/BD) [RN-OP-SF-02].
 • Rechazo de pagos vía canales externos (SPEI, corresponsales) que exceden el límite: se regresa el dinero al emisor y no se muestra el intento al cliente [RN-HU-069/070].
 • Se excluye del alcance R4 llevar un conteo de cuántas veces intenta depositar tras alcanzar el tope [RN-OP-S3-02].
 • Consistencia del mensaje en todos los canales (App, SIWEB, ATM, BPI, SPEI/corresponsales).
 CITA TEXTUAL DEL DEF
 Fuente: Requisito funcional 25 – Nueva regla de limitar saldo a favor (Auditoría), pág. 67
 Escenario: Impedir Generación de Nuevo Saldo a Favor Si el Límite Es Alcanzado al Iniciar el Periodo
 Dado que al inicio del periodo mensual tengo un saldo a favor de $15,000.00 MXN
 Y el límite de saldo a favor es de $15,000.00 MXN
 Cuando intento realizar un pago o depósito
 Entonces el sistema rechazará la operación
 Y me informará que no se puede generar un saldo a favor adicional hasta el siguiente periodo</t>
  </si>
  <si>
    <t xml:space="preserve">CA01 - Error por límite alcanzado 
Dado que el cliente tiene saldo a favor igual o mayor al límite, o el depósito excede el tope
Cuando intenta el pago o depósito en cualquier canal
Entonces el sistema rechaza la transacción y muestra un error 
</t>
  </si>
  <si>
    <t>• Validación de límite ejecutada (HDU-13).
• Canal de origen identificado (App/SIWEB/ATM/BPI/SPEI/corresponsalía).
• Mensaje homologado disponible en cada canal.</t>
  </si>
  <si>
    <t>• Alcance trazado a RF-05 y HDU-MA-16/50/51/52/53/54-*.
• Canales asociados: Smart Vista.
• Reglas RN-HU-022..024, 065..070, RN-OP-SF-02, RN-OP-S3-02 documentadas.
• Dependencia: comportamiento de rechazo/regreso de fondos en SPEI y corresponsales.
• Escenarios: mensaje en App/SIWEB/ATM/BPI, rechazo SPEI, rechazo corresponsalía.</t>
  </si>
  <si>
    <t>• El mensaje mostrado es idéntico en todos los canales al alcanzar el límite.
• El input 'Otra cantidad' se deshabilita evitando el Defecto 748001.
• Los pagos SPEI/corresponsales que exceden el tope se rechazan, se regresa el dinero y no se muestran al cliente.
• No se implementa conteo de intentos (fuera de alcance R4).
• Canales asociados: Smart Vista.</t>
  </si>
  <si>
    <t>Robustecida con S3/S4/S5. Reglas: RN-HU-022..024/065..070 (mensaje homologado exacto), RN-OP-SF-02 (deshabilitar 'Otra cantidad', evitar Defecto 748001), RN-OP-S3-02 (sin conteo de intentos en R4). SPEI/corresponsales: regresar fondos sin notificar al cliente (RN-HU-069/070).
[Nota de fragmentación original] Se separa porque la experiencia de rechazo y mensaje es transversal a canales y debe probarse funcionalmente.</t>
  </si>
  <si>
    <t>18_Minuta_S3_SmartVista_Comisiones_Autorizador_SaldoFavor_2026-07-07.md
Alcance: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(Auditoría)/Mensaje por límite de saldo a favor alcanzado.</t>
  </si>
  <si>
    <t>APP/Req. Funcional 6 - Pagos anticipados y Liquidaciones de Compras diferidas/Configuración de campañas de compras diferidas</t>
  </si>
  <si>
    <t>Pagos anticipados y Liquidaciones de Compras diferidas
 HU ORIGINAL — CITA TEXTUAL DEL DEF
 Fuente: Requisito funcional 4 – Diferimiento de transacciones a MCI por campañas, págs. 13-16
 Como tarjetahabiente de BanCoppel
 Quiero diferir compras elegibles mayores a $500 y menores pesos a plazos
 Para administrar de forma flexible mi flujo de efectivo y distribuir el pago de compras grandes desde App BanCoppel y SMS</t>
  </si>
  <si>
    <t>Yo: Como administrador de producto
Quiero: configurar ofertas de compras diferidas en Smart Vista
Para: permitir que clientes elegibles difieran compras conforme a campaña.</t>
  </si>
  <si>
    <t>• Configuración de campañas de Compras Diferidas (MCI) en Smart Vista: atributo permanente por toda la vida de la cuenta, independiente de segmentación inicial [DEF RF-4 MCI].
 • Campaña temporal con tasa promocional aplicable dentro de vigencia y portafolio elegible; al finalizar, deja de aplicar la tasa [RN-HU-048].
 • Cuenta fuera del portafolio elegible: no aplica la tasa promocional [RN-HU-048].
 • Split de alcance: MSI (Eglobal) libera en R4 solo con pruebas integrales; MCI en R4 solo backend, consumo App en R4.5 [RN-OP-S4-02/03].
 • Esquemas: Disposición de efectivo, Compras &gt; monto mínimo, Diferimiento de saldo [DEF RF-4].
 CITA TEXTUAL DEL DEF
 Fuente: Requisito funcional 4 – Diferimiento de transacciones a MCI por campañas, págs. 13-16
 Escenario: Mostrar diferimiento por campañas
 Dado en el nuevo esquema de Compras Diferidas está habilitado en Smart Vista
 Y el Cliente cumpla los requisitos para participar en una campaña
 Cuando se configura la oferta de Compras Diferidas en Smart Vista
 Entonces el atributo de Compras Diferidas debe permanecer activo durante toda la vida de la cuenta
 Y la oferta no debe depender de la segmentación inicial de la cuenta
 Y la oferta debe estar disponible independientemente de campañas activas
 Escenario: Aplicación de una campaña temporal
 Dado que existe una campaña temporal activa
 Y la fecha actual se encuentra dentro de la vigencia de la campaña
 Y la cuenta pertenece al portafolio elegible
 Cuando la cuenta realiza una compra o disposición
 Entonces la cuenta debe poder acceder a Compras Diferidas
 Y se debe aplicar la tasa promocional de la campaña temporal
 Y al finalizar la vigencia de la campaña
 Entonces la tasa promocional debe dejar de aplicarse
 Y no podrá aperturar otro pago fijo si no esta en fecha</t>
  </si>
  <si>
    <t>CA01 - Oferta de compras diferidas permanente [Positivo]
Dado que se implementó el tronco común TdC en Smart Vista
Cuando se crea una nueva cuenta de cliente
Entonces el atributo de Compras Diferidas queda activo por defecto y permanente durante toda la vida de la cuenta, independiente de campañas
CA02 - Campaña temporal dentro de vigencia [Alterno]
Dado que existe una campaña temporal activa y la cuenta pertenece al portafolio elegible
Cuando la cuenta realiza una compra o disposición dentro de la vigencia
Entonces se aplica la tasa promocional; al finalizar la vigencia, la tasa deja de aplicarse
CA03 - Cuenta fuera del portafolio elegible [Negativo]
Dado que la cuenta no pertenece al portafolio elegible de la campaña
Cuando intenta usar la campaña
Entonces el sistema no aplica la tasa promocional</t>
  </si>
  <si>
    <t>• Cliente cumple requisitos de campaña.
• Portafolio elegible y vigencia de campaña definidos.
• Atributo de Compras Diferidas activo por defecto en cuentas nuevas.</t>
  </si>
  <si>
    <t>• Alcance trazado a RF-16 y HDU-MA-40-SV.
• Canales asociados: Smart Vista, Compras Diferidas, MCI/MSI.
• Reglas RN-HU-048, RN-OP-S4-02/03 documentadas.
• Split de alcance confirmado (S4/S5): MSI R4, MCI backend R4 / App R4.5.
• Escenarios: campaña permanente, campaña temporal con vigencia, cuenta no elegible.</t>
  </si>
  <si>
    <t>• El atributo de Compras Diferidas queda activo y permanente por toda la vida de la cuenta.
• La tasa promocional aplica solo dentro de vigencia y portafolio elegible, y deja de aplicar al finalizar.
• Una cuenta fuera del portafolio elegible no recibe la tasa promocional.
• Canales asociados: Smart Vista, Compras Diferidas, MCI/MSI; a RF-16, HDU-MA-40-SV.</t>
  </si>
  <si>
    <t>Robustecida con S4/S5. Reglas: RN-HU-048 (cuenta no elegible), RN-OP-S4-02 (MSI Eglobal solo pruebas), RN-OP-S4-03 (MCI backend R4 / consumo App R4.5). Atributo permanente e independiente de segmentación inicial.
[Nota de fragmentación original] Se separa porque la configuración de campañas es capacidad previa al pago anticipado o cancelación.</t>
  </si>
  <si>
    <t>María de los Ángeles Yedra Santiago; Eduardo Guzmán González; José Alberto Valverde Corona; José Antonio De La Paz Nieto; José Francisco Mata Hernández; Víctor Daniel Vázquez Rodríguez.</t>
  </si>
  <si>
    <t>20_Minuta_S4S5_SmartVista_MesesConIntereses_PagosFijos_2026-07-08.md</t>
  </si>
  <si>
    <t>SMARTVISTA/Req. Funcional 6 - Pagos anticipados y Liquidaciones de Compras diferidas/Cálculo de oferta de compra diferida</t>
  </si>
  <si>
    <t>Pagos anticipados y Liquidaciones de Compras diferidas
 HU ORIGINAL — CITA TEXTUAL DEL DEF
 Fuente: Requisito funcional 4 – Diferimiento de transacciones a MCI por campañas, págs. 13-15
 Como tarjetahabiente de BanCoppel
 Quiero diferir compras elegibles mayores a $500 y menores pesos a plazos
 Para administrar de forma flexible mi flujo de efectivo y distribuir el pago de compras grandes desde App BanCoppel y SMS</t>
  </si>
  <si>
    <t>Yo: Como cliente TDC
Quiero: conocer la oferta de diferimiento de una compra elegible
Para: decidir si administro el pago a plazos.</t>
  </si>
  <si>
    <t>• Cálculo de la oferta de diferimiento para una compra elegible: plazos 3, 6, 9, 12, 18 y 24 meses con cuota mensual e intereses [DEF RF-4].
 • Elegibilidad: compra &gt; $1,000 (umbral resuelto; el escenario decía $500), no parcializada en otro canal, del último periodo o periodo actual.
 • Validación de línea disponible neta al momento de confirmación (swipe/token); si un cargo redujo el disponible, se rechaza el plazo [RN-OP-S4-01].
 • No sobregiro por compras/disposiciones; único sobregiro permitido: capitalización de intereses [RN-OP-S4-11].
 • Desglose claro de capital e intereses antes de confirmar [DEF RF-4].
 CITA TEXTUAL DEL DEF
 Fuente: Requisito funcional 4 – Diferimiento de transacciones a MCI por campañas, págs. 13-15
 Escenario: Diferir una compra elegible de forma exitosa
 DADO que el cliente cuenta con una transacción de tarjeta de crédito mayor a 500 pesos
 Y la transacción no ha sido previamente parcializada en otro canal
 Y la transacción pertenece al último periodo o al periodo actual
 Cuando el cliente selecciona la transacción para diferir
 Y el sistema debe mostrar los plazos disponibles de 3, 6, 9, 12, 18 y 24 meses
 Y el sistema debe mostrar el cálculo de la cuota mensual con intereses
 Escenario: Visualización clara de la información de diferimiento
 Dado que he seleccionado una transacción elegible y un plazo
 Cuando la aplicación me muestra el cálculo de la cuota mensual
 Y me muestra el detalle de los diferentes escenarios
 Entonces la cuota incluye los intereses aplicables
 Y se proporciona un desglose claro del capital y los intereses incluidos en la cuota
 Y la información presentada es la final antes de la confirmación
 Escenario : Rechazo por Límite de Crédito Insuficiente
 Dado que tengo movimientos elegibles para diferimiento
 Y el saldo a retener (capital + intereses) de la credisolución excede mi límite de crédito disponible
 Cuando intento diferir un movimiento a un plazo determinado
 Entonces el sistema debe mostrar un mensaje indicando que no tengo suficiente línea de crédito para realizar el diferimiento
 Y el diferimiento no debe ser procesado.</t>
  </si>
  <si>
    <t>CA01 - Cálculo de oferta de diferimiento 
Dado que el cliente tiene una compra elegible &gt; $1,000 del periodo actual o el último, no parcializada
Cuando selecciona la transacción para diferir
Entonces el sistema muestra los plazos 3, 6, 9, 12, 18 y 24 meses con el cálculo de la cuota mensual y el total del plan de pagos
CA02 - Transacción no elegible 
Dado que la transacción no está posteada, ya fue parcializada, o es un movimiento generado por el banco / en aclaración / con MSI previo
Cuando el cliente accede a la opción de diferir
Entonces el sistema no muestra esa transacción como candidata para diferir
CA03 - Línea insuficiente al confirmar
Dado que al confirmar (swipe/token) un cargo recurrente redujo la línea disponible
Cuando se valida el saldo a retener (capital+intereses)
Entonces el sistema rechaza el plazo solicitado y solo ofrece los plazos que sí alcanzan, sin permitir sobregiro</t>
  </si>
  <si>
    <t>• Compra conciliada/posteada y elegible (&gt; $1,000, no parcializada).
• Línea de crédito disponible suficiente para capital + intereses + IVA.
• Catálogo de plazos y tasas configurado (HDU-16).</t>
  </si>
  <si>
    <t>• Alcance trazado a RF-16 y HDU-MA-42-APP/57-APP (motor de cálculo en SV).
• Canales asociados: Smart Vista
• Reglas RN-HU-049/050/051/052/053, RN-OP-S4-01/11 documentadas.
• Umbral $1,000 resuelto.
• Escenarios: cálculo de oferta, transacción no elegible, línea insuficiente.</t>
  </si>
  <si>
    <t>• El sistema calcula y muestra plazos (3-24 meses) con cuota, capital e intereses.
• Solo se ofrecen transacciones elegibles (&gt; $1,000, no parcializadas, del periodo).
• Se valida la línea disponible al confirmar y se rechazan los plazos que ya no alcanzan.
• No se permite sobregiro por la compra diferida.
• Canales asociados: Smart Vista.</t>
  </si>
  <si>
    <t>Robustecida con S4/S5. Reglas: RN-HU-049 (línea insuficiente), RN-HU-050/051/052/053 (elegibilidad: no posteada, ya parcializada, línea insuficiente, MSI/banco/aclaración excluidos), RN-OP-S4-01 (validar línea al swipe), RN-OP-S4-11 (cero sobregiro). Umbral $1,000 (hallazgo 3).
[Nota de fragmentación original] Se separa porque el cálculo/oferta de diferimiento es distinto a la aplicación del plan y a su pago anticipado.</t>
  </si>
  <si>
    <t>20_Minuta_S4S5_SmartVista_MesesConIntereses_PagosFijos_2026-07-08.md
Alcance:  /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diferidas/Cálculo de oferta de compra diferida.</t>
  </si>
  <si>
    <t>SMARTVISTA/Req. Funcional 6 - Pagos anticipados y Liquidaciones de Compras diferidas/Aplicación de plan MCI/MSI a compra</t>
  </si>
  <si>
    <t>Pagos anticipados y Liquidaciones de Compras diferidas
 HU ORIGINAL — CITA TEXTUAL DEL DEF
 Fuente: Requisito funcional 4 – Diferimiento de transacciones a MCI por campañas, págs. 14-15
 Como tarjetahabiente de BanCoppel
 Quiero diferir compras elegibles mayores a $500 y menores pesos a plazos
 Para administrar de forma flexible mi flujo de efectivo y distribuir el pago de compras grandes desde App BanCoppel y SMS</t>
  </si>
  <si>
    <t>Yo: Como cliente TDC
Quiero: aplicar un plan de compras diferidas a una compra seleccionada
Para: distribuir el pago conforme al plazo elegido.</t>
  </si>
  <si>
    <t>• Aplicación del plan MCI/MSI en línea (no esperar al cierre contable) con impacto de saldo, cuenta y estado propios [DEF RF-4].
 • Por cada movimiento diferido se crea un producto de Pagos Fijos independiente; el saldo retenido es la suma de todos (capital + intereses) [Escenario Múltiples Diferimientos].
 • Abono inverso: al diferir una compra ya conciliada, Smart Vista genera bonificación por el importe total y reclasifica al grupo contable 13 (capital no exigible) [RN-OP-S4-04].
 • El abono de reclasificación no debe recircular a la cuenta 2402/Eglobal; permanece en grupo 13 [RN-OP-S4-05].
 • Intereses cobrados solo en fecha de corte, no diariamente [RN-OP-S4-06].
 CITA TEXTUAL DEL DEF
 Fuente: Requisito funcional 4 – Diferimiento de transacciones a MCI por campañas, págs. 14-15
 Entonces el cliente selecciona un plazo
 Y el cliente revisa y acepta los términos y condiciones
 Y el sistema debe aplicar el diferimiento en línea de forma inmediata
 Y el monto de la compra debe dividirse en cuotas mensuales según el plazo seleccionado
 Y el diferimiento debe reflejarse en el estado de cuenta
 Y la transacción debe mostrarse en el historial de diferimientos
 Escenario: Múltiples Diferimientos (N veces)
 Dado que tengo suficiente límite de crédito disponible
 Y tengo múltiples movimientos elegibles (compras y/o disposiciones)
 Cuando realizó el proceso de diferimiento para un movimiento
 Y repito el proceso para otro movimiento distinto
 Entonces el sistema debe permitirme aperturar la resolución N veces
 Y por cada movimiento seleccionado, se debe crear un producto de pagos fijos independiente
 Y el saldo retenido será la suma de todos los diferimientos (capital + intereses).</t>
  </si>
  <si>
    <t xml:space="preserve">CA01 - Aplicación del plan en línea 
Dado que el cliente aceptó un plazo y los términos
Cuando el sistema aplica el diferimiento
Entonces el diferimiento se aplica en línea de forma inmediata, el monto se divide en cuotas y se refleja en el estado de cuenta y el historial de diferimientos
CA02 - Múltiples diferimientos 
Dado que el cliente tiene línea suficiente y múltiples movimientos elegibles
Cuando difiere un movimiento y repite para otro distinto
Entonces por cada movimiento se crea un plan de Pagos Fijos independiente y el saldo retenido es la suma de todos (capital + intereses)
CA03 - Reclasificación contable 
Dado que se difiere una compra ya conciliada contablemente
Cuando se registra el plan de pagos
Entonces se registra contablemente el plan de pagos conforme a la guía.
</t>
  </si>
  <si>
    <t>• Oferta calculada y plazo aceptado (HDU-17).
• Línea disponible confirmada al swipe.
• Cuentas contables grupo 13 parametrizadas (guía contable v5.8.8).</t>
  </si>
  <si>
    <t>• Alcance trazado a RF-16 y HDU-MA-41-APP/58-APP (aplicación en SV).
• Canales asociados: Smart Vista, Planes de pago, MCI/MSI.
• Reglas RN-OP-S4-04/05/06 documentadas..
• Escenarios: aplicación exitosa, múltiples diferimientos, reclasificación contable.</t>
  </si>
  <si>
    <t>• El plan se aplica en línea y se refleja de inmediato en saldo y estado de cuenta.
• Cada movimiento diferido crea un producto de Pagos Fijos independiente.
• El abono inverso reclasifica al grupo contable 13 sin recircular a 2402/Eglobal.
• Los intereses se cobran en fecha de corte, no diariamente.
• Canales asociados: Smart Vista,</t>
  </si>
  <si>
    <t>Robustecida con S4/S5 + guía contable. Reglas: RN-OP-S4-04 (abono inverso a grupo 13), RN-OP-S4-05 (no recircular a 2402/Eglobal), RN-OP-S4-06 (interés sólo en corte). [Información insuficiente] TRNT exacta pendiente de guía contable formal (VAL-13/14).
[Nota de fragmentación original] Se separa porque la aplicación del plan tiene impacto de saldo, cuenta y estado propio.</t>
  </si>
  <si>
    <t>20_Minuta_S4S5_SmartVista_MesesConIntereses_PagosFijos_2026-07-08.md
Alcance:  /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diferidas/Aplicación de plan MCI/MSI a compra.</t>
  </si>
  <si>
    <t>Validar con el equipo de normatividad contable (Negocio) -- Validado</t>
  </si>
  <si>
    <t>SMARTVISTA/Req. Funcional 6 - Pagos anticipados y Liquidaciones de Compras diferidas/Aplicación de pagos anticipados a pagos fijos</t>
  </si>
  <si>
    <t>Pagos anticipados y Liquidaciones de Compras diferidas
 HU ORIGINAL — CITA TEXTUAL DEL DEF
 Fuente: Requisito funcional 6 – Pagos anticipados y Liquidaciones de Compras diferidas, pág. 19
 Como cliente de Tarjeta de Crédito BanCoppel
 Quiero adelantar pagos parciales o liquidar totalmente mis compras diferidas
  Para reducir o liquidar mi saldo pendiente y administrar mi crédito de manera flexible
  Desde la App BanCoppel o el canal de sucursal</t>
  </si>
  <si>
    <t>Yo: Como cliente TDC
Quiero: adelantar pagos parciales a una compra diferida
Para: disminuir el capital pendiente de mi pago fijo.</t>
  </si>
  <si>
    <t>• Pago anticipado parcial aplicado directo a capital, reduciendo el plazo (número de mensualidades), no el monto de la mensualidad fija [RN-OP-S4-07].
 • No limita el número de pagos parciales por corte; el adelanto no exime la siguiente mensualidad programada [RN-OP-S4-07, DEF RF-6].
 • Registro vía transacción SIWEB 623 'PAGO CGO A CTA DE CREDISOLUCIONES'; afecta registros contables y reportería de sucursal [DEF RF-6].
 • Selección de la compra diferida específica a la que se aplica el pago [DEF RF-6].
 • Pago directo a los productos MSI/MCI (6900 y 8900) [RF-07 Consideraciones].
 CITA TEXTUAL DEL DEF
 Fuente: Requisito funcional 6 – Pagos anticipados y Liquidaciones de Compras diferidas, pág. 19
 Dado que el cliente cuenta con una compra diferida activa a MSI o MCI
 And el cliente conoce el saldo actual del pago fijo
 Cuando el cliente solicita un adelanto parcial de pago
 Entonces el sistema debe aplicar el pago directamente a la compra diferida seleccionada
 Y el saldo de capital pendiente de la compra debe disminuir
 Y el adelanto parcial no debe eximir el pago de la siguiente mensualidad programada
 Y el pago debe registrarse mediante la transacción SIWEB 623 "PAGO CGO A CTA DE CREDISOLUCIONES"
 Y se afecta los registros contables
 Y se afecta la reportería de sucursal</t>
  </si>
  <si>
    <t>CA01 - Adelanto parcial exitoso 
Dado que el cliente tiene una compra diferida activa a MSI o MCI y conoce el saldo del pago fijo
Cuando solicita un adelanto parcial de pago
Entonces el sistema aplica el pago directo a la compra seleccionada, reduce el capital pendiente y el plazo restante; la mensualidad fija se mantiene
CA02 - Selección de compra específica 
Dado que el cliente tiene múltiples compras diferidas activas
Cuando solicita un adelanto
Entonces el sistema permite seleccionar la compra diferida específica y aplica el pago únicamente a ella
CA03 - No exime la siguiente mensualidad 
Dado que el cliente realizó un adelanto parcial
Cuando transcurre al siguiente ciclo
Entonces el adelanto no exime el pago de la siguiente mensualidad programada y el pago se registra con la transacción (SIWEB-618-619)</t>
  </si>
  <si>
    <t>• Compra diferida activa (MSI/MCI) identificada.
• Cliente conoce el saldo actual del pago fijo.
• Transacción 623 habilitada en SIWEB.</t>
  </si>
  <si>
    <t>• Alcance trazado a RF-17 y HDU-MA-45-APP/45-SIWEB.
• Canales asociados: Smart Vista.
• Regla RN-OP-S4-07 documentada.
• Dependencia: transacción SIWEB 623 y afectación contable.
• Escenarios: adelanto parcial, selección de compra, no exime mensualidad.</t>
  </si>
  <si>
    <t>• El adelanto parcial se aplica directo a capital y reduce el número de mensualidades.
• El monto de la mensualidad fija permanece intacto.
• El adelanto no exime la siguiente mensualidad programada.
• El pago se registra con la transacción 623 y afecta contabilidad y reportería.
• Canales asociados: Smart Vista.</t>
  </si>
  <si>
    <t>Robustecida con S4/S5. Regla: RN-OP-S4-07 (abono a capital reduce plazo, no la mensualidad; sin límite de pagos parciales). Transacción SIWEB 623. Pago directo a productos 6900/8900.
[Nota de fragmentación original] Se separa porque adelanto parcial es una capacidad de pago distinta a liquidación total o cancelación.</t>
  </si>
  <si>
    <t>20_Minuta_S4S5_SmartVista_MesesConIntereses_PagosFijos_2026-07-08.md
Alcance:Interseccion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diferidas/Aplicación de pagos anticipados a pagos fijos.</t>
  </si>
  <si>
    <t>SMARTVISTA/Req. Funcional 6 - Pagos anticipados y Liquidaciones de Compras diferidas/Liquidación total de compras diferidas</t>
  </si>
  <si>
    <t>Pagos anticipados y Liquidaciones de Compras diferidas
 HU ORIGINAL — CITA TEXTUAL DEL DEF
 Fuente: Requisito funcional 6 – Pagos anticipados y Liquidaciones de Compras diferidas, págs. 19-20
 Como cliente de Tarjeta de Crédito BanCoppel
 Quiero adelantar pagos parciales o liquidar totalmente mis compras diferidas
  Para reducir o liquidar mi saldo pendiente y administrar mi crédito de manera flexible
  Desde la App BanCoppel o el canal de sucursal</t>
  </si>
  <si>
    <t>Yo: Como cliente TDC
Quiero: liquidar totalmente una compra diferida
Para: cancelar el pago fijo y evitar intereses pendientes conforme a las reglas.</t>
  </si>
  <si>
    <t>• Liquidación total: cálculo del monto restante (capital pendiente + intereses devengados), sin cobrar intereses futuros no devengados [RN-HU-058, RN-OP-S4-06].
 • Al liquidar, el pago fijo asociado se cancela automáticamente [DEF RF-6].
 • Registro vía transacción SIWEB 623 'PAGO CGO A CTA DE CREDISOLUCIONES' [DEF RF-6].
 • En App el cliente SOLO puede liquidar el saldo total deudor de la compra (el pago parcial no aplica desde App, a diferencia de sucursal) [RN-HU-059].
 • Recálculo de intereses (MCI) para no cobrar intereses no devengados [RN-HU-058].
 CITA TEXTUAL DEL DEF
 Fuente: Requisito funcional 6 – Pagos anticipados y Liquidaciones de Compras diferidas, págs. 19-20
 Escenario: Liquidación total de una compra diferida
 Dado que el cliente cuenta con una o más compra diferida activa a MSI o MCI
 Y el cliente identifica la compra que desea Liquidar
 Cuando el cliente solicita la liquidación total de la compra diferida
 Y el sistema debe calcular el monto total restante
 Y el monto debe incluir el capital pendiente y los intereses devengados
 Entonces la compra diferida debe quedar completamente saldada
 Y el sistema no debe cobrar intereses futuros
 Y la liquidación debe registrarse mediante la transacción SIWEB 623 "PAGO CGO A CTA DE CREDISOLUCIONES"
 Y el sistema debe cancelar de forma automática el pago fijo asociado
 Escenario : Selección de compra diferida para adelanto o liquidación
 Dado que el cliente tiene múltiples compras diferidas activas
 Cuando el cliente solicita un adelanto o liquidación
 Entonces el sistema debe permitir seleccionar la compra diferida específica
 Y el pago debe
 aplicarse únicamente a la compra seleccionada</t>
  </si>
  <si>
    <t xml:space="preserve">CA01 - Liquidación total exitosa 
Dado que el cliente tiene una compra diferida activa a MSI o MCI e identifica la que desea liquidar
Cuando solicita la liquidación total
Entonces el sistema calcula el monto restante (capital + intereses devengados), la compra queda saldada, no cobra intereses futuros y cancela automáticamente el pago fijo
CA02 - Recálculo de intereses 
Dado que el cliente liquida un MCI antes del corte
Cuando el sistema calcula el monto a liquidar
Entonces recalcula los intereses para no cobrar los intereses futuros no devengados
</t>
  </si>
  <si>
    <t>• Una o más compras diferidas activas (MSI/MCI).
• Cliente identifica la compra a liquidar.
• Transacción 623 habilitada.</t>
  </si>
  <si>
    <t>• Alcance trazado a RF-17 y HDU-MA-46-APP/46-SIWEB.
• Canales asociados: Smart Vista.
• Reglas RN-HU-058/059, RN-OP-S4-06 documentadas.
• Escenarios: liquidación total, cancelación automática del pago fijo, no cobro de intereses futuros.</t>
  </si>
  <si>
    <t>• El monto de liquidación = capital pendiente + intereses devengados, sin intereses futuros.
• La compra queda completamente saldada y el pago fijo se cancela automáticamente.
• La liquidación se registra con la transacción 623.
• Canales asociados: Smart Vista.</t>
  </si>
  <si>
    <t>Robustecida con S4/S5. Reglas: RN-HU-058 (no cobrar intereses no devengados), RN-HU-059 (App solo liquidación total), RN-OP-S4-06 (interés en corte, pago antes del corte ahorra intereses proyectados). Transacción SIWEB 623.
[Nota de fragmentación original] Se fragmenta porque la liquidación total cambia el estado del pago fijo, a diferencia del adelanto parcial.</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</si>
  <si>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diferidas/Liquidación total de compras diferidas.</t>
  </si>
  <si>
    <t>Revisar con area contable de normatividad (Negocio)-- Validado</t>
  </si>
  <si>
    <t>SMARTVISTA/Req. Funcional 7 - Cancelación de Compras Diferidas/Cancelación de compras diferidas en línea</t>
  </si>
  <si>
    <t>Cancelación de Compras Diferidas
 HU ORIGINAL — CITA TEXTUAL DEL DEF
 Fuente: Requisito funcional 7 – Cancelación de Compras Diferidas desde SIWEB Y APP, págs. 29-30
 Como cliente con compras diferidas
 Quiero poder cancelar mis compras diferidas de forma segura y transparente
 Para gestionar mi saldo pendiente de manera eficiente desde App BanCoppel o sucursal</t>
  </si>
  <si>
    <t>Yo: Como cliente con compras diferidas
Quiero: cancelar una compra diferida de forma segura
Para: gestionar mi saldo pendiente desde canales habilitados.</t>
  </si>
  <si>
    <t>• Cancelación en línea del pago fijo en cualquier momento posterior a la apertura (desde el mismo día) [DEF RF-7].
 • Cancelación centralizada por falta de pago de dos meses consecutivos o por aclaración de cargo no reconocido; no requiere validación de identidad [RF-18/DEF RF-7 Escenario 3].
 • Cargo en una sola exhibición por el monto restante; concepto 'Cargo por cancelación de CrediSoluciones' [DEF RF-7].
 • Alcance R4 exclusivo tarjetas digitales (4900); productos legado (Oro, Platino, Infinite) permanecen 'off' [RN-OP-S10-05].
 CITA TEXTUAL DEL DEF
 Fuente: Requisito funcional 7 – Cancelación de Compras Diferidas desde SIWEB Y APP, págs. 29-30
 Escenario 1: Cancelación de compra diferida en sucursal o App con validación de identidad
 Dado que el cliente solicita la cancelación de una compra diferida desde App o sucursal
 Cuando el sistema solicita la validación de identidad mediante huella y/o token
 Y la validación de identidad es exitosa
 Y el sistema debe permitir visualizar la información de los pagos fijos
 Y se selecciona la compra diferida a cancelar
 Y el sistema muestra un mensaje de confirmación
 Y el cliente confirma la cancelación
 Entonces el sistema debe realizar un cargo en una sola exhibición por el monto restante del pago fijo
 Y el sistema debe cancelar el esquema de compra diferida
 Escenario 4: Cancelación del pago fijo en cualquier momento posterior a la apertura
 Dado que la compra diferida se encuentra activa
 Cuando el cliente solicita la cancelación del pago fijo en cualquier momento posterior a la apertura
 Entonces el sistema debe permitir la cancelación del pago fijo en línea</t>
  </si>
  <si>
    <t>CA01 - Cancelación en línea posterior a la apertura 
Dado que la compra diferida está activa
Cuando el cliente o el sistema solicita la cancelación del pago fijo en cualquier momento posterior a la apertura
Entonces el sistema permite la cancelación del pago fijo en línea (incluso el mismo día de la apertura)
CA02 - Cancelación por impagos 
Dado que el cliente tiene una compra diferida activa a MSI o MCI
Cuando el sistema ejecuta una cancelación centralizada por falta de pago 2 impagos consecutivos o por aclaración de cargo no reconocido
Entonces el sistema cancela el esquema, carga el saldo (capital + intereses + IVA) al revolvente con el concepto 'Cargo por cancelación' y no requiere validación de identidad
CA03 - Cancelación voluntaria
Dado que una compra diferida fue cancelada
Cuando el sistema procesa la cancelación
Entonces el saldo pendiente de capital y los intereses devengados e IVA se transfieren al saldo revolvente a tasa normal y se visualizan en movimientos y estado de cuenta</t>
  </si>
  <si>
    <t>• Compra diferida activa (MSI/MCI).
• Origen de la cancelación identificado (solicitud cliente vs. centralizada).
• Cuentas contables de traspaso al revolvente parametrizadas.</t>
  </si>
  <si>
    <t>• Alcance trazado a RF-18 y HDU-MA-48-SV/49-SV.
• Canales asociados: Smart Vista.
• Reglas RN-HU-064, RN-OP-S4-08, RN-OP-S10-05 documentadas.
• Escenarios: cancelación en línea, cancelación centralizada, traspaso al revolvente.</t>
  </si>
  <si>
    <t>• El pago fijo se cancela en línea desde el día de apertura.
• La cancelación centralizada por 2 meses de impago o aclaración no requiere validación de identidad.
• El saldo insoluto (capital + intereses devengados + IVA) se traslada al revolvente a tasa normal.
• El cargo se registra con el concepto 'Cargo por cancelación de CrediSoluciones'.
• Canales asociados: Smart Vista.</t>
  </si>
  <si>
    <t>Robustecida con S4/S5/S10. Reglas: RN-OP-S4-08 (reincorporación al revolvente a tasa normal), RN-HU-064 (reverso/ajuste ante falla contable), RN-OP-S10-05 (solo digital 4900; legado 'off'). (Comentado en sesión) la Estrategia E2E difiere RF-18 a R5 aunque aparece en el backlog R4 — validar con negocio antes de construir.
[Nota de fragmentación original] Se separa porque la cancelación tiene flujo de autenticación y actualización de estado distinto al pago anticipado.</t>
  </si>
  <si>
    <t>20_Minuta_S4S5_SmartVista_MesesConIntereses_PagosFijos_2026-07-08.md
Alcance:Interseccion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7 - Cancelación de Compras Diferidas/Cancelación de compras diferidas en línea.</t>
  </si>
  <si>
    <t>APP/Req. Funcional 7 - Visualización del Módulo de TDC en el home de la App/Visualización del módulo TDC en el home</t>
  </si>
  <si>
    <t>Visualización del Módulo de TDC en el home de la App
 HU ORIGINAL — CITA TEXTUAL DEL DEF
 Fuente: Requisito funcional 1 – Visualización del Módulo de TDC en el home de la App, págs. 9-10
 Como cliente de tarjeta de crédito (BanCoppel 4900 y migradas)
 Quiero visualizar mis tarjetas física y digital en un módulo dedicado
 Para gestionar mis saldos, movimientos y seguridad de forma centralizada.</t>
  </si>
  <si>
    <t>Yo: Como cliente TDC BanCoppel
Quiero: visualizar mi tarjeta de crédito en el home de la App
Para: gestionar saldos, movimientos y seguridad de forma centralizada.</t>
  </si>
  <si>
    <t>• Aplica a clientes con al menos una TDC física y/o digital BIN 4900 o migrada a Smart Vista.
 • Home 'Cuentas' renderiza el módulo 'Tarjetas de Crédito' con Card TDC, Botonera Central y Botonera Inferior.
 • Card física: terminación de número de tarjeta, saldo, límite; Card digital: CVV dinámico y fecha de vencimiento [DEF RF-1 Escenario 1].
 • Tap en card redirige a 'Detalle de tu tarjeta de crédito'.
 • La App identifica el tipo de plástico por el atributo Classification (F/D), no por rango de BINs [RN-OP-APP-01, RF-07a Acuerdo S6].
 CITA TEXTUAL DEL DEF
 Fuente: Requisito funcional 1 – Visualización del Módulo de TDC en el home de la App, págs. 9-10
 Escenario 1: Cliente con TDC activa visualiza el dashboard del home
 Dado que el cliente ha iniciado sesión en la App BanCoppel
 Y el cliente posee una tarjeta de crédito activa (BIN 4900 o migrada a Smart Vista)
 Cuando el cliente navega a la sección "Home - Cuentas"
 Entonces el sistema debe mostrar el módulo "Tarjetas de Crédito"
 Y el módulo debe contener dos "cards" visuales:
 | Tipo | Datos Visibles | Acciones Visibles |
 | Física | Terminación de número de tarjeta, Saldo, Límite | Bloquear, NIP |
 | Digital | CVV Dinámico, Fecha Venc. | Bloquear, Eliminar|
 Escenario 2: Cliente sin producto de crédito activo
 Dado que el cliente ha iniciado sesión
 Y el cliente NO posee ninguna tarjeta de crédito activa en Smart Vista
 Cuando el cliente ingresa al "Home"
 Entonces el sistema NO debe renderizar el módulo de "Tarjetas de Crédito"</t>
  </si>
  <si>
    <t>CA01 - Render del módulo 
Dado que el cliente accede a la App y tiene una TDC aplicable (BIN 4900 o migrada) activa
Cuando se carga el Home de Cuentas
Entonces se muestra el módulo 'Tarjetas de Crédito' TDC, Botonera Central y Botonera Inferior; la card física muestra  terminación de número de tarjeta, saldo y límite y la digital CVV dinámico y vencimiento
CA02 - Sin TDC aplicable 
Dado que el cliente no posee ninguna TDC física o digital activa en Smart Vista
Cuando ingresa al Home
Entonces el sistema no renderiza el módulo de Tarjetas de Crédito
CA03 - Navegación al detalle 
Dado que la TDC está visible
Cuando el cliente toca la TDC
Entonces se redirige a 'Detalle de tu tarjeta de crédito'</t>
  </si>
  <si>
    <t>• Cliente autenticado en la App.
• Cliente con TDC física y/o digital en Smart Vista.
• API de recepción disponible retornando Classification.</t>
  </si>
  <si>
    <t>• Alcance trazado a RF-07a y HDU-MA-18-APP.
• Canales asociados: APP BanCoppel.
• Campo técnico: Classification (F/D) de la API de recepción.
• Escenarios: render con TDC, sin TDC, navegación al detalle.</t>
  </si>
  <si>
    <t>• Con TDC aplicable, el Home muestra TDC+ Botonera Central + Botonera Inferior.
• Sin TDC aplicable, no se renderiza el módulo TDC.
• El tap en TDC navega al detalle de tarjeta.
• El tipo de plástico se resuelve por Classification, no por BIN.
• Canales asociados: APP BanCoppel.</t>
  </si>
  <si>
    <t>Robustecida con S6. Regla RN-OP-APP-01 (Classification F/D). (Comentado en sesión) (TDC no aparece en primer render) a considerar en pruebas. Convivencia física/digital bajo la misma línea de crédito.
[Nota de fragmentación original] Se fragmenta porque el home tiene presentación, convivencia de estados y botoneras como capacidades relacionadas pero separables.</t>
  </si>
  <si>
    <t>Eduardo Guzmán González; María de los Ángeles Yedra Santiago; Nancy Guissel Gómez Hernández; Laura Elena Pérez Calderón; David Arturo Marcial Martínez; Said Cordero Hernández.</t>
  </si>
  <si>
    <t>22_Minuta_S6_App_Sesion1_Entendimiento_2026-07-08.md
Alcance:  / Interseccion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App/Visualización del módulo TDC en el home.</t>
  </si>
  <si>
    <t>Se asigna al equipo de TI Bancoppel</t>
  </si>
  <si>
    <t>APP/Req. Funcional 7 - Visualización del Módulo de TDC en el home de la App/Convivencia de estados de tarjetas física y digital</t>
  </si>
  <si>
    <t>Yo: Como cliente de TDC
Quiero: identificar el estado de mis tarjetas física y digital en el home de la app
Para: entender claramente si están activas, bloqueadas o inactivas.</t>
  </si>
  <si>
    <r>
      <rPr>
        <sz val="9"/>
        <color rgb="FF0000FF"/>
        <rFont val="Carlito"/>
      </rPr>
      <t>• Matriz de convivencia de estados física/digital sobre la misma línea: Activa (00), Inactiva (14 física / 12 digital), Bloqueo App (20), Bloqueo Prevención (21), Reportada/cancelada (43) (comentado en sesión).
 • Diferenciación visual clara física vs. digital (icono/etiqueta/color).
 • Estados finales no reversibles (43) se muestran como tales;</t>
    </r>
    <r>
      <rPr>
        <b/>
        <sz val="9"/>
        <color rgb="FF0000FF"/>
        <rFont val="Carlito"/>
      </rPr>
      <t xml:space="preserve">  06 LOST, 07 STOLEN, 27 ESTATUS DE TARJETA DAÑADA
física en 14 Estatus vivo(inactiva) </t>
    </r>
    <r>
      <rPr>
        <sz val="9"/>
        <color rgb="FF0000FF"/>
        <rFont val="Carlito"/>
      </rPr>
      <t>(comentado en sesión)
 • Códigos adicionales del catálogo unificado: 08 CALL SECURITY, 09 INVALID, 12 NOT ACTIVATED,   (comentado en sesión).
 • El estado se resuelve por deviceStatus/Classification retornado por la API.
 CITA TEXTUAL DEL DEF
 Fuente: Requisito funcional 1 – Visualización del Módulo de TDC en el home de la App, págs. 9-10
 Entonces el sistema debe mostrar el módulo "Tarjetas de Crédito"
 Y el módulo debe contener dos "cards" visuales:
 | Tipo | Datos Visibles | Acciones Visibles |
 | Física | Terminación terminación de número de tarjeta, Saldo, Límite | Bloquear, NIP |
 | Digital | CVV Dinámico, Fecha Venc. | Bloquear, Eliminar|
 Escenario Outline: Visualización de estado de transacciones
 Dado que el cliente visualiza el detalle de movimientos
 Cuando el sistema recupera la transacción con estado &lt;EstadoCore&gt;
 Entonces la App debe mostrar la etiqueta &lt;EtiquetaApp&gt;
 Y el detalle debe incluir fecha, comercio y monto
 Ejemplos:
 | EstadoCore | EtiquetaApp |
 | PENDING_AUTH | En Proceso |
 | SETTLED | Aprobada |
 | REJECTED | Rechazada |</t>
    </r>
  </si>
  <si>
    <t>CA01 - Convivencia de estados 
Dado que el cliente posee tarjeta física y digital en distintos estatus
Cuando consulta en el home de app de TDC
Entonces el sistema muestra el estado correcto de cada plástico (activa, inactiva, bloqueada) según el catálogo unificado
CA02 - Diferenciación visual 
Dado que el cliente tiene tarjeta física y digital 
Cuando visualiza en el home de app 
Entonces cada plástico se identifica de forma clara y diferenciada (icono/etiqueta/color) 
CA03 - Estado final no reversible 
Dado que una  tarjeta física y digital  está en estatus 43 (reportada/cancelada)
Cuando se renderiza en el home de app 
Entonces el sistema no lo muestra como estado final no reversible, sin acciones de reactivación desde la App</t>
  </si>
  <si>
    <t>• Cliente con al menos tarjeta física y/o digital.
• API que retorna deviceStatus y Classification.
• Catálogo unificado de estatus cargado.</t>
  </si>
  <si>
    <t>• Alcance trazado a RF-07a y HDU-MA-18-APP.
• Canales asociados: APP BanCoppel.
• Catálogo unificado de estatus (00/12/14/20/21/43 + 06/07/08/09).
• Dependencia: activación de estatus en Smart Vista vía script de parametrización (comentado en sesión).
• Escenarios: tarjeta física activa + digital bloqueada, ambas activas, estado final 43.</t>
  </si>
  <si>
    <t>• El home de app refleja el estado correcto de cada tarjeta física y digital  según catálogo unificado.
• La tarjeta física y la digital se diferencian visualmente de forma clara.
• Los estados finales (43) se muestran como no reversibles.
• Canales asociados: APP BanCoppel</t>
  </si>
  <si>
    <t>Robustecida con S6 + anexo Mapeo de Datos. Catálogo unificado de estatus resuelto: 00 activa, 12 digital no activada, 14 FORCED PIN CHANGE (física), 20 bloqueo App, 21 bloqueo prevención, 43 reportada/cancelada. Requiere script de parametrización en Smart Vista.
[Nota de fragmentación original] Se separa porque la convivencia de estados tiene reglas de presentación propias y requiere matriz de combinaciones.</t>
  </si>
  <si>
    <t>22_Minuta_S6_App_Sesion1_Entendimiento_2026-07-08.md
Alcance:Interseccion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App/Convivencia de estados de tarjetas física y digital.</t>
  </si>
  <si>
    <t>APP/Req. Funcional 7 - Visualización del Módulo de TDC en el home de la App/Botoneras dinámicas del home</t>
  </si>
  <si>
    <t>Yo: Como cliente de la APP Bancoppel
Quiero: ver acciones habilitadas según configuración
Para: operar solo funcionalidades disponibles para mi tarjeta.</t>
  </si>
  <si>
    <t>• Botoneras dinámicas del Home según feature flags y estatus de las tarjetas.
 • Si la API de estatus no responde con datos válidos, se oculta la botonera y se despliega la alerta 707 (regresa al login) [RN-OP-APP-05].
 • Si agingPeriod &gt; 0, se inhabilitan botones de compras/transferencias/disposiciones y solo se habilita recepción de pagos [RN-OP-APP-11/12].
 • Etapas de mora: agingPeriod 0-1 = E1, 2-3 = E2, ≥4 = E3 (umbral exacto de bloqueo total sin resolver, SUP-38) [RN-OP-APP-11].
 • Opciones únicas por línea (disposición, pago, domiciliación, descarga EDC) se muestran una sola vez [DEF RF-2 Escenario 1].
 CITA TEXTUAL DEL DEF
 Fuente: Requisito funcional 1 – Visualización del Módulo de TDC en el home de la App, págs. 9-10
 Entonces el sistema debe mostrar el módulo "Tarjetas de Crédito"
 Y el módulo debe contener dos "cards" visuales:
 | Tipo | Datos Visibles | Acciones Visibles |
 | Física | Terminación terminación de número de tarjeta, Saldo, Límite | Bloquear, NIP |
 | Digital | CVV Dinámico, Fecha Venc. | Bloquear, Eliminar|
 Escenario 2: Cliente sin producto de crédito activo
 Dado que el cliente ha iniciado sesión
 Y el cliente NO posee ninguna tarjeta de crédito activa en Smart Vista
 Cuando el cliente ingresa al "Home"
 Entonces el sistema NO debe renderizar el módulo de "Tarjetas de Crédito"</t>
  </si>
  <si>
    <t>CA01 - Botonera habilitada por estatus 
Dado que la API de estatus responde con al menos un estatus válido de las tarjetas (física/digital)
Cuando se carga el Home
Entonces la botonera se habilita según ese estatus y las opciones únicas por línea se muestran una sola vez
CA02 - Alerta 707 por falta de estatus (no responde con datos válidos)
Dado que la API de tarjetas tdc no responde con datos válidos al loguearse
Cuando se intenta renderizar la botonera
Entonces la App oculta la botonera y despliega la alerta 707 con botón que regresa al login
CA03 - Bloqueo por pago vencido 
Dado que el cliente tiene agingPeriod &gt; 0 (al menos un pago vencido)
Cuando intenta operar desde la botonera
Entonces el autorizador inhabilita compras, disposiciones, habilitando únicamente la recepción de pagos y no se permite eliminar ni agregar tarjeta digital en la app</t>
  </si>
  <si>
    <t>• Cliente autenticado con TDC.
• API de estatus disponible (o fallback a alerta 707).
• Campo agingPeriod disponible en getInstantCreditStatement.</t>
  </si>
  <si>
    <t>• Alcance trazado a RF-07a y HDU-MA-19-APP.
• Canales asociados: APP BanCoppel
• Reglas RN-OP-APP-05/11/12 documentadas.
• Umbral exacto de agingPeriod para bloqueo total sin resolver.
• Escenarios: botonera habilitada, alerta 707, bloqueo por pago vencido.</t>
  </si>
  <si>
    <t>• La botonera se habilita según feature flags y estatus válido.
• Ante falta de estatus válido, se oculta la botonera y aparece la alerta 707.
• Con agingPeriod &gt; 0 solo se habilita la recepción de pagos.
• Canales asociados: APP BanCoppel</t>
  </si>
  <si>
    <t>Robustecida con S6 + anexo. Reglas: RN-OP-APP-05 (alerta 707), RN-OP-APP-11 (etapas E1/E2/E3), RN-OP-APP-12 (bloqueo por pago vencido, solo recepción de pagos). [SUPUESTO SUP-38] umbral de bloqueo total abierto.
[Nota de fragmentación original] Se separa porque la visibilidad/navegación de botoneras es una capacidad distinta al card.</t>
  </si>
  <si>
    <t>22_Minuta_S6_App_Sesion1_Entendimiento_2026-07-08.md
Alcance:Interseccion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App/Botoneras dinámicas del home.Alcance:  / Intersección DEF-Inventario. Normativa: DEF PV 1006626 Mercado Abierto (R4 )(1).docx. Sesión/grabación: 22_Minuta_S6_App_Sesion1_Entendimiento_2026-07-08.md. Validador(es): Eduardo Guzmán González; María de los Ángeles Yedra Santiago; Nancy Guissel Gómez Hernández; Laura Elena Pérez Calderón; David Arturo Marcial Martínez; Said Cordero Hernández.. Funcionalidad/BB: APP/Req. Funcional 7 - Visualización del Módulo de TDC en el home de la App/Botoneras dinámicas del home.</t>
  </si>
  <si>
    <t>APP/Req. Funcional 8 - Visualización de Submódulo tarjeta física y digital/Submódulo de tarjetas físicas y digitales asociadas</t>
  </si>
  <si>
    <t>Visualización de Submódulo tarjeta física y digital
 HU ORIGINAL — CITA TEXTUAL DEL DEF
 Fuente: Requisito funcional 2 – Submódulo de Tarjetas Física y Digital, págs. 10-11
 Como cliente de tarjeta de crédito
 Quiero visualizar un apartado específico para gestionar mis tarjetas físicas y digitales
 Para consultar información relevante y administrar mis tarjetas desde la App BanCoppel</t>
  </si>
  <si>
    <t>Yo: Como cliente de TDC
Quiero: consultar mis tarjetas asociadas física y digital
Para: identificar y gestionar cada tarjeta desde la APP.</t>
  </si>
  <si>
    <t>• terminación de número de tarjeta 'Mis tarjetas asociadas' con visualización dual (física + digital) o única [DEF RF-3 Escenarios].
 • Cada tarjeta incluye acciones de bloquear/desbloquear; movimientos consultables por tarjeta separada y consolidados [DEF RF-3].
 • Opciones 'Disposición de efectivo', 'Pago de tarjeta', 'Domiciliación', 'Descarga EDC' se muestran una sola vez (aplican a la línea) [DEF RF-3].
 • Cliente con una sola tarjeta: Home 'Cuentas' sin cambios respecto a producción [DEF RF-3 Escenario 2].
 • Activación pendiente de tarjeta digital no enrolada (estatus 12).
 CITA TEXTUAL DEL DEF
 Fuente: Requisito funcional 2 – Submódulo de Tarjetas Física y Digital, págs. 10-11
 Escenario 1: Cliente con tarjeta de crédito física y digital
 Dado que el cliente posee una tarjeta de crédito física y una tarjeta de crédito digital
 Cuando el cliente ingresa al módulo de gestión de tarjetas en la App BanCoppel
 Entonces el sistema debe mostrar una card con la información de la tarjeta física
 Y el sistema debe mostrar una card con la información de la tarjeta digital
 Y cada card debe incluir acciones para bloquear y desbloquear la tarjeta
 Y el cliente debe poder visualizar los movimientos de la tarjeta física de forma independiente
 Y el cliente debe poder visualizar los movimientos de la tarjeta digital de forma independiente
 Y el cliente debe poder visualizar los movimientos consolidados de ambas tarjetas
 Y las opciones "Disposición de efectivo", "Pago de tarjeta", "Domiciliación" y "Descarga de estado de cuenta" deben mostrarse una sola vez dentro del módulo, ya que aplican a la línea de crédito</t>
  </si>
  <si>
    <t xml:space="preserve">CA01 - Cliente con tarjeta física y digital 
Dado que el cliente posee una TDC física y una digital
Cuando ingresa al submódulo de gestión de tarjetas
Entonces el sistema muestra una card por cada tarjeta con acciones de bloquear/desbloquear, generar CVV(solo para tarjeta digital) por tarjeta y consolidados.
CA02 - Cliente con una sola tarjeta 
Dado que el cliente posee únicamente una TDC (física o digital)
Cuando ingresa a la App
Entonces el sistema muestra la terminación de número de tarjeta 'Home - Cuentas' sin cambios respecto a la versión en producción
CA03 - Activación pendiente Tarjeta Digital
Dado que el cliente tiene una tarjeta digital inactiva (estatus 12)
Cuando consulte su tarjeta asociada
Entonces el sistema muestra la tarjeta con la acción  directa con la leyenda "Activar Digital" para que el cliente inicie el flujo de (enrolamiento/activación) de activación pendiente 
CA04 - Activación pendiente Tarjeta Física
Dado que el cliente tiene una tarjeta física  inactiva (estatus 14)
Cuando consulte su tarjeta asociada
Entonces el sistema presenta una alerta informativa o leyenda que indica: "Asigna NIP en ATM" (o cajero), redirigiendo al cliente a realizar un cambio de NIP obligatorio en una lectora física para poder usar el plástico.
</t>
  </si>
  <si>
    <t>• Cliente autenticado con TDC física y/o digital.
• API de tarjetas asociadas disponible.
• Classification (F/D) disponible por plástico.</t>
  </si>
  <si>
    <t>• Alcance trazado a RF-08 y HDU-MA-20-APP.
• Canales asociados: APP BanCoppel.
• Regla RN-HU-027 (elegibilidad de activación) documentada [SUPUESTO: limitada a origen Apolo].
• Escenarios: cliente dual, cliente única tarjeta, activación pendiente.</t>
  </si>
  <si>
    <t>• Con física + digital se muestran dos cards con acciones de bloqueo/desbloqueo.
• Los movimientos se consultan por tarjeta y consolidados.
• Las opciones por línea se muestran una sola vez.
• Con una sola tarjeta, el Home no cambia respecto a producción.
• Canales asociados: APP BanCoppel.</t>
  </si>
  <si>
    <t>Robustecida con S6/S12. Regla RN-HU-027 (activación digital [SUPUESTO] limitada a origen Apolo, confirmar para migrados). Opciones por línea únicas. Nota: HDU de eliminación aún referenciada en docs App pese a retiro parcial.
[Nota de fragmentación original] Se fragmenta porque el submódulo de tarjetas asociadas es una terminación de número de tarjeta/flujo distinto al home.</t>
  </si>
  <si>
    <t>22_Minuta_S6_App_Sesion1_Entendimiento_2026-07-08.md</t>
  </si>
  <si>
    <t>APP/Req. Funcional 8 - Visualización de Submódulo tarjeta física y digital/Detalle de tarjeta física o digital</t>
  </si>
  <si>
    <t>Yo: Como cliente TDC
Quiero: consultar el detalle de mi tarjeta física o digital
Para: conocer datos y estado actual de cada tarjeta.</t>
  </si>
  <si>
    <t>• Detalle de tarjeta física o digital con datos y estado actual.
 • Revelación de terminación de número de tarjeta completo/CVV requiere autenticación fuerte (2FA/token) por PCI-DSS [RN-HU-028].
 • Copia de datos y encendido/apagado del plástico desde el detalle [RF-08].
 • La desactivación/bloqueo temporal de un plástico no interrumpe cargos recurrentes/domiciliaciones de la cuenta [RF-08 Acuerdo S6/S12].
 • El campo ownFunds (saldo a favor) está mal mapeado a paymentType en el diseño actual — defecto a corregir (Comentado en sesion).
 CITA TEXTUAL DEL DEF
 Fuente: Requisito funcional 2 – Submódulo de Tarjetas Física y Digital, págs. 10-11
 Dado que soy un cliente con una tarjeta de crédito física y una tarjeta de crédito digital
 Cuando ingreso al módulo de gestión de tarjetas en la App BanCoppel
 Entonces debo visualizar una card con los datos de mi tarjeta física
 Y debo visualizar una card con los datos de mi tarjeta digital
 Y cada card debe tener botones personalizados para bloquear / desbloquear la tarjeta
 Y debo poder visualizar los movimientos de cada tarjeta por separado
 Y debo poder visualizar los movimientos de las dos tarjetas al mismo tiempo
 Y las opciones "disposición de efectivo", "pago de tarjeta", "domiciliación" y "Descarga Estado de Cuenta" se deben visualizar una sola vez en el módulo (ya que aplican sobre la línea de crédito).</t>
  </si>
  <si>
    <t xml:space="preserve">CA01 - Revelación con autenticación fuerte 
Dado que el cliente solicita ver el terminación de número de tarjeta completo o CVV
Cuando se dispara la validación PCI-DSS
Entonces el sistema sólo revela los datos sensibles tras autenticación fuerte (token)
</t>
  </si>
  <si>
    <t>• Cliente autenticado.
• 2FA/token disponible para revelar datos sensibles.
• API de detalle de tarjeta disponible.</t>
  </si>
  <si>
    <t>• Alcance trazado a RF-08 y HDU-MA-21-APP/22-APP.
• Canales asociados: APP BanCoppel.
• Regla RN-HU-028 (PCI-DSS, 2FA para terminación de número de tarjeta/CVV) documentada.
• Defecto técnico: ownFunds→paymentType mal mapeado.
• Escenarios: ver detalle, revelar datos con 2FA, bloqueo no afecta recurrentes.</t>
  </si>
  <si>
    <t>• El detalle muestra datos y estado actual de la tarjeta.
• La revelación de terminación de número de tarjeta/CVV exige autenticación fuerte (2FA/token).
• El apagado del plástico no interrumpe cargos recurrentes/domiciliaciones.
• Canales asociados: APP BanCoppel.</t>
  </si>
  <si>
    <t>Robustecida con S6/S12. Regla RN-HU-028 (PCI-DSS, 2FA). El apagado de plástico no afecta recurrentes de la cuenta. Defecto técnico ownFunds mal mapeado a paymentType, pendiente corrección apificación (tickets BIAN).
[Nota de fragmentación original] Se separa porque el detalle de tarjeta contiene reglas propias de visualización, seguridad y actualización.</t>
  </si>
  <si>
    <t>APP/Req. Funcional 8 - Visualización de Submódulo tarjeta física y digital/Controles de acciones por CVV</t>
  </si>
  <si>
    <t>Visualización de Submódulo tarjeta física y digital
 HU ORIGINAL — CITA TEXTUAL DEL DEF
 Fuente: Requisito funcional 1 y 2 – Tarjeta digital y acciones visibles, págs. 9-11
 Como cliente de tarjeta de crédito
 Quiero visualizar un apartado específico para gestionar mis tarjetas físicas y digitales
 Para consultar información relevante y administrar mis tarjetas desde la App BanCoppel</t>
  </si>
  <si>
    <t>Yo: Como cliente TDC
Quiero: que las acciones sensibles se controlen cuando hay CVV visible
Para: reducir riesgo operativo en la APP.</t>
  </si>
  <si>
    <t>• CVV dinámico de la tarjeta digital visible en el detalle con fecha de vencimiento [DEF RF-1].
 • Estado de botones/acciones sensibles controlado mientras el CVV está visible (regla de seguridad).
 • Convivencia CVV: la digital tiene CVV dinámico, la física no [RF-08 Acuerdo S6/S12].
 • Numeración: en BIN 426807 producto 11, el 8º dígito 0-4 = digital, 5-9 = física [RN-OP-APP-02].
 • terminación de número de tarjeta de física y digital siempre diferentes aunque compartan cuenta clave [RN-OP-APP-01].
 CITA TEXTUAL DEL DEF
 Fuente: Requisito funcional 1 y 2 – Tarjeta digital y acciones visibles, págs. 9-11
 Y el módulo debe contener dos "cards" visuales:
 | Tipo | Datos Visibles | Acciones Visibles |
 | Física | Terminación terminación de número de tarjeta, Saldo, Límite | Bloquear, NIP |
 | Digital | CVV Dinámico, Fecha Venc. | Bloquear, Eliminar|
 Entonces el sistema debe mostrar una card con la información de la tarjeta física
 Y el sistema debe mostrar una card con la información de la tarjeta digital
 Y cada card debe incluir acciones para bloquear y desbloquear la tarjeta</t>
  </si>
  <si>
    <t>CA01 - CVV dinámico visible con control 
Dado que el cliente se encuentra la pantalla de gestion  de su tarjeta digital tras autenticarse
Cuando el CVV dinámico se hace visible
Entonces el sistema muestra CVV y vencimiento y controla el estado de las acciones sensibles mientras el CVV permanece visible
CA02 - Sin CVV en tarjeta física 
Dado que el cliente cuente con una tarjeta fisica 
Cuando  se encuentra la pantalla de gestion 
Entonces el sistema muestra una leyenda: "El código de seguridad de tu tarjeta se encuentra en la parte de atrás de tu tarjeta física"   
CA03 - Identificación por numeración 
Dado que se resuelve el tipo de plástico
Cuando se evalúa el 8º dígito del terminación de número de tarjeta en BIN 426807 producto 11
Entonces dígitos 0-4 se identifican como digital y 5-9 como física, con terminación de número de tarjeta siempre diferentes</t>
  </si>
  <si>
    <t>• Cliente autenticado con tarjeta digital.
• Servicio de CVV dinámico disponible.
• 2FA/token para exposición de CVV.</t>
  </si>
  <si>
    <t>• Alcance trazado a RF-08 y HDU-MA-22-APP.
• Canales asociados: APP BanCoppel.
• Reglas RN-OP-APP-01/02, RN-HU-028 documentadas.
• Escenarios: CVV visible con control de acciones, timeout de CVV.</t>
  </si>
  <si>
    <t>• El CVV dinámico se muestra con su vencimiento tras autenticación.
• Las acciones sensibles se controlan mientras el CVV está visible.
• La numeración distingue digital/física por el 8º dígito.
• Canales asociados: APP BanCoppel.</t>
  </si>
  <si>
    <t>Robustecida con S6/S12. Reglas: RN-OP-APP-01 (terminación de número de tarjeta diferentes), RN-OP-APP-02 (8º dígito define tipo), RN-HU-028 (2FA para datos sensibles). Regla de seguridad específica: controlar botones mientras el CVV es visible.
[Nota de fragmentación original] Se separa por ser una regla específica de seguridad/estado de botones dependiente de CVV.</t>
  </si>
  <si>
    <t>APP/Req. Funcional 9 - Visualización de transacciones tarjeta física y digital en detalle/Consulta de movimientos TDC de los últimos 30 días</t>
  </si>
  <si>
    <t>Visualización de transacciones tarjeta física y digital en detalle
 HU ORIGINAL — CITA TEXTUAL DEL DEF
 Fuente: Requisito funcional 24 – Mostrar en app etiqueta “en proceso” en compras no conciliadas, pág. 66
 Como un Cliente de Bancoppel,
 Quiero consultar los movimientos de mi cuenta de tarjeta de crédito por diferentes periodos,
 Para poder acceder, comprender y administrar mi historial de transacciones.</t>
  </si>
  <si>
    <t>Yo: Como cliente APP con TDC física y/o digital
Quiero: consultar movimientos del día y de los últimos 30 días
Para: dar seguimiento a mis operaciones recientes.</t>
  </si>
  <si>
    <t>• Listado de movimientos por periodo: día actual, últimos 7 días, últimos 30 días [DEF RF-24].
 • Orden de la transacción más reciente a la más antigua; indica si es física o digital [DEF RF-3 Escenario 1].
 • Etiqueta 'En proceso' para no conciliadas (amountHoldPlaced = true) en tiempo real [RN-OP-APP-09].
 • Rango máximo de consulta 30 días por llamada a la API; para más, redirige a descargar EDC [RN-OP-APP-10].
 • Movimientos del banco (comisión primer uso, intereses, IVA, aclaraciones) sin indicador físico/digital [RN-OP-APP-06].
 CITA TEXTUAL DEL DEF
 Fuente: Requisito funcional 24 – Mostrar en app etiqueta “en proceso” en compras no conciliadas, pág. 66
 Escenario: Consulta de transacciones recientes
 Dado que soy un cliente con una cuenta de tarjeta de crédito Bancoppel activa
 Cuando solicitó consultar las transacciones para el día actual, los últimos 7 días o los últimos 30 días
 Entonces el sistema debe mostrar mi historial de transacciones para el periodo solicitado</t>
  </si>
  <si>
    <t>CA01 - Consulta de transacciones recientes 
Dado que el cliente tiene una TDC activa
Cuando solicita movimientos del día, o últimos 30 días
Entonces el sistema muestra el historial del periodo, ordenado del más reciente al más antiguo, indicando por transacción si es física o digital
CA02 - Etiqueta En proceso 
Dado que una compra e-commerce no está conciliada (amountHoldPlaced=true)
Cuando se lista en movimientos
Entonces el sistema muestra la etiqueta 'En proceso' en tiempo real; al conciliar (amountHoldPlaced=false) se muestra como confirmada
CA03 - Falla de integración 
Dado que hay una falla de integración con Smart Vista y no se obtiene el estado de conciliación
Cuando el cliente accede a movimientos
Entonces el sistema muestra un mensaje de error amigable sin datos inconsistentes</t>
  </si>
  <si>
    <t>• Cliente autenticado con TDC física y/o digital.
• API getTransactions v22 disponible (amountHoldPlaced propagado).
• Consulta acotada a 30 días.</t>
  </si>
  <si>
    <t>• Alcance trazado a RF-09 y HDU-MA-23-APP.
• Canales asociados: APP BanCoppel.
• Reglas RN-OP-APP-06/08/09/10, RN-HU-029 documentadas.
• Campo técnico amountHoldPlaced (no confundir con holdBalance) — (comentado en sesión).
• Escenarios: consulta por periodo, en proceso, rango &gt; 30 días, falla de integración.</t>
  </si>
  <si>
    <t>• El listado muestra movimientos del periodo (hoy/7/30 días) ordenados del más reciente al más antiguo.
• Las no conciliadas muestran 'En proceso' en tiempo real (amountHoldPlaced=true).
• Cada movimiento indica física/digital; los del banco no llevan indicador.
• Para rangos &gt; 30 días se redirige a descargar el EDC.
• Canales asociados: APP BanCoppel.</t>
  </si>
  <si>
    <t>Robustecida con S6/S12 + anexo. Reglas: RN-OP-APP-06 (movimientos de banco sin indicador),  (indicador física/digital vía GetTransactions v22), RN-OP-APP-09 (amountHoldPlaced=true → 'En proceso'), RN-OP-APP-10 (tope 30 días). RN-HU-029 [SUPUESTO]: manejo de falla de integración con Smart Vista.
[Nota de fragmentación original] Se fragmenta porque la lista de movimientos tiene alcance propio separado del detalle del movimiento.</t>
  </si>
  <si>
    <t>Eduardo Guzmán González; María de los Ángeles Yedra Santiago; David Arturo Marcial Martínez; Said Cordero Hernández; Armando García Ortiz; Sergio Arellano Payán.</t>
  </si>
  <si>
    <t>22_Minuta_S6_App_Sesion1_Entendimiento_2026-07-08.md | 22d_Minuta_S10_ICCAT_SIWEB_2026-07-10.md</t>
  </si>
  <si>
    <t>APP/Req. Funcional 9 - Visualización de transacciones tarjeta física y digital en detalle/Detalle de movimientos TDC</t>
  </si>
  <si>
    <t>Visualización de transacciones tarjeta física y digital en detalle
 HU ORIGINAL — CITA TEXTUAL DEL DEF
 Fuente: Requisito funcional 3 – Visualización de transacciones tarjeta física y digital en sección de detalle, págs. 11-12
 Como cliente de tarjeta de crédito BanCoppel
 Quiero visualizar en la App el estado de mis transacciones físicas y digitales
 Para tener control de mis gastos y poder levantar una aclaración de forma oportuna cuando identifique un cargo no reconocido</t>
  </si>
  <si>
    <t>Yo: Como cliente de la APP Bancoppel
Quiero: ver el detalle de cada movimiento de mi TDC
Para: identificar importes, comercios y estatus de mis transacciones.</t>
  </si>
  <si>
    <t>• Detalle de la transacción: fecha/hora exacta, descripción del comercio, monto exacto, estado actual, indicador física/digital [DEF RF-3 Escenario 2].
 • Estados estandarizados: En Proceso (PENDING_AUTH), Aprobada (SETTLED), Rechazada (REJECTED) [DEF RF-1 Escenario Outline].
 • Campo RFC del comercio sin decisión final; SmartVista no lo almacena, solo disponible al día siguiente vía conciliación (comentado en sesión).
 • Desde 'En Proceso' o 'Aprobada' el cliente puede proceder a una aclaración según política vigente [DEF RF-3].
 CITA TEXTUAL DEL DEF
 Fuente: Requisito funcional 3 – Visualización de transacciones tarjeta física y digital en sección de detalle, págs. 11-12
 Escenario 1: Visualización de transacciones recientes y pendientes de conciliación
 Dado que el cliente ha iniciado sesión en la App BanCoppel
 Y el cliente cuenta con una tarjeta de crédito física o digital
 Y el cliente tiene transacciones recientes asociadas a su tarjeta de crédito
 Cuando el cliente accede a la sección de movimientos de su tarjeta de crédito
 Entonces el sistema debe mostrar una lista de todas las transacciones físicas y digitales
 Y la lista debe estar ordenada de la transacción más reciente a la más antigua
 Y para las transacciones no conciliadas se debe mostrar la etiqueta "En Proceso" en tiempo real
 Y cada transacción debe indicar si corresponde a una tarjeta física o digital
 Escenario 2 : Visualización del detalle de una transacción
 Dado que el cliente se encuentra en la lista de movimientos de su tarjeta de crédito
 Cuando el cliente selecciona una transacción específica
 Entonces el sistema debe mostrar el detalle de la transacción con la siguiente información:
 | Campo |
 | Fecha y hora exacta de la transacción |
 | Descripción del comercio o de la transacción |
 | Monto exacto de la transacción |
 | Estado actual de la transacción |
 | Indicador de tarjeta física o tarjeta digital |</t>
  </si>
  <si>
    <t>CA01 - Detalle de una transacción 
Dado que el cliente está en la lista de movimientos
Cuando selecciona una transacción específica
Entonces el sistema muestra fecha y hora exacta, descripción del comercio, monto exacto, estado actual e indicador de tarjeta física o digital en los movmientos no efectuados por banco (comisiones)
CA02 - Estado en proceso y aclaración 
Dado que el cliente visualiza una transacción con estado 'En Proceso' indicando el saldo retenido (compras no confirmadas) 
Cuando revisa el detalle
Entonces el sistema muestra la información mediante un indicador visual  "En proceso" 
CA03 - Sin días restantes 
Dado que el cliente abre el detalle de una compra en proceso
Cuando se renderiza la terminación de número de tarjeta
Entonces el sistema no muestra el indicador de 'días restantes' (retirado para evitar confusión y aclaraciones indebidas)</t>
  </si>
  <si>
    <t>• Cliente en la lista de movimientos.
• API de detalle de transacción disponible.
• Mapeo de estados core→etiqueta App configurado.</t>
  </si>
  <si>
    <t>• Alcance trazado a RF-09 y HDU-MA-24-APP.
• Canales asociados: APP BanCoppel.
• Decisiones abiertas: 'días restantes'  y RFC (comentado en sesión ).
• Escenarios: ver detalle, estado en proceso, habilitador de aclaración.</t>
  </si>
  <si>
    <t>• El detalle muestra fecha/hora, comercio, monto, estado e indicador físico/digital.
• Los estados se mapean a las etiquetas En Proceso/Aprobada/Rechazada.
• No se muestra el indicador de 'días restantes'.
• Canales asociados: APP BanCoppel.</t>
  </si>
  <si>
    <t>Robustecida con S6/S10. Regla RN-HU-030 [Información insuficiente]: el DEF asume la visualización como habilitador de aclaración sin detallar el flujo. Acuerdo S10: eliminar 'dias restantes'. RFC sin cierre formal.
[Nota de fragmentación original] Se separa porque el detalle de movimiento es una consulta de segundo nivel, distinta al listado.</t>
  </si>
  <si>
    <t>APP/Req. Funcional 10 - Bloqueo temporal y Desbloqueo de tarjeta física desde la APP/Bloqueo temporal de tarjeta desde la APP</t>
  </si>
  <si>
    <t>Bloqueo temporal y Desbloqueo de tarjeta física desde la APP
 HU ORIGINAL — CITA TEXTUAL DEL DEF
 Fuente: Requisito funcional 18 – Bloqueo temporal y Desbloqueo de tarjeta física desde la APP, págs. 56-57
 Dado que soy un cliente de tarjeta de crédito
 Y he iniciado sesión en la App móvil de BanCoppel
 Cuando navego a la sección de control de tarjetas y selecciono la opción de "Bloqueo por robo/extravío/uso indebido" para mi tarjeta
 Entonces mi tarjeta de crédito debe ser bloqueada inmediatamente en el sistema
 Y la App me muestra un mensaje de confirmación del bloqueo.</t>
  </si>
  <si>
    <t>Yo: Como cliente de la APP Bancoppel
Quiero: bloquear temporalmente mi tarjeta física o digital
Para: evitar operaciones cuando sospeche riesgo o pérdida temporal.</t>
  </si>
  <si>
    <r>
      <rPr>
        <sz val="9"/>
        <color rgb="FF0000FF"/>
        <rFont val="Carlito"/>
      </rPr>
      <t xml:space="preserve">• Bloqueo temporal de tarjeta física o digital desde la App; cambia el estatus en Smart Vista al código 20 [RN-OP-S6/RF-10 Acuerdo S6].
 • El bloqueo es el mismo usado en otros canales (CAT, Sucursal) — centralizado en tronco común [RF-16/18 Consideraciones].
 </t>
    </r>
    <r>
      <rPr>
        <sz val="9"/>
        <color rgb="FF0000FF"/>
        <rFont val="Carlito"/>
      </rPr>
      <t>•</t>
    </r>
    <r>
      <rPr>
        <b/>
        <sz val="9"/>
        <color rgb="FF0000FF"/>
        <rFont val="Carlito"/>
      </rPr>
      <t xml:space="preserve"> Los cargos recurrentes continúan procesándose en el backoffice pese al bloqueo temporal [RF-10 Acuerdo S6]. (Esto se manda a un realese posterior)</t>
    </r>
    <r>
      <rPr>
        <sz val="9"/>
        <color rgb="FF0000FF"/>
        <rFont val="Carlito"/>
      </rPr>
      <t xml:space="preserve">
 • Transacción entrante sobre tarjeta bloqueada es rechazada por el autorizador [RN-HU-031].
 • Registro del evento con fecha, hora, canal y notificación al cliente.
 CITA TEXTUAL DEL DEF
 Fuente: Requisito funcional 18 – Bloqueo temporal y Desbloqueo de tarjeta física desde la APP, págs. 56-57
 Dado que soy un cliente de tarjeta de crédito
 Y he iniciado sesión en la App móvil de BanCoppel
 Cuando navego a la sección de control de tarjetas y selecciono la opción de "Bloqueo por robo/extravío/uso indebido" para mi tarjeta
 Entonces mi tarjeta de crédito debe ser bloqueada inmediatamente en el sistema
 Y la App me muestra un mensaje de confirmación del bloqueo.
 Seguridad y Autenticación: Se debe asegurar un proceso robusto de autenticación del cliente en todos los canales (CAT, App, Promontorio) antes de ejecutar el desbloqueo o bloqueo de la tarjeta para evitar fraudes.
 Multicanalidad del Bloqueo: El bloqueo debe ser centralizado (tronco común TdC en Smart Vista), de modo que un bloqueo iniciado en un canal (ej. CAT) se refleje inmediatamente en todos los demás canales y sistemas transaccionales.
 Registro de Eventos: Cada acción de bloqueo o desbloqueo debe ser registrada con fecha, hora, canal utilizado y usuario/agente que realizó la acción para fines de auditoría y trazabilidad.
 Comunicación al Cliente: El cliente debe ser notificado inmediatamente después de un bloqueo/desbloqueo exitoso (ej. por SMS o notificación push) para informarle del estado de su tarjeta.</t>
    </r>
  </si>
  <si>
    <t xml:space="preserve">CA01 - Bloqueo temporal exitoso 
Dado que el cliente autenticado navega al control de tarjetas y selecciona bloqueo por robo/extravío/uso indebido
Cuando confirma la acción
Entonces la tarjeta se bloquea inmediatamente (estatus 20) en SmartVista, se refleja en todos los canales y la App muestra confirmación
CA02 - Rechazo de compras en terminal punto de venta / comercio electronico (tarjeta fisica/ tarjeta digital) 
Dado que la tarjeta está bloqueada temporalmente
Cuando llega una compra entrante
Entonces el autorizador la rechaza por motivo de bloqueo
</t>
  </si>
  <si>
    <t>• Cliente autenticado en la App.
• Tarjeta en estatus reversible (00 activa).
• Servicio de cambio de estatus Smart Vista disponible.</t>
  </si>
  <si>
    <t>• Alcance trazado a RF-10 y HDU-MA-25-APP.
• Canales asociados: APP BanCoppel, Smart Vista.
• Reglas RN-HU-031, RF-10 (estatus 20) documentadas.
• Multicanalidad: el bloqueo se refleja en todos los canales.
• Escenarios: bloqueo exitoso, rechazo de transacción entrante, recurrentes continúan.</t>
  </si>
  <si>
    <t>• El bloqueo cambia el estatus a 20 en Smart Vista y se refleja en todos los canales.
• La App muestra confirmación del bloqueo.
• Las transacciones entrantes sobre la tarjeta bloqueada se rechazan.
• Los cargos recurrentes continúan procesando.
• Canales asociados: APP BanCoppel,SmartVista.</t>
  </si>
  <si>
    <t>Robustecida con S6. Reglas: RF-10 (estatus 20), RN-HU-031 (rechazo de entrante), multicanalidad (bloqueo centralizado en tronco común). Los recurrentes/domiciliaciones no se interrumpen (RF-08/S6).
[Nota de fragmentación original] Se separa bloqueo y desbloqueo porque son acciones reversibles con resultados distintos; el DEF menciona física y digital aunque el inventario indique física.</t>
  </si>
  <si>
    <t>APP/Req. Funcional 10 - Bloqueo temporal y Desbloqueo de tarjeta física desde la APP/Desbloqueo temporal de tarjeta desde la APP</t>
  </si>
  <si>
    <t>Bloqueo temporal y Desbloqueo de tarjeta física desde la APP
 HU ORIGINAL — CITA TEXTUAL DEL DEF
 Fuente: Requisitos funcionales 16 y 18 – Desbloqueo multicanal / APP, págs. 53 y 56-57
 El DEF presenta el bloqueo de APP en formato Gherkin y menciona el desbloqueo de APP en las reglas multicanal; no incluye una narrativa Como/Quiero/Para independiente para el desbloqueo en APP.
 Dado que soy un cliente de tarjeta de crédito
 Y he iniciado sesión en la App móvil de BanCoppel
 Cuando navego a la sección de control de tarjetas y selecciono la opción de "Bloqueo por robo/extravío/uso indebido" para mi tarjeta
 Entonces mi tarjeta de crédito debe ser bloqueada inmediatamente en el sistema
 Y la App me muestra un mensaje de confirmación del bloqueo.</t>
  </si>
  <si>
    <t>Yo: Como cliente de la APP Bancoppel
Quiero: desbloquear una tarjeta previamente bloqueada temporalmente
Para: volver a operar cuando el riesgo haya sido descartado.</t>
  </si>
  <si>
    <r>
      <rPr>
        <sz val="9"/>
        <color rgb="FF0000FF"/>
        <rFont val="Carlito"/>
      </rPr>
      <t>• Desbloqueo de tarjeta previamente bloqueada temporalmente (estatus 20 → 00) desde la App.
 • Válido solo para bloqueos reversibles; los bloqueos definitivos (robo/extravío 43) no se desbloquean desde App [RN-HU-032].
 •</t>
    </r>
    <r>
      <rPr>
        <b/>
        <sz val="9"/>
        <color rgb="FF0000FF"/>
        <rFont val="Carlito"/>
      </rPr>
      <t xml:space="preserve"> Bloqueos judiciales: estatus final no reversible, reactivación fuera del alcance de la App [RN-OP-APP-15].(Se descarta este criterio para un proximo realese)</t>
    </r>
    <r>
      <rPr>
        <sz val="9"/>
        <color rgb="FF0000FF"/>
        <rFont val="Carlito"/>
      </rPr>
      <t xml:space="preserve">
 • Notificación al cliente del cambio de estado.
 • El desbloqueo es el mismo usado en otros canales (APP/Sucursal/CAT) — centralizado.
 CITA TEXTUAL DEL DEF
 Fuente: Requisitos funcionales 16 y 18 – Desbloqueo multicanal / APP, págs. 53 y 56-57
 El desbloqueo se podrá dar desde el CAT , APP y sucursales
 Seguridad y Autenticación: Se debe asegurar un proceso robusto de autenticación del cliente en todos los canales (CAT, App, Promontorio) antes de ejecutar el desbloqueo o bloqueo de la tarjeta para evitar fraudes.
 Registro de Eventos: Cada acción de bloqueo o desbloqueo debe ser registrada con fecha, hora, canal utilizado y usuario/agente que realizó la acción para fines de auditoría y trazabilidad.
 Tipos de Bloqueo: Se debe definir si el bloqueo es temporal/reversible (ej. por uso indebido de la App) o permanente (ej. por robo/extravío, que puede implicar una reposición posterior). El texto original menciona desbloqueo desde CAT en caso de robo o extravío/uso indebido, sugiriendo un bloqueo potencialmente reversible.
 Comunicación al Cliente: El cliente debe ser notificado inmediatamente después de un bloqueo/desbloqueo exitoso (ej. por SMS o notificación push) para informarle del estado de su tarjeta.</t>
    </r>
  </si>
  <si>
    <t xml:space="preserve">CA01 - Desbloqueo temporal exitoso 
Dado que la tarjeta está en bloqueo temporal reversible (estatus 20)
Cuando el cliente autenticado solicita el desbloqueo desde la App
Entonces la tarjeta vuelve a estatus 00 activa, se refleja en todos los canales y el cliente recibe notificación
CA02 - Intento sobre bloqueo definitivo 
Dado que la tarjeta tiene un bloqueo no reversible (reporte por robo/extravío, estatus 21)
Cuando el cliente intenta desbloquearla desde la App
Entonces el sistema no lo permite y muestra una alerta ID:000426
</t>
  </si>
  <si>
    <t>• Tarjeta en estatus 20 (bloqueo temporal reversible).
• Cliente autenticado en la App.
• Servicio de cambio de estatus disponible.</t>
  </si>
  <si>
    <t>• Alcance trazado a RF-10 y HDU-MA-26-APP.
• Canales asociados: APP BanCoppel, Smart Vista.
• Reglas RN-HU-032, RN-OP-APP-15 documentadas.
• Escenarios: desbloqueo exitoso, intento sobre bloqueo definitivo, bloqueo judicial.</t>
  </si>
  <si>
    <t>• El desbloqueo devuelve la tarjeta a estatus 00 y notifica al cliente.
• No se permite desbloquear tarjetas en estado final (43) desde la App.
• Los bloqueos judiciales no se reactivan desde la App.
• Canales asociados: APP BanCoppel, Smart Vista.</t>
  </si>
  <si>
    <t>Robustecida con S6. Reglas: RN-HU-032 (no desbloquear definitivos desde App, [SUPUESTO]), RN-OP-APP-15 (bloqueo judicial no reversible en App). El desbloqueo es centralizado y multicanal.
[Nota de fragmentación original] Se separa porque el desbloqueo requiere validar estado reversible y actualización de operación.</t>
  </si>
  <si>
    <t>APP/Req. Funcional 11 - Eliminación y generación de tarjeta digital por fraude / compra no reconocida/Eliminación de tarjeta digital</t>
  </si>
  <si>
    <t>Eliminación y generación de tarjeta digital por fraude / compra no reconocida
 HU ORIGINAL — CITA TEXTUAL DEL DEF
 Fuente: Requisito funcional 10 – Eliminación y generación de tarjeta digital, págs. 37-38
 Como tarjetahabiente de crédito
 Quiero poder gestionar mis tarjetas digitales eliminandolas y generando nuevas
 Para tener control, flexibilidad y mayor seguridad sobre mis transacciones en línea.</t>
  </si>
  <si>
    <t>Yo: Como cliente de la APP Bancoppel
Quiero: eliminar mi tarjeta digital
Para: inutilizarla cuando detecte riesgo, fraude o compra no reconocida.</t>
  </si>
  <si>
    <t>• Eliminación de tarjeta digital desde la App con doble factor de autenticación (2FA) [DEF RF-11 Escenario Eliminación].
 • Solo la digital es eliminable; la física se gestiona en sucursal [RN-OP-APP-04].
 • Elegibilidad: el crédito debe estar 'vigente' (no cancelado por el banco) [RN-OP-APP-14/15].
 • Bloqueo si el cliente tiene adeudos vencidos (agingPeriod &gt; 0) [RN-HU-033, RN-OP-APP-11/12].
 • Al eliminar, las suscripciones/compras recurrentes asociadas dejan de funcionar [DEF RF-11].
 CITA TEXTUAL DEL DEF
 Fuente: Requisito funcional 10 – Eliminación y generación de tarjeta digital, págs. 37-38
 Escenario: Eliminación Exitosa de una Tarjeta Digital
 Dado que soy un usuario autenticado de la aplicación bancaria
 Y tengo al menos una tarjeta de crédito digital existente
 Cuando accedo a la sección de gestión de tarjetas digitales
 Y selecciono una tarjeta digital de la lista para eliminar
 Y confirmo la acción de eliminación usando doble factor de autenticación
 Entonces la tarjeta digital seleccionada se elimina de forma inmediata
 Y se me muestra una confirmación visual de la eliminación
 Y todas las suscripciones o compras recurrentes asociadas a esa tarjeta dejan de funcionar
 La aplicación debe usar Autenticación de Dos Factores (2FA) para verificar la identidad del usuario antes de la eliminación.</t>
  </si>
  <si>
    <t>CA01 - Eliminación exitosa 
Dado que el cliente autenticado tiene al menos una tarjeta digital y el crédito vigente
Cuando selecciona la tarjeta y confirma la eliminación con doble factor de autenticación
Entonces la tarjeta digital se elimina de inmediato, se muestra confirmación visual y las suscripciones/compras recurrentes asociadas dejan de funcionar
CA02 - Crédito con atraso 
Dado que el crédito del cliente tiene adeudos vencidos (agingPeriod &gt; 0)
Cuando intenta eliminar/gestionar la tarjeta digital
Entonces el sistema valida y no permite continuar, informando el motivo
CA03 - Intento sobre tarjeta física 
Dado que el cliente intenta eliminar una tarjeta física desde la App
Cuando selecciona la física
Entonces el sistema no ofrece la eliminación (la física se gestiona vía sucursal)</t>
  </si>
  <si>
    <t>• Cliente autenticado con al menos una tarjeta digital.
• Crédito vigente y sin adeudos vencidos (agingPeriod = 0).
• 2FA disponible.</t>
  </si>
  <si>
    <t>• Alcance trazado a RF-11 y HDU-MA-27-APP.
• Canales asociados: APP BanCoppel.
• Reglas RN-OP-APP-04/14, RN-HU-033 documentadas.
• Nota: DEF dice 'vencido sin atraso'; se interpreta 'vigente sin atraso' (RN-HU-033).
• Escenarios: eliminación exitosa, crédito con atraso, intento sobre física.</t>
  </si>
  <si>
    <t>• La digital se elimina de inmediato tras 2FA y se muestra confirmación.
• Las suscripciones/recurrentes asociadas dejan de funcionar.
• No se permite eliminar con crédito atrasado ni eliminar la física desde la App.
• Canales asociados: APP BanCoppel.</t>
  </si>
  <si>
    <t>Robustecida con S6/S12. Reglas: RN-OP-APP-04 (solo digital), RN-OP-APP-14 (crédito vigente para eliminar), RN-HU-033 (atraso bloquea). Nota: 'vencido sin atraso' del DEF se corrige a 'vigente sin atraso'.
[Nota de fragmentación original] Se fragmenta porque eliminar/cancelar la digital y generar una nueva son capacidades distintas.</t>
  </si>
  <si>
    <t>APP/Req. Funcional 11 - Eliminación y generación de tarjeta digital por fraude / compra no reconocida/Generación de nueva tarjeta digital</t>
  </si>
  <si>
    <t>Eliminación y generación de tarjeta digital por fraude / compra no reconocida
 HU ORIGINAL — CITA TEXTUAL DEL DEF
 Fuente: Requisito funcional 10 – Eliminación y generación de tarjeta digital, pág. 37
 Como tarjetahabiente de crédito
 Quiero poder gestionar mis tarjetas digitales eliminandolas y generando nuevas
 Para tener control, flexibilidad y mayor seguridad sobre mis transacciones en línea.</t>
  </si>
  <si>
    <t>Yo: Como cliente de la APP Bancoppel
Quiero: generar una nueva tarjeta digital después de eliminar la anterior
Para: continuar operando de forma segura.</t>
  </si>
  <si>
    <t>• Generación de nueva tarjeta digital al instante con número, vencimiento y CVV diferentes a la anterior [DEF RF-11 Escenario Generación].
 • Elegibilidad: crédito 'al corriente' (umbral distinto al de eliminación, que exige 'vigente').
 • Bloqueo por adeudos vencidos (agingPeriod &gt; 0) [RN-HU-034, RN-OP-APP-12].
 • Máximo 5 tarjetas digitales activas simultáneas y máximo 3 reposiciones/regeneraciones en toda la vida de la cuenta [RF-11 Acuerdo S6/S12].
 • Al alcanzar el límite de reposiciones (≥3), la API bloquea el botón 'Activar/Generar digital' [Contrato API RecreCustomerCreditCard].
 CITA TEXTUAL DEL DEF
 Fuente: Requisito funcional 10 – Eliminación y generación de tarjeta digital, pág. 37
 Escenario: Generación exitosa de una nueva tarjeta digital
 Dado que soy un usuario autenticado de la aplicación bancaria
 Y me encuentro en la sección de gestión de tarjetas digitales
 Y tengo mi crédito al corriente
 Y cuento con una tarjeta digital previa
 Cuando selecciono la opción para generar una nueva tarjeta digital
 Y el sistema completa el proceso de generación
 Entonces se crea una nueva tarjeta digital de forma inmediata
 Y la nueva tarjeta digital tiene un número, fecha de vencimiento y CVV diferentes a la tarjeta anterior
 Y se me muestra una confirmación visual de la generación</t>
  </si>
  <si>
    <t xml:space="preserve">CA01 - Generación exitosa 
Dado que el cliente autenticado tiene crédito al corriente, cuenta con una tarjeta digital previa y no ha superado los límites
Cuando selecciona generar una nueva tarjeta digital
Entonces se crea de forma inmediata con número, vencimiento y CVV diferentes a la anterior y se muestra confirmación visual
CA02 - Crédito con atraso 
Dado que el crédito del cliente tiene adeudos vencidos
Cuando solicita una nueva tarjeta digital
Entonces el sistema valida, no permite continuar e informa que en caso de atraso no se puede continuar
CA03 - Límite de reposiciones 
Dado que el cliente ya alcanzó 5 reposiciones digitales /regeneraciones en la vida de la cuenta 
Cuando intenta generar una nueva
Entonces el boton de elimiacion no se mostraria en la app </t>
  </si>
  <si>
    <t>• Cliente autenticado con crédito al corriente.
• Contador de reposiciones &lt; 3.
• Menos de 5 digitales activas.</t>
  </si>
  <si>
    <t>• Alcance trazado a RF-11 y HDU-MA-28-APP.
• Canales asociados: APP BanCoppel.
• Reglas RN-HU-034, RF-11 (5 activas / 3 regeneraciones) documentadas.
• Contrato API RecreCustomerCreditCard (contador de reposiciones).
• Escenarios: generación exitosa, crédito atrasado, límite de reposiciones.</t>
  </si>
  <si>
    <t>• La nueva digital se crea al instante con número, vencimiento y CVV diferentes.
• Se muestra confirmación visual de la generación.
• No se permite generar con crédito atrasado ni superar 5 activas / 3 regeneraciones.
• Canales asociados: APP BanCoppel.</t>
  </si>
  <si>
    <t>Robustecida con S6/S12. Reglas: RN-HU-034 (atraso bloquea generación), RF-11 (máx 5 digitales activas, máx 3 regeneraciones/vida). Umbral 'al corriente' para crear vs. 'vigente' para eliminar. API bloquea botón si contador ≥ 3.
[Nota de fragmentación original] Se separa porque la generación de una nueva tarjeta tiene creación, persistencia y actualización visual propias.</t>
  </si>
  <si>
    <t>APP/Req. Funcional 11 - Eliminación y generación de tarjeta digital por fraude / compra no reconocida/Aviso de impactos por eliminación de tarjeta digital</t>
  </si>
  <si>
    <t>Eliminación y generación de tarjeta digital por fraude / compra no reconocida
 HU ORIGINAL — CITA TEXTUAL DEL DEF
 Fuente: Requisito funcional 10 – Eliminación y generación de tarjeta digital, págs. 37-38
 Como tarjetahabiente de crédito
 Quiero poder gestionar mis tarjetas digitales eliminándolas y generando nuevas
 Para tener control, flexibilidad y mayor seguridad sobre mis transacciones en línea.</t>
  </si>
  <si>
    <t>Yo: Como cliente de la APP Bancoppel
Quiero: conocer impactos antes de eliminar mi tarjeta digital
Para: evitar fallos en cargos domiciliados o pagos recurrentes.</t>
  </si>
  <si>
    <t>• Antes de eliminar la tarjeta digital, informar al cliente sobre cargos domiciliados y compras recurrentes asociadas (ej. Netflix) [RN-OP-APP-13/14,].
 • Mensaje de advertencia de que debe notificar a los comercios afiliados sobre el cambio de plástico [RN-OP-APP-13].
 • Al cancelar una tarjeta digital con saldo diferido activo, notificar que el adeudo restante se consolida en una sola exhibición en el revolvente [RN-OP-APP-16].
 • La advertencia es parte del flujo de eliminación (HDU-11) con valor propio.
 CITA TEXTUAL DEL DEF
 Fuente: Requisito funcional 10 – Eliminación y generación de tarjeta digital, págs. 37-38
 Entonces la tarjeta digital seleccionada se elimina de forma inmediata
 Y se me muestra una confirmación visual de la eliminación
 Y todas las suscripciones o compras recurrentes asociadas a esa tarjeta dejan de funcionar
 El proceso de acceso a la gestión debe ser sencillo y rápido.
 Debe haber una comunicación clara al usuario sobre los pasos a seguir.
 Se debe informar de manera destacada que al eliminar la tarjeta, las suscripciones y compras recurrentes dejarán de funcionar.</t>
  </si>
  <si>
    <t xml:space="preserve">CA01 - Confirmación tras advertencia 
Dado que el cliente recibió la advertencia de impactos
Cuando confirma que desea continuar
Entonces el flujo de eliminación continúa hacia la confirmación con doble factor </t>
  </si>
  <si>
    <t>• Flujo de eliminación de tarjeta digital iniciado (HDU-11).
• Existencia de cargos domiciliados/recurrentes o saldo diferido asociado.
• Canal de notificación disponible.</t>
  </si>
  <si>
    <t>• Alcance trazado a RF-11 y HDU-MA-27-APP.
• Canales asociados: APP BanCoppel
• Reglas RN-OP-APP-13/16 documentadas.
• Escenarios: advertencia por recurrentes, advertencia por saldo diferido.</t>
  </si>
  <si>
    <t>• Antes de eliminar, la App informa sobre cargos domiciliados y recurrentes asociados.
• Se advierte al cliente que notifique a los comercios afiliados.
• Si hay saldo diferido, se notifica la consolidación en una sola exhibición al revolvente.
• Canales asociados: APP BanCoppel</t>
  </si>
  <si>
    <t>Robustecida con S6/S12 + anexo. Reglas: RN-OP-APP-13 (advertir recurrentes antes de eliminar, ej. Netflix), RN-OP-APP-16 (notificar consolidación de saldo diferido). (comentado en sesión): regla nueva de advertencia de domiciliaciones.
[Nota de fragmentación original] Se separa porque la advertencia por domiciliaciones es una validación/mensaje con valor propio dentro del flujo de eliminación.</t>
  </si>
  <si>
    <t>22_Minuta_S6_App_Sesion1_Entendimiento_2026-07-08.md | 22d_Minuta_S10_ICCAT_SIWEB_2026-07-10.md
Alcance:Interseccion DEF-Inventario. Normativa: DEF PV 1006626 Mercado Abierto (R4 )(1).docx. Sesión/grabación: 22_Minuta_S6_App_Sesion1_Entendimiento_2026-07-08.md | 22d_Minuta_S10_ICCAT_SIWEB_2026-07-10.md. Validador(es): Eduardo Guzmán González; María de los Ángeles Yedra Santiago; David Arturo Marcial Martínez; Said Cordero Hernández; Armando García Ortiz; Sergio Arellano Payán.. Funcionalidad/BB: APP/Req. Funcional 11 - Eliminación y generación de tarjeta digital por fraude / compra no reconocida/Aviso de impactos por eliminación de tarjeta digital.</t>
  </si>
  <si>
    <t>APP/Req. Funcional 6 - Pagos anticipados y Liquidaciones de Compras diferidas/Pago anticipado parcial de compra diferida</t>
  </si>
  <si>
    <t>Yo: Como cliente de la APP Bancoppel
Quiero: adelantar parcialmente el pago de una compra diferida
Para: reducir capital pendiente desde mi canal digital.</t>
  </si>
  <si>
    <t>• Adelanto parcial de compra diferida desde la App aplicado directo a capital, reduciendo el plazo restante [RN-OP-S4-07].
 • El adelanto no exime la siguiente mensualidad programada [DEF RF-6].
 • Selección de la compra diferida específica a la que se aplica el pago [DEF RF-6].
 • Rechazo si el crédito tiene bloqueo 2/3/4 o mensualidades vencidas [RN-HU-073].
 • Registro vía transacción SIWEB 623 y afectación contable/reportería [DEF RF-6].
 CITA TEXTUAL DEL DEF
 Fuente: Requisito funcional 6 – Pagos anticipados y Liquidaciones de Compras diferidas, pág. 19
 Dado que el cliente cuenta con una compra diferida activa a MSI o MCI
 And el cliente conoce el saldo actual del pago fijo
 Cuando el cliente solicita un adelanto parcial de pago
 Entonces el sistema debe aplicar el pago directamente a la compra diferida seleccionada
 Y el saldo de capital pendiente de la compra debe disminuir
 Y el adelanto parcial no debe eximir el pago de la siguiente mensualidad programada
 Y el pago debe registrarse mediante la transacción SIWEB 623 "PAGO CGO A CTA DE CREDISOLUCIONES"
 Y se afecta los registros contables
 Y se afecta la reportería de sucursal</t>
  </si>
  <si>
    <t>CA01 - Adelanto parcial desde App 
Dado que el cliente autenticado tiene una compra diferida activa y conoce el saldo del pago fijo
Cuando solicita un adelanto parcial desde la App
Entonces el sistema aplica el pago directo a capital, reduce el plazo restante y no exime la siguiente mensualidad
CA02 - Selección de compra
Dado que el cliente tiene múltiples compras diferidas activas
Cuando solicita el adelanto
Entonces el sistema permite seleccionar la compra específica y aplica el pago solo a ella
CA03 - Rechazo por bloqueo o vencidos 
Dado que el crédito tiene un bloqueo 2, 3 o 4 o mensualidades vencidas
Cuando intenta el adelanto desde la App
Entonces el sistema no permite la operación</t>
  </si>
  <si>
    <t>• Cliente autenticado con compra diferida activa (MSI/MCI).
• Crédito sin bloqueo 2/3/4 no vencidos.
• Cliente conoce el saldo del pago fijo.</t>
  </si>
  <si>
    <t>• Alcance trazado a RF-17 y HDU-MA-45-APP.
• Canales asociados: APP BanCoppel,SIWEB
• Reglas RN-OP-S4-07, RN-HU-073 documentadas.
• Escenarios: adelanto parcial, selección de compra, rechazo por bloqueo.</t>
  </si>
  <si>
    <t>• El adelanto parcial se aplica directo a capital y reduce el plazo restante.
• El adelanto no exime la siguiente mensualidad.
• Se rechaza si el crédito tiene bloqueo 2/3/4 o vencidos.
• Canales asociados: APP BanCoppel, SIWEB</t>
  </si>
  <si>
    <t>Robustecida con S4/S5. Reglas: RN-OP-S4-07 (abono a capital reduce plazo), RN-HU-073 (bloqueo 2/3/4 o vencidos impiden). Comparte regla con SIWEB (HDU-SIWEB-R4-01) pero canal distinto. Transacción 623.
[Nota de fragmentación original] Se genera HDU APP porque el inventario distingue canal APP para la misma funcionalidad.</t>
  </si>
  <si>
    <t>20_Minuta_S4S5_SmartVista_MesesConIntereses_PagosFijos_2026-07-08.md
Alcance:Interseccion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diferidas/Pago anticipado parcial de compra diferida.</t>
  </si>
  <si>
    <t xml:space="preserve">Se excluye HU ya que es enfoque a otro canal </t>
  </si>
  <si>
    <t>APP/Req. Funcional 6 - Pagos anticipados y Liquidaciones de Compras diferidas/Liquidación total de compra diferida</t>
  </si>
  <si>
    <t>Yo: Como cliente de la APP Bancoppel
Quiero: liquidar totalmente una compra diferida
Para: cancelar el pago fijo desde la aplicación.</t>
  </si>
  <si>
    <t>• Liquidación total de compra diferida desde la App; solo se permite liquidar el saldo total deudor de la compra (no pago parcial desde App) [RN-HU-059].
 • Recálculo de intereses: no se cobran intereses futuros no devengados [RN-HU-058, RN-OP-S4-06].
 • Al liquidar, el pago fijo asociado se cancela automáticamente [DEF RF-6].
 • Registro vía transacción SIWEB 623 [DEF RF-6].
 • Selección de la compra diferida específica a liquidar [DEF RF-6].
 CITA TEXTUAL DEL DEF
 Fuente: Requisito funcional 6 – Pagos anticipados y Liquidaciones de Compras diferidas, págs. 19-20
 Escenario: Liquidación total de una compra diferida
 Dado que el cliente cuenta con una o más compra diferida activa a MSI o MCI
 Y el cliente identifica la compra que desea Liquidar
 Cuando el cliente solicita la liquidación total de la compra diferida
 Y el sistema debe calcular el monto total restante
 Y el monto debe incluir el capital pendiente y los intereses devengados
 Entonces la compra diferida debe quedar completamente saldada
 Y el sistema no debe cobrar intereses futuros
 Y la liquidación debe registrarse mediante la transacción SIWEB 623 "PAGO CGO A CTA DE CREDISOLUCIONES"
 Y el sistema debe cancelar de forma automática el pago fijo asociado</t>
  </si>
  <si>
    <t>CA01 - Liquidación total desde App 
Dado que el cliente autenticado tiene una compra diferida activa e identifica la que desea liquidar
Cuando solicita la liquidación total
Entonces el sistema calcula el saldo total deudor, liquida la compra, no cobra intereses futuros y cancela automáticamente el pago fijo
CA02 - Restricción de pago parcial 
Dado que el cliente usa el canal App
Cuando intenta un pago parcial de liquidación
Entonces el sistema solo permite liquidar el saldo total deudor de la compra (el parcial aplica en sucursal, no en App)
CA03 - Selección de compra a liquidar 
Dado que el cliente tiene múltiples compras diferidas activas
Cuando solicita liquidar
Entonces el sistema permite seleccionar la compra específica y aplica la liquidación solo a ella</t>
  </si>
  <si>
    <t>• Cliente autenticado con compra diferida activa.
• Cliente identifica la compra a liquidar.
• Crédito sin bloqueos que impidan la operación.</t>
  </si>
  <si>
    <t>• Alcance trazado a RF-17 y HDU-MA-46-APP.
• Canales asociados: APP BanCoppel,SIWEB
• Reglas RN-HU-058/059, RN-OP-S4-06 documentadas.
• Restricción de canal: App solo total (RN-HU-059).
• Escenarios: liquidación total, recálculo de intereses, cancelación del pago fijo.</t>
  </si>
  <si>
    <t>• La App liquida el saldo total deudor de la compra seleccionada.
• No se cobran intereses futuros no devengados.
• El pago fijo se cancela automáticamente tras la liquidación.
• Canales asociados: APP BanCoppel, SIWEB.</t>
  </si>
  <si>
    <t>Robustecida con S4/S5. Reglas: RN-HU-059 (App solo liquidación total, no parcial), RN-HU-058 (no cobrar intereses no devengados), RN-OP-S4-06 (interés en corte). Transacción 623.
[Nota de fragmentación original] Se separa del adelanto parcial por tener efecto de cancelación total del pago fijo.</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</si>
  <si>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6 - Pagos anticipados y Liquidaciones de Compras diferidas/Liquidación total de compra diferida.</t>
  </si>
  <si>
    <t>APP/Req. Funcional 7 - Cancelación de Compras Diferidas/Cancelación de compra diferida desde APP</t>
  </si>
  <si>
    <t>Yo: Como cliente de la APP Bancoppel
Quiero: cancelar una compra diferida de forma segura
Para: gestionar mi saldo pendiente desde la APP.</t>
  </si>
  <si>
    <t>• Cancelación de compra diferida desde la App con validación de identidad (huella/token) ANTES de desplegar cualquier detalle de las credisoluciones [RN-HU-062].
 • Cargo en una sola exhibición por el monto restante; el saldo pendiente (capital + intereses devengados + IVA) se traslada al revolvente [RF-18].
 • Solo aplica a tarjetas digitales (4900); legado 'off' [RN-OP-S10-05].
 •  Estrategia E2E difiere RF-18 a R5 (comentado en sesión ).
 • Notificación de consolidación del adeudo al cliente [RN-OP-APP-16].
 CITA TEXTUAL DEL DEF
 Fuente: Requisito funcional 7 – Cancelación de Compras Diferidas desde SIWEB Y APP, págs. 29-30
 Escenario 1: Cancelación de compra diferida en sucursal o App con validación de identidad
 Dado que el cliente solicita la cancelación de una compra diferida desde App o sucursal
 Cuando el sistema solicita la validación de identidad mediante huella y/o token
 Y la validación de identidad es exitosa
 Y el sistema debe permitir visualizar la información de los pagos fijos
 Y se selecciona la compra diferida a cancelar
 Y el sistema muestra un mensaje de confirmación
 Y el cliente confirma la cancelación
 Entonces el sistema debe realizar un cargo en una sola exhibición por el monto restante del pago fijo
 Y el sistema debe cancelar el esquema de compra diferida</t>
  </si>
  <si>
    <t>CA01 - Cancelación con identidad válida 
Dado que el cliente solicita cancelar una compra diferida desde la App y su validación de identidad (huella/token) es exitosa
Cuando confirma la cancelación
Entonces el sistema realiza un cargo en una sola exhibición por el monto restante, cancela el esquema y traslada el saldo (capital + intereses + IVA) al revolvente
CA02 - Falla de validación de identidad 
Dado que el cliente intenta cancelar una compra diferida
Cuando la validación de identidad falla
Entonces el sistema rechaza la operación y no muestra el detalle de las credisoluciones (validación previa a desplegar cualquier detalle)
CA03 - Notificación de consolidación 
Dado que la compra diferida fue cancelada
Cuando el sistema procesa el traspaso
Entonces la App notifica al cliente la consolidación del adeudo en una sola exhibición en el revolvente y refleja el cargo en movimientos y estado de cuenta</t>
  </si>
  <si>
    <t>• Cliente autenticado con compra diferida activa (MSI/MCI).
• Validación de identidad (huella/token) disponible.
• Producto digital 4900.</t>
  </si>
  <si>
    <t>• Alcance trazado a RF-18 y HDU-MA-47-APP.
• Canales asociados: APP BanCoppel,SIWEB,
• Reglas RN-HU-062, RN-OP-S10-05, RN-OP-APP-16 documentadas.
• Escenarios: cancelación con identidad válida, falla de identidad, traspaso al revolvente.</t>
  </si>
  <si>
    <t>• La cancelación exige validación de identidad exitosa antes de mostrar detalle.
• El monto restante se carga en una sola exhibición y se traslada al revolvente.
• Solo opera para digital 4900.
• Canales asociados: APP BanCoppel, SIWEB</t>
  </si>
  <si>
    <t>Robustecida con S4/S5/S10. Reglas: RN-HU-062 (huella ANTES de mostrar detalle — knockout), RN-OP-S10-05 (solo digital 4900), RN-OP-APP-16 (notificar consolidación). RF-18 diferido a R5 en la Estrategia E2E.
[Nota de fragmentación original] Se genera HDU propia para APP porque el canal tiene validación digital y experiencia distinta a SIWEB.</t>
  </si>
  <si>
    <t>20_Minuta_S4S5_SmartVista_MesesConIntereses_PagosFijos_2026-07-08.md
Alcance: Intersección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APP/Req. Funcional 7 - Cancelación de Compras Diferidas/Cancelación de compra diferida desde APP.</t>
  </si>
  <si>
    <t>APP BanCoppel/HU adicional S12 - Visualización y actualización de saldos y montos de pago/Actualización de pago mínimo, PPNGI y saldo después de un pago
La HU adicional autorizada es únicamente HDU-APP-R4-17; el control de alcance original registra una sola HU vinculada a ALC-17.</t>
  </si>
  <si>
    <t>Visualización y actualización de saldos y montos de pago</t>
  </si>
  <si>
    <t>Yo: Como cliente de Tarjeta de Crédito BanCoppel
Quiero: visualizar en la APP mis saldos y montos requeridos de pago actualizados después de realizar un abono
Para: conocer correctamente mi obligación vigente, identificar cuánto resta por pagar y evitar realizar pagos duplicados por información desactualizada.</t>
  </si>
  <si>
    <t>La APP debe mostrar el pago mínimo, el pago para no generar intereses —PPNGI— y el saldo a la fecha correspondientes al estado vigente de la cuenta.
El middleware debe recalcular los montos utilizando los importes de corte y los pagos aplicados durante el periodo.
El pago mínimo actualizado debe calcularse como:
máximo(0, pago mínimo de corte - totalPayments)
El PPNGI actualizado debe calcularse como:
máximo(0, PPNGI de corte - totalMatPayments)
Ninguno de los montos calculados debe mostrarse con valores negativos.
Cuando el pago sea mayor que el saldo utilizado, el excedente permitido debe mostrarse como saldo a favor positivo.
La APP debe conservar la última información disponible cuando el pago todavía no se encuentre posteado en Smart Vista.
La interfaz debe comunicar el tiempo estimado de actualización según el origen del pago.
Los campos técnicos totalPayments y totalMatPayments deben ser confirmados contra el contrato real de la API antes de cerrar el refinamiento técnico.
El cálculo se realiza en middleware o en la capa de integración utilizando la información proporcionada por Smart Vista; la APP presenta el resultado actualizado.
Las notas señalan que la API calcula los saldos restando los pagos efectuados y que la documentación técnica de totalPayments y totalMatPayments debía integrarse en la fuente centralizada.</t>
  </si>
  <si>
    <r>
      <rPr>
        <sz val="9"/>
        <color rgb="FF0000FF"/>
        <rFont val="Carlito"/>
      </rPr>
      <t xml:space="preserve">CA01 — Visualización inicial de montos
Dado que el cliente está autenticado y tiene una Tarjeta de Crédito BanCoppel con saldo deudor
Cuando consulta el detalle de su tarjeta antes de realizar un pago
Entonces la APP muestra el saldo a la fecha, pago mínimo, PPNGI y las fechas aplicables con la última información confirmada por SmartVista.
CA02 — Actualización del pago mínimo
Dado que la APP dispone del pago mínimo de corte y SmartVista informa el acumulado totalPayments
Cuando el middleware recalcula los montos después de que el pago fue aplicado
Entonces el pago mínimo actualizado se obtiene mediante:
máximo(0, pago mínimo de corte - totalMADPayments)
Y nunca se muestra un resultado negativo.
CA03 — Actualización del PPNGI
Dado que la APP dispone del PPNGI de corte y SmartVista informa el acumulado totalMatPayments
Cuando el middleware recalcula los montos después de que el pago fue aplicado
Entonces el PPNGI actualizado se obtiene mediante:
máximo(0, PPNGI de corte - totalTADPayments)
Y nunca se muestra un resultado negativo.
CA04 — Pago que cubre el PPNGI
Dado que el saldo a la fecha es $2,000, el pago mínimo de corte es $500 y el PPNGI de corte es $1,000
Cuando el cliente realiza un pago de $1,000 y la operación queda aplicada
Entonces la APP muestra:
Pago mínimo: $0
PPNGI: $0
Saldo a la fecha: $1,000
CA05 — Pago parcial menor al pago mínimo
Dado que el saldo a la fecha es $2,000, el pago mínimo de corte es $500 y el PPNGI de corte es $1,000
Cuando el cliente realiza un pago de $200 y la operación queda aplicada
Entonces la APP muestra:
Pago mínimo pendiente: $300
PPNGI pendiente: $800
Saldo a la fecha: $1,800
Este escenario también fue confirmado en la sesión S12.
CA06 — Pago pendiente de posteo
Dado que el cliente realizó un pago por SPEI, ventanilla u otro banco y el movimiento aún no se encuentra posteado en SmartVista
Cuando consulta o refresca el detalle de saldos
Entonces la APP:
Conserva la última información disponible.
</t>
    </r>
    <r>
      <rPr>
        <b/>
        <sz val="9"/>
        <color rgb="FF0000FF"/>
        <rFont val="Carlito"/>
      </rPr>
      <t xml:space="preserve">Notas de entendimiento:
</t>
    </r>
    <r>
      <rPr>
        <sz val="9"/>
        <color rgb="FF0000FF"/>
        <rFont val="Carlito"/>
      </rPr>
      <t>No presenta el pago como aplicado antes de recibir la confirmación.
Informa que SPEI o ventanilla pueden tardar aproximadamente hasta cinco minutos.
Informa que los pagos interbancarios pueden tardar entre 12 y 24 horas hábiles.
Por esta razón, no debe prometerse “tiempo real” de forma absoluta; la visualización se actualiza conforme el pago se aplica y sincroniza.
CA07 — Visualización de saldo a favor
Dado que el pago excede la deuda del cliente y no rebasa el límite de saldo a favor aplicable
Cuando SmartVista actualiza los saldos de la TDC
Entonces la APP muestra: OWNFOUNDS
Pago mínimo: $0.00
PPNGI: $0.00
Saldo utilizado: $0.00
Excedente como saldo a favor con signo positivo.
La regla debe integrarse con la funcionalidad de control de saldo a favor; no debe duplicar ni redefinir sus límites dentro de esta HU.</t>
    </r>
  </si>
  <si>
    <t>Cliente autenticado en APP BanCoppel.
Tarjeta de Crédito activa y asociada al cliente.
Cuenta administrada en Smart Vista.
Información del corte disponible.
Pago mínimo de corte disponible.
PPNGI de corte disponible.
Saldo a la fecha disponible.
Servicio de consulta de estado de cuenta disponible.
Middleware habilitado para realizar el recálculo.
Campos totalPayments y totalMatPayments disponibles y correctamente mapeados.
Origen del pago identificado.
Estado de posteo del pago identificado.
Regla centralizada de saldo a favor disponible.
Pantalla de detalle habilitada para reconsulta o actualización.</t>
  </si>
  <si>
    <t>La HU está reconocida formalmente como alta adicional de alcance en S12.</t>
  </si>
  <si>
    <t>La APP muestra correctamente pago mínimo, PPNGI y saldo a la fecha.
Los pagos aplicados disminuyen los montos correspondientes.
Ningún importe actualizado se presenta con valor negativo.
Un pago que cubre el PPNGI muestra pago mínimo y PPNGI en cero.
Un pago parcial muestra correctamente los montos pendientes.
La APP no muestra un pago como aplicado mientras Smart Vista no lo confirme.
La APP comunica el tiempo de actualización según el canal de origen.
El saldo a favor se presenta correctamente cuando corresponde.
Los cálculos coinciden con los ejemplos numéricos validados en Sesión 2.
La funcionalidad queda probada de extremo a extremo entre APP, middleware y Smart Vista.
Los campos técnicos utilizados coinciden con el contrato aprobado de la API.
La evidencia de pruebas queda vinculada a los criterios de aceptación.</t>
  </si>
  <si>
    <t>HU adicional identificada y aceptada durante la sesión S2 APP. La funcionalidad contempla la actualización de pago mínimo, PPNGI y saldo a la fecha después de que un pago sea aplicado. No debe describirse como una actualización instantánea absoluta, ya que existe una latencia aproximada de hasta cinco minutos para SPEI y ventanilla, y de 12 a 24 horas hábiles para pagos interbancarios. El mapeo definitivo de los campos totalPayments y totalMatPayments permanece sujeto a validación técnica del contrato de la API.</t>
  </si>
  <si>
    <t>Acuerdo de incorporación de la HU:
Equipo participante en la sesión APP 2/2 — S12.
Escenarios funcionales y técnicos presentados:
David Arturo Marcial Martínez y equipo APP/SmartVista.
Responsable de documentar la latencia de actualización:
Eduardo Guzmán González.
Validación pendiente:
Equipo de APIs, middleware y SmartVista para confirmar el contrato y significado exacto de totalPayments y totalMatPayments.
Las notas asignan al grupo la incorporación de la HU y a Eduardo Guzmán González la documentación de la latencia de hasta cinco minutos.</t>
  </si>
  <si>
    <t>En alcance R4 — HU adicional confirmada en S12
Nivel de certeza
Confirmado funcionalmente / validación técnica de campos pendiente
Conflicto / resolución
No debe utilizarse “tiempo real” como compromiso inmediato sin aclaración. La actualización depende del posteo y sincronización del pago. Se debe comunicar la latencia al cliente y validar técnicamente los campos totalPayments y totalMatPayments.
Fuente de alcance
Sesiones de entendimiento APP 2/2 — 9 de julio de 2026
Fuente normativa
DEF PV 1006626 Mercado Abierto R4 — RF-26
Fuente de refinamiento principal
Sesiones de entendimiento APP 2_2 - 2026_07_09 08_57 CST - Notas de Gemini.docx</t>
  </si>
  <si>
    <t>APP / RF-05 / Validación de respaldo en middleware ante depósitos que exceden el saldo a favor</t>
  </si>
  <si>
    <t>CITA TEXTUAL DEL DEF
 Fuente: Requisito funcional 5 -- Limitar saldo a favor, págs. 66-68.
 "...el sistema aplica el límite configurado en todos los canales automáticamente... el límite de saldo a favor se aplica en todos los canales existentes de forma consistente." / "En los diversos canales donde se acepte pagos de TDC debe de existir la restricción."</t>
  </si>
  <si>
    <t>Yo: Como sistema de middleware de BanCoppel
 Quiero: validar el acumulado mensual de saldo a favor de la App antes de que la transacción impacte el core
 Para: garantizar que ningún bypass o error del frontend permita romper el límite parametrizado</t>
  </si>
  <si>
    <t>• Validación de respaldo a nivel API Gateway/middleware, independiente de la validación de frontend.
 • Consulta el parámetro vigente y el acumulado del mes calendario antes de golpear SmartVista.
 • Si la regla se rompe, la API aborta la operación y retorna el código de rechazo correspondiente [RN-HU-023].</t>
  </si>
  <si>
    <t>CA01 - Interceptación por bypass de frontend
 Dado que, por un error o bypass en el front-end de la App, se envía una petición de pago
 Cuando el middleware valida el acumulado del mes calendario contra el límite parametrizado
 Entonces si la regla se rompe, la API aborta la operación y retorna el código de rechazo correspondiente, impidiendo que el abono afecte el saldo en SmartVista
 CA02 - Mensaje homologado de rechazo
 Dado que el cliente ya tiene saldo a favor igual o mayor al límite establecido, ya alcanzó el límite (15,000 Pesos o 20%) y previamente retiró el saldo a favor, o el depósito a realizar excede el límite
 Cuando intenta el pago o depósito
 Entonces el sistema cancela la transacción y muestra el mensaje exacto 'No se puede completar la transacción. Límite de saldo a favor alcanzado.'</t>
  </si>
  <si>
    <t>• Producto 4900 identificado.
 • Parámetro de límite (monto/%) y acumulado mensual disponibles en SmartVista al momento de la consulta del middleware.</t>
  </si>
  <si>
    <t>• Alcance trazado a RF-05.
 • Canal asociado: App (validación de respaldo, capa middleware/API Gateway).
 • Regla RN-HU-023 documentada.
 • Depende de HDU-SMART-R4-12 (parametrización del límite) y HDU-SMART-R4-13 (cálculo del límite dinámico por línea).</t>
  </si>
  <si>
    <t>• El middleware valida el acumulado mensual antes de impactar SmartVista.
 • Si la regla se rompe, la API aborta y retorna el código de rechazo -- el saldo en SmartVista no se ve afectado.
 • Mensaje homologado desplegado en caso de rechazo.
 • Trazable a RF-05, HDU-MA-16-APP.</t>
  </si>
  <si>
    <t>18_Minuta_S3_SmartVista_Comisiones_Autorizador_SaldoFavor_2026-07-07.md + 03_Reglas_de_Negocio_Extraidas_por_HDU.md</t>
  </si>
  <si>
    <t>APP / RF-05 / Mensaje de error en pantalla al confirmar pago que excede el saldo a favor</t>
  </si>
  <si>
    <t>CITA TEXTUAL DEL DEF
 Fuente: Requisito funcional 5 -- Limitar saldo a favor, págs. 66-68.
 "Se le debe informar al cliente en cualquier canal, en el caso de que el cliente exceda el límite a favor, con mensajes claros que no se permiten depósitos adicionales, como por ejemplo 'Límite de saldo alcanzado'."</t>
  </si>
  <si>
    <t>Yo: Como cliente de la App BanCoppel
 Quiero: recibir un mensaje claro si mi pago (con cuenta de débito propia o transferencia) generará un saldo a favor superior al límite
 Para: entender por qué mi transacción no se completó</t>
  </si>
  <si>
    <t>• Aplica tanto a pagos con cuentas de débito BanCoppel propias como a transferencias ingresadas manualmente.
 • El flujo de pago se cancela inmediatamente al presionar 'Pagar' o 'Continuar' [RN-HU-066].
 • Mensaje exacto homologado, igual al usado en los demás canales (SmartVista, SIWEB).</t>
  </si>
  <si>
    <r>
      <rPr>
        <sz val="9"/>
        <color rgb="FF0000FF"/>
        <rFont val="Carlito"/>
      </rPr>
      <t xml:space="preserve">CA01 - Cancelación inmediata al confirmar
 Dado que el cliente presiona 'Pagar' o 'Continuar' usando cuenta de débito propia 
 Cuando el sistema detecta que el depósito generará un saldo a favor superior al límite
 Entonces el flujo de pago se cancela inmediatamente y la App despliega el mensaje </t>
    </r>
    <r>
      <rPr>
        <b/>
        <sz val="9"/>
        <color rgb="FF0000FF"/>
        <rFont val="Carlito"/>
      </rPr>
      <t>'Ingresa un monto menor que no supere tu limite de saldo a favor'.</t>
    </r>
    <r>
      <rPr>
        <sz val="9"/>
        <color rgb="FF0000FF"/>
        <rFont val="Carlito"/>
      </rPr>
      <t xml:space="preserve"> </t>
    </r>
    <r>
      <rPr>
        <b/>
        <sz val="9"/>
        <color rgb="FF0000FF"/>
        <rFont val="Carlito"/>
      </rPr>
      <t>(Mensaje pendiente  por confirmar UX)</t>
    </r>
  </si>
  <si>
    <t>• Producto 4900 identificado.
 • Límite vigente y saldo a favor actual del cliente disponibles al momento de confirmar el pago.</t>
  </si>
  <si>
    <t>• Alcance trazado a RF-05.
 • Canal asociado: App (capa 2, mensaje de error al confirmar).
 • Regla RN-HU-066 documentada.
 • Mensaje debe ser idéntico al usado en HDU-SMART-R4-15 (SmartVista) y HDU-SIWEB-R4-08 (SIWEB) para consistencia omnicanal.</t>
  </si>
  <si>
    <t>• El mensaje homologado se despliega exactamente igual en los 3 canales (App, SmartVista, SIWEB).
 • El flujo de pago se cancela sin generar registro parcial.
 • Trazable a RF-05, HDU-MA-51-APP.</t>
  </si>
  <si>
    <t>APP / RF-05 / Bloqueo preventivo de captura en el campo de monto libre</t>
  </si>
  <si>
    <t>Fuente: Requisito funcional 5 -- Limitar saldo a favor, págs. 66-68 (regla operativa complementaria RN-OP-APP-21, derivada de sesión S3 -- 03_Reglas_de_Negocio_Extraidas_por_HDU.md).</t>
  </si>
  <si>
    <t>Yo: Como cliente con Tarjeta de Crédito en la App BanCoppel
 Quiero: que el campo 'Otra cantidad' me impida capturar un monto que generaría saldo a favor por encima del límite
 Para: no intentar un pago que de todas formas será rechazado</t>
  </si>
  <si>
    <t>• Límite dinámico: $15,000 fijo (líneas ≤ $24,999.99) o 20% de la línea vigente (líneas ≥ $25,000).
 • Si el abono excede el crédito utilizado total (Saldo a la fecha), 'Pago Mínimo' y 'No Generar Intereses' se muestran en $0.00, y el excedente se etiqueta como Saldo a Favor [RN-OP-APP-21].
 • Evita el Defecto 748001 (errores genéricos tipo 'Error 1200'/BD) al bloquear la captura antes de enviar la petición.</t>
  </si>
  <si>
    <t>CA01 - Bloqueo preventivo del input
 Dado que el cliente captura un monto en 'Otra cantidad'
 Cuando el importe generaría un saldo a favor superior al límite parametrizado para su línea
 Entonces la App deshabilita el campo a otra cantidad
 CA02 - Recalculo de campos a $0.00
 Dado que un pago total realizado excede el crédito utilizado total (Saldo a la fecha)
 Cuando se recalculan los campos de pago
 Entonces 'Pago Mínimo' y 'No Generar Intereses' se muestran en $0.00 y el excedente se etiqueta como Saldo a Favor, sujeto al tope parametrizado en SmartVista</t>
  </si>
  <si>
    <t>• Producto 4900 identificado.
 • Línea de crédito y saldo a favor actual disponibles al momento de renderizar el input.</t>
  </si>
  <si>
    <t>• Alcance trazado a RF-05.
 • Canal asociado: App (capa 1, validación de frontend).
 • Regla RN-OP-APP-21 documentada.
 • Comparte lógica de umbral con HDU-SMART-R4-13 (cálculo del límite dinámico por línea).</t>
  </si>
  <si>
    <t>• El input 'Otra cantidad' no permite avanzar con un monto que rompa el límite.
 • Los campos Pago Mínimo/No Generar Intereses reflejan $0.00 cuando aplica saldo a favor.
 • Trazable a RF-05.</t>
  </si>
  <si>
    <t>RN-OP-APP-21 no tiene nombres de validador citados en el catálogo de reglas.</t>
  </si>
  <si>
    <t>03_Reglas_de_Negocio_Extraidas_por_HDU.md (RN-OP-APP-21)</t>
  </si>
  <si>
    <t>CAT/Req. Funcional 13 - Alta del producto 4900 en el IVR/Alta del producto 4900 en menú IVR</t>
  </si>
  <si>
    <t>Alta del producto 4900 en el IVR
 HU ORIGINAL — CITA TEXTUAL DEL DEF
 Fuente: Requisito funcional 13 – Alta del producto 4900 en el IVR, págs. 45-47
 Como cliente de BanCoppel,
 Quiero poder acceder a un menú IVR para realizar consultas y recibir asistencia por teléfono,
 Para gestionar mis necesidades bancarias de manera rápida y eficiente.</t>
  </si>
  <si>
    <t>Yo: Como cliente BanCoppel
Quiero: acceder al menú IVR con opciones para TDC 4900
Para: gestionar consultas y asistencia telefónica.</t>
  </si>
  <si>
    <t>• Alta del producto 4900 en el menú IVR del 800 BanCoppel con las opciones 1-6 [DEF RF-13].
 • El IVR admite la captura de la cuenta contrato a 18 dígitos (vs. 12 del legado) [RN-OP-CAT-06].
 • Toda transacción/consulta del IVR se identifica en Smart Vista bajo el canal IVR (parametrización desde cero) (comentado en sesión).
 • Item 4 'Enviar CLABE por SMS' deshabilitado para 4900 (cuenta credito y CLABE idénticas) [RN-OP-CAT-07].
 • Validación ANI: si coincide con el telefono de apertura, habilita menú de consulta automatica [RN-OP-CAT-01].
 CITA TEXTUAL DEL DEF
 Fuente: Requisito funcional 13 – Alta del producto 4900 en el IVR, págs. 45-47
 Escenario : Cliente marca al 800 BanCoppel y accede al menú IVR
 Dado que el cliente marca al 800 BanCoppel
 Y el sistema responde con el menú IVR
 Cuando el cliente debe escuche las siguientes opciones disponible deben de ser
 - Opción 1: Reporte por robo o extravío de tarjetas o chequeras.
 - Opción 2: Consulta de saldos, movimientos de sus tarjetas o cuenta CLABE.
 - Opción 3: Para confirmar su número telefónico.
 - Opción 4: Asesoría de Tarjeta de Crédito BanCoppel Oro, Chequeras o problemas en compras con tarjeta.
 - Opción 5: Cargos no reconocidos y aclaraciones (captación y colocación).
 - Opción 6: Información de productos BanCoppel.
 Y elige una opción del menú para TDC
 Entonces el sistema debe de permitir continuar
 Y poder ser transferido con un ejecutivo</t>
  </si>
  <si>
    <t>CA01 - Acceso al menú IVR 
Dado que el cliente marca al 800 BanCoppel
Cuando el sistema responde con el menú IVR
Entonces se presentan las opciones 1 a 6, el cliente elige una para TDC y el sistema permite continuar o transferir con un ejecutivo
CA02 - Captura de cuenta a 18 dígitos 
Dado que el cliente del producto 4900 debe identificarse en el IVR
Cuando captura su cuenta contrato
Entonces el IVR permite y procesa la entrada de 18 dígitos, a diferencia del legado de 12
CA03 - Alerta de opción deshabilitada
Dado que el cliente 4900 selecciona el item 4 (Enviar CLABE por SMS)
Cuando el sistema evalúa el producto
Entonces la opción se muestra deshabilitada o emite un mensaje indicando que no está disponible para este producto</t>
  </si>
  <si>
    <t>• Producto 4900 dado de alta en el catálogo del IVR.
• Canal IVR parametrizado en Smart Vista (config desde cero).
• Menú del 800 BanCoppel operativo.</t>
  </si>
  <si>
    <t>El equipo técnico confirmó el significado y formato de totalPayments.</t>
  </si>
  <si>
    <t>• El menú IVR presenta las opciones para TDC 4900 y permite continuar/transferir.
• El IVR procesa la cuenta contrato de 18 dígitos.
• El item 4 (CLABE por SMS) se muestra deshabilitado para 4900.
• Las transacciones se identifican bajo el canal IVR en el core.
• Canales asociados: CAT, IVR.</t>
  </si>
  <si>
    <t>Robustecida con S9. Reglas: RN-OP-CAT-05 (canal IVR en core, config desde cero), RN-OP-CAT-06 (18 dígitos), RN-OP-CAT-07 (CLABE por SMS deshabilitada 4900), RN-OP-CAT-01 (validación ANI). Confirmacion de telefono no obligatoria para 4900.
[Nota de fragmentación original] Se separa porque el alta del producto en IVR habilita la atención telefónica antes de flujos CAT específicos.</t>
  </si>
  <si>
    <t>Ramsés Abdiel Santos; Rey David Zavala García; Obed (dueño del canal).</t>
  </si>
  <si>
    <t>22c_Minuta_S9_IVR_Autenticacion_ICCAT_2026-07-09.md
Alcance:Interseccion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IVR/Alta del producto 4900 en menú IVR.</t>
  </si>
  <si>
    <t>CAT/Req. Funcional 13 - Alta del producto 4900 en el IVR/Enrutamiento de opciones IVR para atención TDC</t>
  </si>
  <si>
    <t>Yo: Como cliente BanCoppel
Quiero: elegir opciones IVR de reporte o atención
Para: recibir asistencia telefónica de forma eficiente.</t>
  </si>
  <si>
    <t>• Enrutamiento de opciones IVR de reporte/atención hacia el ejecutivo o servicio correspondiente [DEF RF-13].
 • Validación ANI: si NO coincide, transfiere directo al ejecutivo y bloquea consultas automáticas [RN-OP-CAT-02].
 • Cliente transferido por ANI no validado: el ejecutivo aplica batería de preguntas antes de cualquier consulta [RN-OP-CAT-03].
 • Consulta de saldos/movimientos por IVR: solicita tarjeta o CLABE y lee saldo y movimientos [DEF RF-13].
 • Consulta por cuenta contrato de 18 dígitos para incluir comisiones y cargos de tarjetas antiguas [RN-OP-CAT-11].
 CITA TEXTUAL DEL DEF
 Fuente: Requisito funcional 13 – Alta del producto 4900 en el IVR, págs. 45-47
 Cuando el cliente debe escuche las siguientes opciones disponible deben de ser
 - Opción 1: Reporte por robo o extravío de tarjetas o chequeras.
 - Opción 2: Consulta de saldos, movimientos de sus tarjetas o cuenta CLABE.
 - Opción 3: Para confirmar su número telefónico.
 - Opción 4: Asesoría de Tarjeta de Crédito BanCoppel Oro, Chequeras o problemas en compras con tarjeta.
 - Opción 5: Cargos no reconocidos y aclaraciones (captación y colocación).
 - Opción 6: Información de productos BanCoppel.
 Y elige una opción del menú para TDC
 Entonces el sistema debe de permitir continuar
 Y poder ser transferido con un ejecutivo
 Escenario: Cliente selecciona la opción de asesoría de tarjeta de crédito BanCoppel Oro, chequeras o problemas en compras
 Dado que el cliente marca al 800 BanCoppel
 Y el cliente selecciona la opción de asesoría de tarjeta de crédito BanCoppel Oro, chequeras o problemas en compras
 Cuando el sistema procesa la selección
 Entonces el sistema debe conectar al cliente con un asesor especializado en tarjetas de crédito correspondiente.</t>
  </si>
  <si>
    <t>CA01 - Consulta de saldos y movimientos 
Dado que el cliente selecciona la opción de consultar saldos y movimientos
Cuando el sistema procesa la selección
Entonces solicita el número de tarjeta o cuenta CLABE (18 dígitos), lee el saldo actual y los movimientos recientes usando la cuenta contrato
CA02 - Datos incorrectos en el IVR 
Dado que el cliente ingresa datos incorrectos (tarjeta erronea, CLABE no registrada, telefono que no coincide)
Cuando el sistema valida
Entonces informa que los datos no son válidos con un mensaje claro del tipo de error y ofrece reintentar
CA03 - Límite de intentos 
Dado que el cliente supera el límite de 3 intentos de ingreso de datos
Cuando el sistema evalúa los intentos
Entonces finaliza la interacción de forma segura sin exponer datos sensibles</t>
  </si>
  <si>
    <t>• Menú IVR con opciones habilitadas (HDU-01).
• Servicio de consulta de saldos/movimientos disponible.
• Reglas de ANI configuradas.</t>
  </si>
  <si>
    <t>El equipo técnico confirmó el significado y formato de totalMatPayments.</t>
  </si>
  <si>
    <t>• El IVR rutea la opción elegida al servicio o ejecutivo correcto.
• La consulta de saldos/movimientos usa la cuenta contrato de 18 dígitos.
• Datos incorrectos informan el error específico y ofrecen reintentar.
• Canales asociados: CAT, IVR,</t>
  </si>
  <si>
    <t>Robustecida con S9. Reglas: RN-OP-CAT-02 (transferir por ANI no validado), RN-OP-CAT-03 (batería de preguntas), RN-OP-CAT-11 (consulta por 18 dígitos), RN-OP-CAT-12 (rango de fechas por fecha de apertura si no hay corte). Knockouts RN-HU-035..040.
[Nota de fragmentación original] Se fragmenta porque la ruta de atención/seguridad del IVR es distinta al alta del producto.</t>
  </si>
  <si>
    <t>22c_Minuta_S9_IVR_Autenticacion_ICCAT_2026-07-09.md
Alcance:  / 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IVR/Enrutamiento de opciones IVR para atención TDC.</t>
  </si>
  <si>
    <t>CAT/Req. Funcional 14 - Identificación de clientes Apolo en CAT/Identificación de cliente Apolo en CAT</t>
  </si>
  <si>
    <t>Identificación de clientes Apolo en CAT
 HU ORIGINAL — CITA TEXTUAL DEL DEF
 Fuente: Requisito funcional 14 – Identificación de clientes Apolo en CAT, págs. 48-50
 Como usuario del CAT BanCoppel
 Quiero que, si un cliente solicita más de un servicio dentro de la misma llamada, no se le solicite nuevamente la autenticación
 Como usuario del CAT BanCoppel
 Quiero que, si un cliente solicita más de un servicio dentro de la misma llamada,
 No se le solicite nuevamente la autenticación
 Para brindar una atención más ágil y una mejor experiencia al cliente.
 brindar una atención más ágil y una mejor experiencia al cliente.</t>
  </si>
  <si>
    <t>Yo: Como ejecutivo CAT
Quiero: identificar si el cliente corresponde a producto Apolo/4900
Para: aplicar atención y servicios correctos sin reprocesos.</t>
  </si>
  <si>
    <t>• Identificación del cliente originado en APOLO/4900 mediante batería de preguntas aleatorias de factor 1 anexas en el archivo "mapeo de datos de canales iccat" [DEF RF-14].
 • Cliente no originado en APOLO: aplica el proceso de autenticación estándar [RF-14 Escenario 3].
 • Enmascaramiento del terminación de numero de tarjeta en terminación de número de tarjeta del asesor (solo ultimos 4 digitos) y muestra tipo de producto y estatus [RN-OP-S10-04].
 • Muestra obligatoriamente los 18 dígitos del credito (no los 12 del legado) [RN-OP-S10-04].
 • Actualización de contacto en sucursal se sincroniza de inmediato en Informix (sin desfase batch) [RF-14 Acuerdo S10].
 CITA TEXTUAL DEL DEF
 Fuente: Requisito funcional 14 – Identificación de clientes Apolo en CAT, págs. 48-50
 Escenario: Autenticación y Asesoría Exitosa
 Dado que soy un Ejecutivo del CAT y he recibido una llamada de un cliente
 Y el cliente se originó en el sistema APOLO
 Cuando intento autenticar al cliente utilizando las baterías de preguntas aleatorias( factor 1)
 Entonces el sistema debe permitir identificar al cliente como originado en APOLO
 Y el cliente debe pasar la autenticación satisfactoriamente
 Y debo poder brindar el servicio que el cliente solicita
 Y puedo brindar la asesoría telefónica solicitada
 Escenario 3: Cliente No Originado en APOLO
 Dado que soy un Ejecutivo del CAT y he recibido una llamada de un cliente,
 Y el cliente no se originó en el sistema APOLO,
 Cuando intentó identificar y autenticar al cliente,
 Entonces el sistema debe aplicar el proceso de autenticación estándar (no el específico de APOLO),
 Y debo poder visualizar el saldo y movimientos si la autenticación estándar es exitosa.</t>
  </si>
  <si>
    <t>CA01 - Identificación y asesoria exitosa 
Dado que el ejecutivo del CAT recibe una llamada de un cliente originado en APOLO
Cuando autentica al cliente con las baterías de preguntas aleatorias (factor 1)
Entonces el sistema identifica al cliente como APOLO, la autenticación es satisfactoria y el ejecutivo brinda el servicio; la terminación de número de tarjeta se enmascara el terminación de número de tarjeta y muestra 18 digitos del crédito, tipo y estatus
CA02 - Cliente no originado en APOLO 
Dado que el cliente no se originó en el sistema APOLO
Cuando el ejecutivo intenta identificarlo y autenticarlo
Entonces el sistema aplica el proceso de autenticación estandar (no el específico de APOLO) y permite ver saldo y movimientos si es exitoso
CA03 - Cliente APOLO no pasa autenticación 
Dado que el cliente falla una o mas preguntas de la batería
Cuando el sistema valida
Entonces no permite acceder a información sensible (saldos/movimientos), notifica el fallo de 'Inicio de Sesión de usuario' y las preguntas del reintento cambian sin repetirse</t>
  </si>
  <si>
    <t>• Ejecutivo autenticado en ICCAT.
• Batería de preguntas de factor 1 validada contra Apolo.
• Endpoint de retrieve de tarjetas disponible.</t>
  </si>
  <si>
    <t>Se encuentran definidos los tiempos de actualización según el origen del pago.</t>
  </si>
  <si>
    <t>• El sistema identifica al cliente como originado en APOLO y permite continuar tras autenticar.
• Un cliente no Apolo pasa por el proceso estándar.
• La terminación de número de tarjeta enmascara la terminación de número de tarjeta (ultimos 4), muestra tipo y estatus, y los 18 dígitos del credito.
• Canales asociados: CAT, Autenticación, Cliente Apolo; a RF-14.</t>
  </si>
  <si>
    <t>Robustecida con S9/S10. Reglas: RN-OP-CAT-03 (batería de preguntas), RN-OP-S10-04 (enmascaramiento + 18 dígitos), RN-HU-041 (fallo bloquea datos sensibles). API real documentada. En SmartVista solo hay tarjetas titulares (sin adicionales).
[Nota de fragmentación original] Se separa porque identificar al cliente/producto es capacidad base para otros servicios CAT.</t>
  </si>
  <si>
    <t>Ramsés Abdiel Santos; Rey David Zavala García; Obed; Armando García Ortiz; María de los Ángeles Yedra Santiago; Sergio Arellano Payán.</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</si>
  <si>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Funcionalidad/BB: CAT/Req. Funcional 14 - Identificación de clientes Apolo en CAT/Identificación de cliente Apolo en CAT.</t>
  </si>
  <si>
    <t>CAT/Req. Funcional 14 - Identificación de clientes Apolo en CAT/Conservación de autenticación durante la llamada</t>
  </si>
  <si>
    <t>Yo: Como ejecutivo CAT
Quiero: reutilizar la autenticación del cliente durante la misma llamada
Para: brindar atención ágil en múltiples servicios.</t>
  </si>
  <si>
    <t>• Reutilizacion de la autenticación durante la misma llamada activa con el mismo ejecutivo [DEF RF-14].
 • Nueva autenticación requerida al finalizar la llamada e iniciar otra [RN-HU-042].
 • Nueva autenticación requerida si la llamada se transfiere a otro ejecutivo [RN-HU-043].
 • El ejecutivo no conoce los datos del cliente; las respuestas se enmascaran al ingresarse [RF-14 Consideraciones].
 • Cada intento (exitoso o fallido) se registra en el log de Smart Vista para auditoria [RF-14 Consideraciones].
 CITA TEXTUAL DEL DEF
 Fuente: Requisito funcional 14 – Identificación de clientes Apolo en CAT, págs. 48-50
 Escenario: Solicitud de nueva autenticación en una llamada distinta
 Dado que el cliente fue autenticado exitosamente en una llamada anterior
 Y el cliente finaliza la llamada
 Cuando el cliente se vuelve a comunicar
 Y el cliente inicia una nueva llamada al CAT BanCoppel
 Entonces el sistema debe solicitar una nueva autenticación para poder brindar atención
 Escenario: Reutilización de autenticación para múltiples servicios en la misma llamada
 Dado que el ejecutivo del CAT se encuentra autenticado en el sistema ICCAT
 Y el cliente ha sido autenticado exitosamente al inicio de la llamada
 y la llamada permanece activa con el mismo ejecutivo
 Cuando el cliente solicita un segundo o subsecuente servicio durante la misma llamada
 Y el sistema debe reutilizar la autenticación previamente validada
 Y el ejecutivo debe poder continuar brindando el nuevo servicio solicitado
 La autenticación: Es válida únicamente durante la misma llamada activa.
 Aplica para dos o más servicios solicitados dentro de la misma llamada.
 Se debe solicitar nueva autenticación cuando:
 La llamada finaliza y se inicia una nueva.
 La llamada es transferida a otro ejecutivo.</t>
  </si>
  <si>
    <t>CA01 - Reutilización en la misma llamada 
Dado que el ejecutivo del CAT está autenticado en ICCAT y el cliente fue autenticado al inicio de la llamada, que permanece activa con el mismo ejecutivo
Cuando el cliente solicita un segundo o subsecuente servicio en la misma llamada
Entonces el sistema utiliza la autenticación previamente validada y el ejecutivo continúa brindando el nuevo servicio
CA02 - Nueva llamada o transferencia 
Dado que el cliente fue autenticado en una llamada anterior o la llamada se transfiere a otro ejecutivo
Cuando el cliente se vuelve a comunicar o continua con otro ejecutivo
Entonces el sistema solicita una nueva autenticación para poder brindar atencion
CA03 - Tercer intento fallido del dia 
Dado que el cliente falla la autenticación por tercera vez en el dia
Cuando el sistema valida el contador de intentos
Entonces bloquea la atención por el resto del dia, no brinda el servicio e invita al cliente a acudir a sucursal a actualizar sus datos</t>
  </si>
  <si>
    <t>• Cliente autenticado al inicio de la llamada.
• Llamada activa con el mismo ejecutivo.
• Sistema ICCAT con sesión de llamada activa.</t>
  </si>
  <si>
    <t>• Se encuentra definido que la transferencia de la llamada a otro ejecutivo requiere una nueva autenticación.
• Se encuentran identificados los eventos que invalidan la autenticación vigente: finalización de la llamada y transferencia a otro ejecutivo.
• Se encuentra identificado ICCAT como el sistema responsable de conservar el estado de autenticación durante la sesión de llamada.</t>
  </si>
  <si>
    <t>• La autenticación se reutiliza para servicios subsecuentes en la misma llamada.
• Se exige nueva autenticación al iniciar otra llamada o al transferir.
• El 3er intento fallido del dia bloquea la atención por el resto del dia.
• Canales asociados: CAT.</t>
  </si>
  <si>
    <t>Robustecida con S9/S10. Reglas: RN-HU-042 (nueva llamada = reautenticar), RN-HU-043 (transferencia = reautenticar), RN-HU-044 (3er intento fallido bloquea el día e invita a sucursal). Respuestas enmascaradas; cada intento se audita.
[Nota de fragmentación original] Se fragmenta porque la persistencia de autenticación es una regla de sesión distinta a identificar el producto.</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</si>
  <si>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Funcionalidad/BB: CAT/Req. Funcional 14 - Identificación de clientes Apolo en CAT/Conservación de autenticación durante la llamada.</t>
  </si>
  <si>
    <t>CAT/Req. Funcional 15 - Bloqueo de tarjeta física y digital desde CAT por robo o extravío/Bloqueo de tarjeta desde CAT</t>
  </si>
  <si>
    <t>Bloqueo de tarjeta física y digital desde CAT por robo o extravío
 HU ORIGINAL — CITA TEXTUAL DEL DEF
 Fuente: Requisito funcional 16 – Bloqueo de tarjeta física y digital desde CAT por prevención, págs. 52-54
 Como Ejecutivo del CAT BanCoppel
 Quiero realizar el bloqueo y desbloqueo temporal de una tarjeta de crédito a petición del cliente
 Para asegurar la seguridad de la cuenta del cliente y notificar el estado de su tarjeta de manera eficiente.</t>
  </si>
  <si>
    <t>Yo: Como ejecutivo CAT
Quiero: bloquear temporalmente una TDC a petición del cliente
Para: proteger la cuenta y evitar transacciones no autorizadas.</t>
  </si>
  <si>
    <t>• Bloqueo temporal (estatus 20) de tarjeta física o digital desde el CAT a petición del cliente autenticado [DEF RF-16, RN-OP-CAT-04].
 • El bloqueo es el mismo usado en App y Sucursal (centralizado en tronco común) [DEF RF-16 Consideraciones].
 • Cliente NO autenticado: no se permite la operación [RN-HU-045].
 • El CAT no admite cancelacion por robo/extravío (06/07) de tarjetas virtuales; solo bloqueo temporal (20) [RN-OP-CAT-08].
 • Estatus final 43 no reversible; una tarjeta con estatus 14 no pasa a estatus 43 sin haber estado activa (00/20) [RN-OP-CAT-09].
 • Notificacion automatica: correo MAI_BDT_IC y SMS SMS_BDT_IC [RN-OP-CAT-10].
 CITA TEXTUAL DEL DEF
 Fuente: Requisito funcional 16 – Bloqueo de tarjeta física y digital desde CAT por prevención, págs. 52-54
 Escenario: Bloqueo Temporal de Tarjeta de Crédito
 Dado que el cliente tiene una tarjeta de crédito activa
 Y el cliente ha solicitado el bloqueo temporal de su tarjeta
 Y el cliente fue autenticado previamente
 Y el ejecutivo aseguró que no se requiere un bloqueo definitivo ( como reporte por robo/ extravío)
 Cuando el ejecutivo del CAT ha iniciado el proceso de bloqueo temporal
 Y el sistema bloquea la tarjeta temporalmente
 Y el bloqueo es el mismo que se ocupa para los demás canales APP , Sucursal
 Entonces el sistema debe notificar al cliente vía correo electrónico que la tarjeta ha sido bloqueada temporalmente
 Y el sistema debe registrar el evento de bloqueo temporal en el historial de la cuenta del cliente</t>
  </si>
  <si>
    <t>CA01 - Bloqueo temporal CAT 
Dado que el cliente autenticado solicita el bloqueo temporal y el ejecutivo confirma que no es un bloqueo definitivo
Cuando el ejecutivo inicia el proceso de bloqueo temporal
Entonces Smart Vista bloquea la tarjeta (estatus 20), se refleja en App y Sucursal, se registra el evento y se notifica al cliente por correo(Tomado de APOLO) MAI_BDT_IC
CA02 - Corresponde bloqueo definitivo 
Dado que el cliente reporta robo o extravío
Cuando el ejecutivo evalúa el motivo
Entonces no debe procesarse como bloqueo temporal; para virtuales solo aplica bloqueo temporal ( estatus 20), no cancelación por robo/extravio
CA03 - Tarjeta no activa 
Dado que la tarjeta no está activa o ya esta cancelada (estatus final 43)
Cuando se intenta bloquear temporalmente
Entonces el sistema impide el proceso (no se modifica un estatus final)</t>
  </si>
  <si>
    <t>• Cliente autenticado (batería de preguntas).
• Tarjeta activa identificada.
• Motivo de bloqueo temporal confirmado (no definitivo).</t>
  </si>
  <si>
    <t>Se encuentran definidos los escenarios de pago completo, parcial, pendiente y con saldo a favor.</t>
  </si>
  <si>
    <t>• El bloqueo temporal cambia el estatus a 20 y se refleja en todos los canales.
• No se procesa como temporal si corresponde bloqueo definitivo.
• No se permite bloquear una tarjeta no activa o ya cancelada.
• Se notifica al cliente por correo (y SMS según regla).
• Canales asociados: CAT.</t>
  </si>
  <si>
    <t>Robustecida con S9/S10. Reglas: RN-HU-045 (no autenticado bloquea), RN-OP-CAT-04 (desbloqueo digital homologado), RN-OP-CAT-08 (virtuales solo bloqueo temporal), RN-OP-CAT-09 (estatus final no modificable), RN-OP-CAT-10 (MAI_BDT_IC / SMS_BDT_IC). Nota: el titulo dice 'robo o extravío' pero el DEF desarrolla 'por prevención' (bloqueo temporal) 
[Nota de fragmentación original] Se fragmenta porque el bloqueo temporal CAT tiene validaciones de asesor y actualización de estado propias.</t>
  </si>
  <si>
    <t>Ramsés Abdiel Santos; Rey David Zavala García; Obed; Armando García Ortiz; María de los Ángeles Yedra Santiago; Sergio Arellano Payán; Patricia Araceli Tovar Moctezuma.</t>
  </si>
  <si>
    <t>22c_Minuta_S9_IVR_Autenticacion_ICCAT_2026-07-09.md | 22d_Minuta_S10_ICCAT_SIWEB_2026-07-10.md
Alcance:Interseccion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extravío/Bloqueo de tarjeta desde CAT.</t>
  </si>
  <si>
    <t>CAT/Req. Funcional 15 - Bloqueo de tarjeta física y digital desde CAT por robo o extravío/Desbloqueo de tarjeta desde CAT</t>
  </si>
  <si>
    <t>Bloqueo de tarjeta física y digital desde CAT por robo o extravío
 HU ORIGINAL — CITA TEXTUAL DEL DEF
 Fuente: Requisito funcional 16 – Bloqueo de tarjeta física y digital desde CAT por prevención, págs. 53-54
 Como Ejecutivo del CAT BanCoppel
 Quiero realizar el bloqueo y desbloqueo temporal de una tarjeta de crédito a petición del cliente
 Para asegurar la seguridad de la cuenta del cliente y notificar el estado de su tarjeta de manera eficiente.</t>
  </si>
  <si>
    <t>Yo: Como ejecutivo CAT
Quiero: desbloquear una TDC bloqueada temporalmente a petición del cliente
Para: restablecer la operación cuando corresponda.</t>
  </si>
  <si>
    <t>• Desbloqueo temporal (20 -&gt; 00) de tarjeta física o digital desde el CAT a petición del cliente autenticado [DEF RF-16].
 • Obligatoriedad de código SMS OTP de 4 digitos enviado al cliente para validar el desbloqueo (revierte el acuerdo de S9) [RN-OP-S10-03].
 • El desbloqueo es el mismo usado en App y Sucursal (centralizado) [DEF RF-16 Consideraciones].
 • Código SMS invalido o expirado: el sistema rechaza el desbloqueo [RN-HU-046].
 • Si no llega el SMS, el ejecutivo puede reenviar; se puede presionar 1111 para cancelar el trámite [RF-16 Consideraciones].
 CITA TEXTUAL DEL DEF
 Fuente: Requisito funcional 16 – Bloqueo de tarjeta física y digital desde CAT por prevención, págs. 53-54
 Escenario: Desbloqueo Temporal de Tarjeta de Crédito
 Dado que el cliente tiene una tarjeta de crédito bloqueada temporalmente
 Y el cliente fue autenticado previamente de manera satisfactoria
 Y el cliente ha solicitado el desbloqueo temporal de su tarjeta
 Cuando el ejecutivo del CAT ha iniciado el proceso de desbloqueo temporal
 Y se solicite el código de verificación que llega por SMS
 Y el desbloqueo es el mismo que se ocupa en otros canales como APP, Sucursales
 Entonces el sistema debe notificar al cliente vía correo electrónico que la tarjeta ha sido desbloqueada
 Y el sistema debe registrar el evento de desbloqueo temporal en el historial de la cuenta del cliente
 en caso de no llegar el SMS al cliente, el ejecutivo podrá dar clic en Reenviar SMS hasta que llegue el código o
 se puede presionar 1111 para cancelar el trámite.
 Una vez que se inicia la captura del código se habilita el botón de Aceptar. El Cliente proporciona al ejecutivo el código que llegó a su celular por SMS y el sistema lo valida</t>
  </si>
  <si>
    <t>CA01 - Desbloqueo temporal con SMS OTP 
Dado que el cliente autenticado tiene una tarjeta en bloqueo temporal ( estatus 20) y solicita el desbloqueo
Cuando el ejecutivo inicia el proceso y se solicita el código SMS OTP de 4 dígitos enviado al celular del cliente
Entonces al validar el código, la tarjeta vuelve a estatus 00, se refleja en App/Sucursal, se registra el evento y se notifica al cliente por correo
CA02 - Código SMS invalido o expirado 
Dado que el cliente captura un código SMS invalido o expirado
Cuando el ejecutivo intenta validar el desbloqueo
Entonces el sistema rechaza el desbloqueo
CA03 - Desbloqueo de tarjeta digital 
Dado que el cliente solicita desbloquear su tarjeta digital desde el CAT
Cuando el ejecutivo valida su identidad en ICCAT y el SMS OTP
Entonces el sistema permite el desbloqueo de la tarjeta digital, homologando facultades con la física</t>
  </si>
  <si>
    <t>• Cliente autenticado y tarjeta en bloqueo temporal (estatus 20).
• Servicio de SMS OTP disponible.
• Cliente proporciona el código recibido.</t>
  </si>
  <si>
    <t>Las dependencias con Smart Vista, middleware y la regla de saldo a favor están identificadas.</t>
  </si>
  <si>
    <t>• El desbloqueo devuelve la tarjeta a estatus 00 tras validar el SMS OTP.
• Un SMS invalido o expirado rechaza el desbloqueo.
• El ejecutivo puede desbloquear también tarjetas digitales.
• Canales asociados: CAT, SmartVista.</t>
  </si>
  <si>
    <t>Robustecida con S9/S10. Reglas: RN-OP-S10-03 (SMS OTP obligatorio, revierte acuerdo S9), RN-HU-046 (SMS invalido/expirado rechaza), RN-OP-CAT-04 (desbloqueo digital en CAT). Resuelta por S10 a favor de mantener el SMS OTP.
[Nota de fragmentación original] Se separa porque el desbloqueo requiere validar reversibilidad y confirmar al cliente.</t>
  </si>
  <si>
    <t>22c_Minuta_S9_IVR_Autenticacion_ICCAT_2026-07-09.md | 22d_Minuta_S10_ICCAT_SIWEB_2026-07-10.md
Alcance:Interseccion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extravío/Desbloqueo de tarjeta desde CAT.</t>
  </si>
  <si>
    <t>CAT/Req. Funcional 15 - Bloqueo de tarjeta física y digital desde CAT por robo o extravío/Actualización de históricos CAT por cambio de estatus</t>
  </si>
  <si>
    <t>Yo: Como ejecutivo CAT
Quiero: consultar campos actualizados tras cambios de estatus de tarjeta
Para: dar seguimiento a cancelaciones, bloqueos y reposiciones.</t>
  </si>
  <si>
    <t>• Consulta de estatus actualizado de las tarjetas del cliente en Consulta de Clientes tras cambios de estatus [DEF RF-16].
 • Un cambio de estatus fallido no muestra datos parciales/inconsistentes del plástico [RN-HU-012/013].
 • Cliente no autenticado: no se muestra la información [RN-HU-047].
 • Consulta histórica de tarjetas asociadas a la cuenta; enmascarado (solo ultimos 4 digitos) [RN-OP-S10-04].
 • Consulta de movimientos por cuenta clave de 18 digitos para no perder histórico tras reposicion [RN-OP-S10-02].
 CITA TEXTUAL DEL DEF
 Fuente: Requisito funcional 16 – Bloqueo de tarjeta física y digital desde CAT por prevención, págs. 53-54
 Escenario: Consulta del Estatus de Tarjetas y Validación de Cliente
 Dado que el cliente está autenticado en el sistema
 Y el sistema muestra la información del cliente y las tarjetas asociadas con su estatus
 Cuando el ejecutivo consulta las tarjetas del cliente
 Entonces el sistema debe mostrar el estatus actualizado de cada tarjeta (bloqueada temporalmente, activa,cancelada etc.)
 Y el ejecutivo puede proceder con el bloqueo o desbloqueo de tarjetas según lo solicitado por el cliente
 El sistema muestra la información del cliente y las Tarjetas que tenga con su estatus.
 Se debe de informar al cliente por sms y correo el cambio solicitado</t>
  </si>
  <si>
    <t>CA01 - Consulta de estatus actualizado
Dado que el cliente está autenticado y el sistema muestra sus tarjetas asociadas con su estatus
Cuando el ejecutivo consulta las tarjetas del cliente
Entonces el sistema muestra el estatus actualizado de cada tarjeta (bloqueada temporalmente, activa, cancelada) y el histórico por cuenta clabe de 18 digitos con terminación de número de tarjeta enmascarado
CA02 - Cambio de estatus fallido 
Dado que ocurrió un cambio de estatus fallido
Cuando el módulo se consulta
Entonces el sistema muestra el mensaje indicando: " Ocurrio un error interno al tratar de cambiar el estatus de la tarjeta del cliente, error en transacción: '30203' y boton de aceptar"
CA03 - Cliente no autenticado 
Dado que el cliente no está autenticado
Cuando se intenta consultar sus tarjetas
Entonces el sistema no muestra la información (knockout de autenticacion)</t>
  </si>
  <si>
    <t>• Cliente autenticado en ICCAT.
• Cambios de estatus registrados en Smart Vista.
• Endpoint de retrieve/consulta disponible.</t>
  </si>
  <si>
    <t>Las diferencias de nomenclatura o mapeo están registradas como pendientes y no como supuestos aprobados.</t>
  </si>
  <si>
    <t>• El ejecutivo consulta el estatus actualizado de cada tarjeta (activa/bloqueada/cancelada).
• Un cambio fallido no muestra datos parciales/inconsistentes.
• Sin autenticacion no se muestra información.
• El histórico se consulta por cuenta clabe de 18 digitos y con terminación de número de tarjeta enmascarado.
• Canales asociados: CAT.</t>
  </si>
  <si>
    <t>Robustecida con S10. Reglas: RN-HU-012/013 (sin datos parciales en cambio fallido), RN-HU-047 (no autenticado no muestra), RN-OP-S10-02 (consulta por 18 dígitos), RN-OP-S10-04 (enmascaramiento). Motivos de cancelación granulares en ICCAT: Extraviada, Deterioro, Robada, Dañada.
[Nota de fragmentación original] Se separa porque la actualización de históricos/consulta es persistencia transversal tras operaciones CAT.</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</si>
  <si>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extravío/Actualización de históricos CAT por cambio de estatus.</t>
  </si>
  <si>
    <t>CAT/Req. Funcional 13 - Alta del producto 4900 en el IVR/Consulta de saldos y movimientos del producto 4900 por IVR</t>
  </si>
  <si>
    <t>Alta del producto 4900 en el IVR
 HU ORIGINAL — CITA TEXTUAL DEL DEF
 Fuente: Requisito funcional 13 – Alta del producto 4900 en el IVR, pág. 46
 Como cliente de BanCoppel,
 Quiero poder acceder a un menú IVR para realizar consultas y recibir asistencia por teléfono,
 Para gestionar mis necesidades bancarias de manera rápida y eficiente.</t>
  </si>
  <si>
    <t>Yo: Como cliente con TDC producto 4900
Quiero: consultar por IVR mis saldos y movimientos recientes después de autenticarme
Para: obtener información de mi tarjeta sin requerir atención de un ejecutivo.</t>
  </si>
  <si>
    <t>• Reconocer el producto 4900 en el menú IVR.
 • Autenticar al cliente antes de exponer información sensible.
 • Consultar saldos y movimientos mediante la cuenta/contrato de 18 dígitos.
 • Transferir a un ejecutivo cuando el servicio no esté disponible o la información sea insuficiente.
 CITA TEXTUAL DEL DEF
 Fuente: Requisito funcional 13 – Alta del producto 4900 en el IVR, pág. 46
 Escenario: Cliente selecciona la opción de consulta de saldos y movimientos
 Dado que el cliente marca al 800 BanCoppel
 Y el cliente selecciona la opción para consultar saldos y movimientos de sus tarjetas o cuenta CLABE
 Cuando el sistema procesa la selección
 Entonces el sistema debe solicitar el número de la tarjeta o cuenta CLABE del cliente
 Y el sistema debe leer en voz alta el saldo actual y los movimientos recientes de la tarjeta</t>
  </si>
  <si>
    <t xml:space="preserve">CA01 - Consulta de saldos
Dado que el cliente 4900 fue autenticado correctamente
Cuando selecciona la opción de saldos
Entonces el IVR consulta la cuenta/contrato y comunica la información disponible sin exponer datos sensibles
CA02 - Consulta de movimientos 
Dado que el cliente fue autenticado
Cuando solicita movimientos recientes (saldo a la fecha mostrar / fecha de corte )
Entonces el IVR recupera las operaciones asociadas a la cuenta/contrato de 18 dígitos y las presenta conforme al límite definido
CA03 - Servicio no disponible
Dado que la consulta no responde o no devuelve información suficiente
Cuando el cliente intenta continuar
Entonces el IVR informa la indisponibilidad y lo transfiere al flujo de atención correspondiente
CA04 - Contratacion anterior a la fecha de corte
Dado que  la cuenta de credito se apertura anterior a la fecha de corte
Cuando se realice la consulta de movimientos
Entonces se proporciona la fecha de corte
CA05 - Contratacion posterior a la fecha de corte
Dado que la cuenta de credito se apertura posterior a la fecha de corte
Cuando se realice la consulta de movimientos
Entonces se proporciona la fecha de apertura del credito
Eje: Fecha de corte TDC Bancoppel dia 20 
Si el dia 21 si obtiene el corte, este ya no se podra visualizar
</t>
  </si>
  <si>
    <t>• Producto 4900 activo en IVR.
• Cliente autenticado.
• Servicio de saldos y movimientos disponible.
• Cuenta/contrato de 18 dígitos relacionada con el cliente.</t>
  </si>
  <si>
    <t>• Opciones IVR y mensajes confirmados en S9.
• Contrato de consulta identificado.
• Reglas y transferencia definidas.</t>
  </si>
  <si>
    <t>• La consulta responde para clientes autenticados.
• Los datos sensibles permanecen protegidos.
• El identificador de 18 dígitos se utiliza correctamente.
• Los errores transfieren al flujo definido.</t>
  </si>
  <si>
    <t>Separada del alta del producto porque la consulta de saldos y movimientos requiere servicios, autenticación, enmascaramiento y tratamiento de errores propios.</t>
  </si>
  <si>
    <t>22c_Minuta_S9_IVR_Autenticacion_ICCAT_2026-07-09.md
Alcance: 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IVR/Consulta de saldos y movimientos del producto 4900 por IVR.</t>
  </si>
  <si>
    <t>CAT/Req. Funcional 13 - Alta del producto 4900 en el IVR/Control de datos inválidos e intentos fallidos en IVR</t>
  </si>
  <si>
    <t>Alta del producto 4900 en el IVR
 HU ORIGINAL — CITA TEXTUAL DEL DEF
 Fuente: Requisito funcional 13 – Alta del producto 4900 en el IVR, págs. 46-47
 Como cliente de BanCoppel,
 Quiero poder acceder a un menú IVR para realizar consultas y recibir asistencia por teléfono,
 Para gestionar mis necesidades bancarias de manera rápida y eficiente.</t>
  </si>
  <si>
    <t>Yo: Como dueño del canal IVR
Quiero: validar los datos capturados y controlar los intentos fallidos del cliente
Para: prevenir accesos indebidos y dirigir la llamada al tratamiento correcto.</t>
  </si>
  <si>
    <t>• Validar formato y consistencia de los datos solicitados por el IVR.
 • Registrar cada intento fallido a nivel cliente y periodo de control.
 • Aplicar el umbral configurado de intentos antes de bloquear el autoservicio.
 • Conservar evidencia de auditoría sin borrar el histórico.
 • Enrutar al cliente al ejecutivo o mensaje definido al alcanzar el límite.
 CITA TEXTUAL DEL DEF
 Fuente: Requisito funcional 13 – Alta del producto 4900 en el IVR, págs. 46-47
 Escenario: Error por ingresar datos incorrectos en el IVR
 Dado que el cliente marca al 800 BanCoppel
 And el cliente selecciona una opción del menú IVR
 Cuando el sistema solicita al cliente ingresar datos como número de tarjeta, cuenta CLABE o confirmar su número telefónico
 Y el cliente ingresa datos incorrectos o inválidos (ej. número de tarjeta erróneo, cuenta CLABE no registrada, número telefónico incorrecto)
 Entonces el sistema debe informar al cliente que los datos ingresados no son válidos
 Y debe ofrecer al cliente la opción de intentar ingresar los datos nuevamente
 Y el cliente debe tener un límite de intentos (por ejemplo, 3 intentos) antes de finalizar la llamada
 Y si el cliente excede el número de intentos, el sistema debe cancelar la operación de forma segura
 El sistema debe validar los datos ingresados de manera eficiente (ej. número de tarjeta o cuenta CLABE con el formato correcto).
 Si el cliente proporciona un dato incorrecto, el sistema debe proporcionar un mensaje claro que explique qué tipo de error ocurrió (por ejemplo, "El número de tarjeta ingresado no es válido" o "El número telefónico no coincide con nuestros registros").
 Para evitar intentos repetidos de entradas incorrectas, el sistema debe limitar el número de intentos de ingreso de datos erróneos.
 Acción tras 3 intentos fallidos:Se finaliza la interacción</t>
  </si>
  <si>
    <t>CA01 - Dato válido 
Dado que el cliente captura datos con formato y coincidencia correctos
Cuando el IVR los valida
Entonces permite continuar con la autenticación o consulta solicitada
CA02 - Dato inválido
Dado que el dato capturado no cumple formato o no coincide
Cuando se valida
Entonces el IVR rechaza el dato, informa el error y registra el intento fallido
CA03 - Umbral de intentos
Dado que el cliente acumula el máximo de 3 intentos permitido 
Cuando intenta continuar
Entonces se bloquea el autoservicio para el periodo definido y se enruta conforme a la política del canal</t>
  </si>
  <si>
    <t>• Política de intentos configurada.
• Cliente o llamada identificados.
• Catálogo de mensajes y rutas disponible.
• Registro de auditoría habilitado.</t>
  </si>
  <si>
    <t>• Datos de autenticación y formato definidos en S9.
• Umbral y tratamiento de bloqueo documentados.
• Ruta de transferencia identificada.</t>
  </si>
  <si>
    <t>• Cada intento queda registrado.
• El umbral se aplica sin exceder la configuración.
• El cliente recibe mensaje y ruta correctos.
• La auditoría conserva fecha, canal y resultado.</t>
  </si>
  <si>
    <t>Capacidad de seguridad separada del enrutamiento funcional. S9 confirmó validación de datos, conteo de intentos y transferencia ante fallo.</t>
  </si>
  <si>
    <t>22c_Minuta_S9_IVR_Autenticacion_ICCAT_2026-07-09.md
Alcance: Interseccion DEF-Inventario. Normativa: DEF PV 1006626 Mercado Abierto (R4 )(1).docx. Sesión/grabación: 22c_Minuta_S9_IVR_Autenticacion_ICCAT_2026-07-09.md. Validador(es): Ramsés Abdiel Santos; Rey David Zavala García; Obed (dueño del canal).. Funcionalidad/BB: CAT/Req. Funcional 13 - Alta del producto 4900 en el IVR/Control de datos inválidos e intentos fallidos en IVR.</t>
  </si>
  <si>
    <t>CAT/Req. Funcional 14 - Identificación de clientes Apolo en CAT/Gestión de intentos fallidos de autenticación en ICCAT</t>
  </si>
  <si>
    <t>Identificación de clientes Apolo en CAT
 HU ORIGINAL — CITA TEXTUAL DEL DEF
 Fuente: Requisito funcional 14 – Identificación de clientes Apolo en CAT, págs. 49-50
 Como usuario del CAT BanCoppel
 Quiero que, si un cliente solicita más de un servicio dentro de la misma llamada, no se le solicite nuevamente la autenticación
 Como usuario del CAT BanCoppel
 Quiero que, si un cliente solicita más de un servicio dentro de la misma llamada,
 No se le solicite nuevamente la autenticación
 Para brindar una atención más ágil y una mejor experiencia al cliente.
 brindar una atención más ágil y una mejor experiencia al cliente.</t>
  </si>
  <si>
    <t>Yo: Como ejecutivo de ICCAT
Quiero: controlar los intentos fallidos de autenticación del cliente durante el día
Para: impedir accesos no autorizados y mantener un histórico auditable de la atención.</t>
  </si>
  <si>
    <t>• Contabilizar los intentos fallidos a nivel cliente durante el periodo diario configurado.
 • Aplicar el bloqueo al alcanzar el umbral aprobado.
 • Reutilizar el contador entre llamadas del mismo periodo sin perder trazabilidad.
 • Iniciar un nuevo periodo conforme a la parametrización sin eliminar el histórico anterior.
 • Mostrar al ejecutivo el estado de autenticación y la acción siguiente.
 CITA TEXTUAL DEL DEF
 Fuente: Requisito funcional 14 – Identificación de clientes Apolo en CAT, págs. 49-50
 Escenario 2: Cliente APOLO No Pasa la Autenticación
 Dado que soy un Ejecutivo del CAT y he recibido una llamada de un cliente originado en APOLO,
 Cuando intento autenticar al cliente utilizando las baterías de preguntas aleatorias,
 Y el cliente no pasa la autenticación (ej. falla una o más preguntas),
 Entonces el sistema no debe permitirme acceder a la información sensible del cliente (saldo y movimientos),
 Y el sistema debe notificarme que la autenticación ha fallado,
 Y me debe de permitir volver a intentar 2 autenticaciones más
 Y si son falladas por ese día ya no se le puede brindar el servicio al cliente
 Y el ejecutivo invita al cliente a acudir a la sucursal.
 Si las respuestas del cliente son incorrectas entonces el sistema muestra un mensaje que ha fallado en al menos una de las preguntas de “ Inicio de Sesión de usuario”.
 Por lo cual se podrá volver a intentar la autenticación ( las preguntas deben de cambiar y no repetirse),adicional en el sistema se muestra un contador de número de intentos fallidos en el día con la finalidad de poder informarle al cliente y en caso de llegar al tercer intento fallido durante el día se le bloqueará la atención por el resto del día.
 Se deberá invitar al cliente a acudir a una sucursal a actualizar sus datos (por seguridad).</t>
  </si>
  <si>
    <t>CA01 - Intento fallido registrado
Dado que el cliente no supera la batería de autenticación
Cuando el ejecutivo registra el resultado
Entonces ICCAT incrementa el contador y conserva fecha, canal y motivo
CA02 - Bloqueo por umbral
Dado que el cliente alcanza tres intentos fallidos en el día
Cuando intenta autenticarse nuevamente
Entonces ICCAT bloquea el flujo de autoservicio/autenticación conforme a la política y  se invita al cliente a acudir a sucursal a actualizar sus datos
CA03 - Nuevo periodo
Dado que inicia un nuevo periodo diario permitido
Cuando el cliente vuelve a llamar
Entonces el contador se comporta conforme a la parametrización sin borrar la auditoría histórica</t>
  </si>
  <si>
    <t>• Cliente identificado.
• Batería de autenticación disponible.
• Umbral diario parametrizado.
• Usuario ICCAT autenticado.</t>
  </si>
  <si>
    <t>• Regla de intentos y periodo acordada en S9/S10.
• Mensaje y acción posterior definidos.
• Registro de auditoría especificado.</t>
  </si>
  <si>
    <t>• El contador se actualiza por cliente.
• El bloqueo ocurre al umbral configurado.
• El nuevo periodo respeta la parametrización.
• El histórico permanece disponible.</t>
  </si>
  <si>
    <t>Se separa de la autenticación exitosa porque el conteo, bloqueo y reinicio del periodo tienen reglas y evidencia propias.</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</si>
  <si>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Funcionalidad/BB: CAT/Req. Funcional 14 - Identificación de clientes Apolo en CAT/Gestión de intentos fallidos de autenticación en ICCAT.</t>
  </si>
  <si>
    <t>CAT/Req. Funcional 15 - Bloqueo de tarjeta física y digital desde CAT por robo o extravío/Consulta de productos y estatus de tarjetas en CAT</t>
  </si>
  <si>
    <t>Identificación de clientes Apolo en CAT
 HU ORIGINAL — CITA TEXTUAL DEL DEF
 Fuente: Requisito funcional 16 – Consulta del Estatus de Tarjetas y Validación de Cliente, págs. 53-54
 Como Ejecutivo del CAT BanCoppel
 Quiero realizar el bloqueo y desbloqueo temporal de una tarjeta de crédito a petición del cliente
 Para asegurar la seguridad de la cuenta del cliente y notificar el estado de su tarjeta de manera eficiente.</t>
  </si>
  <si>
    <t>Yo: Como ejecutivo de CAT
Quiero: consultar los productos TDC del cliente y el estatus vigente de sus tarjetas física y digital
Para: identificar el instrumento correcto y ejecutar la atención sin afectar una tarjeta distinta.</t>
  </si>
  <si>
    <t>• Recuperar los productos TDC asociados al cliente, incluido el producto 4900.
 • Mostrar tarjeta física y digital como instrumentos independientes sobre la misma cuenta cuando corresponda.
 • Presentar estatus homologado, tipo de tarjeta y terminación de número de tarjeta enmascarado con últimos cuatro dígitos.
 • Reflejar cambios confirmados por Smart Vista después de bloqueo, desbloqueo, reposición o cancelación.
 • Evitar información parcial cuando un servicio de consulta falle.
 CITA TEXTUAL DEL DEF
 Fuente: Requisito funcional 16 – Consulta del Estatus de Tarjetas y Validación de Cliente, págs. 53-54
 Escenario: Consulta del Estatus de Tarjetas y Validación de Cliente
 Dado que el cliente está autenticado en el sistema
 Y el sistema muestra la información del cliente y las tarjetas asociadas con su estatus
 Cuando el ejecutivo consulta las tarjetas del cliente
 Entonces el sistema debe mostrar el estatus actualizado de cada tarjeta (bloqueada temporalmente, activa,cancelada etc.)
 Y el ejecutivo puede proceder con el bloqueo o desbloqueo de tarjetas según lo solicitado por el cliente
 Formato de número de cuenta: El número de cuenta debe cambiar a 18 dígitos en el sistema para garantizar la conformidad con las normativas vigentes.
 Enmascarado de datos: Los datos sensibles (como el número completo de la tarjeta) deben ser enmascarados para proteger la privacidad del cliente. Solo los últimos 4 dígitos deben ser visibles.
 Consulta histórica de tarjetas: El sistema debe permitir consultar el historial de tarjetas de crédito asociadas a la cuenta para que tanto el cliente como el ejecutivo puedan acceder a la información previa.
 Anexo Reposiciones Iccat.docx</t>
  </si>
  <si>
    <t>CA01 - Consulta completa
Dado que el cliente fue identificado y autenticado
Cuando el ejecutivo consulta sus productos
Entonces CAT muestra todas las TDC asociadas con tipo, últimos cuatro dígitos y estatus vigente
CA02 - Convivencia física/digital
Dado que la cuenta tiene tarjeta física y digital
Cuando se presenta la información
Entonces cada instrumento aparece por separado y conserva su estatus propio
CA03 - Consulta incompleta 
Dado que un servicio no devuelve la información completa
Cuando CAT procesa la respuesta
Entonces no muestra datos parciales, informa la indisponibilidad y conserva la última información confirmada</t>
  </si>
  <si>
    <t>• Cliente autenticado.
• Servicios de productos y estatus disponibles.
• Catálogo homologado de estatus.
• terminación de número de tarjeta susceptible de enmascaramiento.</t>
  </si>
  <si>
    <t>• Campos de consulta acordados en S10.
• Identificador de cuenta/contrato definido.
• Reglas de convivencia física/digital y enmascaramiento documentadas.</t>
  </si>
  <si>
    <t>• CAT muestra productos y tarjetas correctos.
• El estatus coincide con Smart Vista.
• Los últimos cuatro dígitos permiten identificar el instrumento.
• No se presentan respuestas parciales.</t>
  </si>
  <si>
    <t>Capacidad transversal tratada en S10. También soporta bloqueo y desbloqueo; se mantiene vinculada a identificación y prevención sin duplicar la operación de cambio de estatus.</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</si>
  <si>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extravío/Consulta de productos y estatus de tarjetas en CAT.</t>
  </si>
  <si>
    <t>CAT/Req. Funcional 15 - Bloqueo de tarjeta física y digital desde CAT por robo o extravío/Cancelación de plástico por robo, extravío, daño o vencimiento</t>
  </si>
  <si>
    <t>Bloqueo de tarjeta física y digital desde CAT por robo o extravío
 HU ORIGINAL — CITA TEXTUAL DEL DEF
 Fuente: Requisito funcional 15 – Bloqueo de tarjeta física y digital desde CAT por robo o extravío, págs. 51-52
 Como Ejecutivo del CAT
 Quiero reportar una tarjeta física por robo, extravío, vencimiento o daño
 Para proporcionar una solución rápida y eficiente al cliente, asegurando la seguridad de su cuenta.</t>
  </si>
  <si>
    <t>Yo: Como ejecutivo de CAT
Quiero: registrar el motivo de reporte y cancelar la tarjeta fisica afectada
Para: impedir su uso, conservar la trazabilidad y permitir el tratamiento posterior correspondiente.</t>
  </si>
  <si>
    <t>• Permitir seleccionar el instrumento afectado y el motivo: robo, extravío, daño o vencimiento.
 • Cancelar únicamente el plástico seleccionado sin modificar automáticamente el otro instrumento.
 • Registrar folio, fecha, canal, ejecutivo, motivo y estatus resultante.
 • Reflejar el cambio en SmartVista, CAT, APP y SIWEB después de confirmación.
 • Informar al ejecutivo cuando la transición no sea válida o falle.
 CITA TEXTUAL DEL DEF
 Fuente: Requisito funcional 15 – Bloqueo de tarjeta física y digital desde CAT por robo o extravío, págs. 51-52
 Escenario: Reporte Exitoso de Tarjeta Física por Robo, Extravío, Vencimiento o Daño
 Dado que el cliente tiene una tarjeta de crédito física y/o digital activa
 Y es de cualquier producto de TDC
 Y el cliente está autenticado en el sistema ICCAT
 Cuando el cliente solicita el reporte de la tarjeta por robo, extravío, vencimiento o daño
 Y el ejecutivo selecciona el menú “Tarjetas &gt; opción Cancelación de Plástico de Tarjetas”
 Entonces el sistema debe de cancelar la tarjeta
 Y se debe de mostrar el número de reporte
 Y el sistema debe notificar al cliente sobre la cancelación de la tarjeta por medio de mensajes y e_mail
 Y el sistema debe informar el costo de reposición de la tarjeta
 Y el sistema debe permitir la consulta histórica de tarjetas asociadas a la cuenta
 Escenario: Error en el Reporte de Tarjeta por Fallo en el Proceso por tarjeta previamente cancelada
 Dado que el cliente tiene una tarjeta de crédito física o digital activa
 Y el cliente no está autenticado correctamente en el sistema ICCAT
 Y la tarjeta ya esta cancelada previamente
 Cuando el cliente solicita el reporte de la tarjeta por robo, extravío, vencimiento o daño
 Y el ejecutivo selecciona el menú “Tarjetas &gt; opción Cancelación de Plástico de Tarjetas”
 Entonces el sistema debe NO le debe de permitir seleccionar la tarjeta a cancelar
 Y el sistema no debe permitir continuar con el proceso de reporte</t>
  </si>
  <si>
    <t xml:space="preserve">CA01 - Cancelación por robo (07) o extravío (06)
Dado que el cliente autenticado reporta la tarjeta fisica
Cuando el ejecutivo registra robo o extravío y confirma la operación
Entonces la tarjeta fisica queda cancelada, se genera folio y se actualiza el histórico
CA02 - Daño o vencimiento 
Dado que el motivo es daño o vencimiento
Cuando se procesa la cancelación
Entonces se aplica el estatus (27) y se conserva la cuenta para el flujo de reposición autorizado
CA03 - Transición fallida 
Dado que Smart Vista no confirma el cambio de estatus
Cuando CAT intenta finalizar el reporte
Entonces no presenta cancelación parcial, informa el error y conserva el estatus anterior
</t>
  </si>
  <si>
    <t>• Cliente autenticado.
• Tarjeta e instrumento identificados.
• Motivo seleccionado.
• Servicio de cambio de estatus disponible.</t>
  </si>
  <si>
    <t>• Motivos y transiciones permitidas acordados en S9/S10.
• Reglas de convivencia física/digital documentadas.
• Folio e histórico definidos.</t>
  </si>
  <si>
    <t>• Solo el plástico elegido cambia de estatus.
• Se genera folio y auditoría.
• Los canales reflejan el cambio confirmado.
• No existen cancelaciones parciales.</t>
  </si>
  <si>
    <t>Se separa del bloqueo preventivo temporal porque el reporte por robo, extravío, daño o vencimiento implica cancelación del plástico, folio e histórico específicos.</t>
  </si>
  <si>
    <t>22c_Minuta_S9_IVR_Autenticacion_ICCAT_2026-07-09.md | 22d_Minuta_S10_ICCAT_SIWEB_2026-07-10.md
Alcance: Interseccion DEF-Inventario. Normativa: DEF PV 1006626 Mercado Abierto (R4 )(1).docx. Sesión/grabación: 22c_Minuta_S9_IVR_Autenticacion_ICCAT_2026-07-09.md | 22d_Minuta_S10_ICCAT_SIWEB_2026-07-10.md. Validador(es): Ramsés Abdiel Santos; Rey David Zavala García; Obed; Armando García Ortiz; María de los Ángeles Yedra Santiago; Sergio Arellano Payán; Patricia Araceli Tovar Moctezuma.. Funcionalidad/BB: CAT/Req. Funcional 15 - Bloqueo de tarjeta física y digital desde CAT por robo o extravío/Cancelación de plástico por robo, extravío, daño o vencimiento.</t>
  </si>
  <si>
    <t>SIWEB/Req. Funcional 6 - Pagos anticipados y Liquidaciones de Compras diferidas/Pago anticipado parcial en SIWEB</t>
  </si>
  <si>
    <t>Pagos anticipados y Liquidaciones de Compras diferidas
 HU ORIGINAL — CITA TEXTUAL DEL DEF
 Fuente: Requisito funcional 6 – Pagos anticipados y Liquidaciones de Compras diferidas, págs. 19-21
 Como cliente de Tarjeta de Crédito BanCoppel
 Quiero adelantar pagos parciales o liquidar totalmente mis compras diferidas
  Para reducir o liquidar mi saldo pendiente y administrar mi crédito de manera flexible
  Desde la App BanCoppel o el canal de sucursal</t>
  </si>
  <si>
    <t>Yo: Como usuario de sucursal/SIWEB
Quiero: aplicar pagos parciales anticipados a compras diferidas
Para: reducir el capital pendiente del cliente.</t>
  </si>
  <si>
    <r>
      <rPr>
        <sz val="9"/>
        <color rgb="FF1F2937"/>
        <rFont val="Carlito"/>
      </rPr>
      <t xml:space="preserve">• Adelanto de pago parcial anticipado a compras diferidas desde ventanilla, aplicado directo a capital y reduciendo el plazo restante [RN-OP-S4-07].
 • El adelanto no exime la siguiente mensualidad programada [DEF RF-6].
 • Registro via transaccion SIWEB 623 'PAGO CGO A CTA DE CREDISOLUCIONES'; afecta registros contables y reporteria de sucursal [DEF RF-6].
</t>
    </r>
    <r>
      <rPr>
        <b/>
        <sz val="9"/>
        <color rgb="FFFF0000"/>
        <rFont val="Carlito"/>
      </rPr>
      <t xml:space="preserve"> • Pago directo a los productos MSI/MCI (6900 y 8900) [RF-07 Consideraciones].</t>
    </r>
    <r>
      <rPr>
        <sz val="9"/>
        <color rgb="FF1F2937"/>
        <rFont val="Carlito"/>
      </rPr>
      <t xml:space="preserve">
 • Bloqueo estricto si el cliente tiene pagos vencidos (agingPeriod &gt; 0): se lee el atributo de SmartVista y se inhabilita la accion [RN-OP-S10-01].
 CITA TEXTUAL DEL DEF
 Fuente: Requisito funcional 6 – Pagos anticipados y Liquidaciones de Compras diferidas, págs. 19-21
 Dado que el cliente cuenta con una compra diferida activa a MSI o MCI
 And el cliente conoce el saldo actual del pago fijo
 Cuando el cliente solicita un adelanto parcial de pago
 Entonces el sistema debe aplicar el pago directamente a la compra diferida seleccionada
 Y el saldo de capital pendiente de la compra debe disminuir
 Y el adelanto parcial no debe eximir el pago de la siguiente mensualidad programada
 Y el pago debe registrarse mediante la transacción SIWEB 623 "PAGO CGO A CTA DE CREDISOLUCIONES"
 Y se afecta los registros contables
 Y se afecta la reportería de sucursal
 El crédito debe de estar vigente
 El cliente debe de contar con al menos una compra a MSI O MCI
 El pago se podrá realizar de manera parcial ( disminuir el saldo a capital ) y/o Saldo total ( cancelar el Pago fijo)
 El pago parcial no exime el pago de la próxima mensualidad, reduce el capital
 </t>
    </r>
    <r>
      <rPr>
        <b/>
        <sz val="9"/>
        <color rgb="FFFF0000"/>
        <rFont val="Carlito"/>
      </rPr>
      <t>El pago se debe realizar directo al producto de MSI Y MCI (6900 y 8900)</t>
    </r>
    <r>
      <rPr>
        <sz val="9"/>
        <color rgb="FF1F2937"/>
        <rFont val="Carlito"/>
      </rPr>
      <t xml:space="preserve">
 El cliente deberá conocer el saldo actual del pago fijo para poder saber cuanto debe de liquidar
 En SIWEB la transacción es la 623 “PAGO CGO A CTA DE CREDISOLUCIONES”</t>
    </r>
  </si>
  <si>
    <t>CA01 - Adelanto parcial en ventanilla
Dado que el cliente tiene una compra diferida activa a MSI o MCI y conoce el saldo del pago fijo
Cuando el ejecutivo aplica un pago parcial anticipado desde SIWEB
Entonces el sistema aplica el pago directo a capital, reduce el plazo restante y registra la operación con la transaccion 623 afectando contabilidad y reporteria
CA02 - No exime la siguiente mensualidad
Dado que el cliente realizó un adelanto parcial en sucursal
Cuando transcurre al siguiente ciclo
Entonces el adelanto no exime el pago de la próxima mensualidad, solo reduce el capital y el plazo
CA03 - Bloqueo por pagos vencidos
Dado que el cliente tiene pagos vencidos en Smart Vista (agingPeriod &gt; 0)
Cuando el ejecutivo intenta aplicar el adelanto en SIWEB
Entonces el sistema lee el atributo, inhabilita la acción y bloquea la terminación de número de tarjeta del cajero</t>
  </si>
  <si>
    <t>• Cliente con compra diferida activa (MSI/MCI).
• Ejecutivo de sucursal autenticado en SIWEB.
• Crédito vigente sin adeudos vencidos (agingPeriod = 0).</t>
  </si>
  <si>
    <t>• Alcance trazado a RF-17 y HDU-MA-45-SIWEB.
• Canales asociados: SIWEB.
• Reglas RN-OP-S4-07, RN-OP-S10-01 documentadas.
• Transaccion SIWEB 623 y afectación contable.
• Escenarios: adelanto parcial, no exime mensualidad, bloqueo por vencidos.</t>
  </si>
  <si>
    <t>• El adelanto parcial se aplica directo a capital y reduce el número de mensualidades.
• El adelanto no exime la siguiente mensualidad.
• El pago se registra con la transacción 623 y afecta contabilidad y reporteria de sucursal.
• Se inhabilita la acción si el cliente tiene pagos vencidos (agingPeriod &gt; 0).
• Canales asociados: SIWEB.</t>
  </si>
  <si>
    <t>Robustecida con S4/S5/S10. Reglas: RN-OP-S4-07 (abono a capital reduce plazo), RN-OP-S10-01 (bloqueo por pagos vencidos). Comparte regla con APP (HDU-APP-R4-14) pero canal distinto. En sucursal SI aplica el pago parcial (a diferencia de App). Transacción SIWEB 623 a productos 6900/8900.
[Nota de fragmentación original] Se genera HDU SIWEB por canal específico, cuidando que no se mezcle con APP aunque comparten regla de negocio.</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</si>
  <si>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6 - Pagos anticipados y Liquidaciones de Compras diferidas/Pago anticipado parcial en SIWEB.</t>
  </si>
  <si>
    <t>SIWEB/Req. Funcional 6 - Pagos anticipados y Liquidaciones de Compras diferidas/Liquidación total de compra diferida en SIWEB</t>
  </si>
  <si>
    <t>Yo: Como usuario de sucursal/SIWEB
Quiero: liquidar totalmente una compra diferida
Para: cancelar el pago fijo solicitado por el cliente.</t>
  </si>
  <si>
    <t>• Liquidación total de compra diferida desde ventanilla: monto restante = capital pendiente + intereses devengados, sin intereses futuros [RN-HU-060, RN-OP-S4-06].
 • Al liquidar, el pago fijo asociado se cancela automáticamente [DEF RF-6].
 • Registro vía transacción SIWEB 623 [DEF RF-6].
 • En sucursal aplica pago parcial y total (a diferencia de App, solo total) [RN-HU-061].
 • Selección de la compra diferida especifica a liquidar [DEF RF-6].
 CITA TEXTUAL DEL DEF
 Fuente: Requisito funcional 6 – Pagos anticipados y Liquidaciones de Compras diferidas, págs. 19-21
 Escenario: Liquidación total de una compra diferida
 Dado que el cliente cuenta con una o más compra diferida activa a MSI o MCI
 Y el cliente identifica la compra que desea Liquidar
 Cuando el cliente solicita la liquidación total de la compra diferida
 Y el sistema debe calcular el monto total restante
 Y el monto debe incluir el capital pendiente y los intereses devengados
 Entonces la compra diferida debe quedar completamente saldada
 Y el sistema no debe cobrar intereses futuros
 Y la liquidación debe registrarse mediante la transacción SIWEB 623 "PAGO CGO A CTA DE CREDISOLUCIONES"
 Y el sistema debe cancelar de forma automática el pago fijo asociado
 Escenario : Selección de compra diferida para adelanto o liquidación
 Dado que el cliente tiene múltiples compras diferidas activas
 Cuando el cliente solicita un adelanto o liquidación
 Entonces el sistema debe permitir seleccionar la compra diferida específica
 Y el pago debe
 aplicarse únicamente a la compra seleccionada</t>
  </si>
  <si>
    <t>CA01 - Liquidación total en ventanilla
Dado que el cliente tiene una compra diferida activa e identifica la que desea liquidar
Cuando el ejecutivo procesa la liquidación total en SIWEB
Entonces el sistema calcula el monto restante (capital + intereses devengados), salda la compra, no cobra intereses futuros y cancela automáticamente el pago fijo
CA02 - Recálculo de intereses
Dado que el cliente liquida un MCI antes del corte
Cuando el sistema calcula el monto a liquidar
Entonces recalcula los intereses para no cobrar los futuros no devengados
CA03 - Seleccion de compra a líquidar
Dado que el cliente tiene múltiples compras diferidas activas
Cuando solicita liquidar una en ventanilla
Entonces el sistema permite seleccionar la compra especifica y aplica la liquidación solo a ella con la transaccion 623</t>
  </si>
  <si>
    <t>• Cliente con una o más compras diferidas activas.
• Ejecutivo de sucursal autenticado en SIWEB.
• Cliente identifica la compra a liquidar.</t>
  </si>
  <si>
    <t>• Alcance trazado a RF-17 y HDU-MA-46-SIWEB.
• Canales asociados: SIWEB.
• Reglas RN-HU-060/061, RN-OP-S4-06 documentadas.
• Transacción SIWEB 623.
• Escenarios: liquidacion total, recalculo de intereses, cancelación del pago fijo.</t>
  </si>
  <si>
    <t>• El monto de liquidación = capital pendiente + intereses devengados, sin intereses futuros.
• La compra queda saldada y el pago fijo se cancela automáticamente.
• La liquidación se registra con la transaccion 623.
• Canales asociados: SIWEB.</t>
  </si>
  <si>
    <t>Robustecida con S4/S5. Reglas: RN-HU-060 (no cobrar intereses no devengados), RN-HU-061 (sucursal permite parcial y total), RN-OP-S4-06 (interes en corte). Transacción SIWEB 623. En ventanilla, a diferencia de App, se permite también el pago parcial.
[Nota de fragmentación original] Se separa del pago parcial por el impacto de cancelación total del pago fijo.</t>
  </si>
  <si>
    <t>20_Minuta_S4S5_SmartVista_MesesConIntereses_PagosFijos_2026-07-08.md
Alcance: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6 - Pagos anticipados y Liquidaciones de Compras diferidas/Liquidación total de compra diferida en SIWEB.</t>
  </si>
  <si>
    <t>SIWEB/Req. Funcional 7 - Cancelación de Compras Diferidas desde SIWEB/Cancelación de compra diferida en SIWEB</t>
  </si>
  <si>
    <t>Cancelación de Compras Diferidas desde SIWEB
 HU ORIGINAL — CITA TEXTUAL DEL DEF
 Fuente: Requisito funcional 7 – Cancelación de Compras Diferidas desde SIWEB Y APP, págs. 29-31
 Como cliente con compras diferidas
 Quiero poder cancelar mis compras diferidas de forma segura y transparente
 Para gestionar mi saldo pendiente de manera eficiente desde App BanCoppel o sucursal</t>
  </si>
  <si>
    <t>Yo: Como usuario de sucursal/SIWEB
Quiero: cancelar una compra diferida de forma segura
Para: atender la solicitud del cliente desde sucursal.</t>
  </si>
  <si>
    <t>• Cancelacion de compra diferida en sucursal con validación de identidad (huella) ANTES de desplegar el detalle de los MCI/MSI [RN-HU-063].
 • Cargo en una sola exhibición por el monto restante; concepto 'Cargo por cancelación de MCI/MSI [DEF RF-7].
 • No se puede cancelar si el crédito esta vencido (Comentado en sesión).
 • Restricción cruzada: si el cliente tiene credisolucion de saldo total vigente aperturada en sucursal, no se permite crear un nuevo pago fijo por transacción [RN-HU-054..057].
 • El crédito debe estar vigente y el cliente contar con al menos una compra a MSI/MCI [DEF RF-7 Consideraciones].
 CITA TEXTUAL DEL DEF
 Fuente: Requisito funcional 7 – Cancelación de Compras Diferidas desde SIWEB Y APP, págs. 29-31
 Escenario 1: Cancelación de compra diferida en sucursal o App con validación de identidad
 Dado que el cliente solicita la cancelación de una compra diferida desde App o sucursal
 Cuando el sistema solicita la validación de identidad mediante huella y/o token
 Y la validación de identidad es exitosa
 Y el sistema debe permitir visualizar la información de los pagos fijos
 Y se selecciona la compra diferida a cancelar
 Y el sistema muestra un mensaje de confirmación
 Y el cliente confirma la cancelación
 Entonces el sistema debe realizar un cargo en una sola exhibición por el monto restante del pago fijo
 Y el sistema debe cancelar el esquema de compra diferida
 El crédito debe de estar vigente
 El cliente debe de contar con al menos una compra a MSI O MCI
 El pago se podrá realizar de manera parcial ( disminuir el saldo a capital ) y/o Saldo total ( cancelar el Pago fijo)
 El pago parcial no exime el pago de la próxima mensualidad, reduce el capital
 El pago se debe realizar directo al producto de MSI Y MCI (6900 y 8900)
 El cliente deberá conocer el saldo actual del pago fijo para poder saber cuanto debe de liquidar
 En SIWEB la transacción es la 623 “PAGO CGO A CTA DE CREDISOLUCIONES”
 La cancelación del pago fijo se podrá hacer desde el día de la apertura
 La cancelación de pagos fijos debe de realizarse en línea</t>
  </si>
  <si>
    <t>CA01 - Cancelación con huella valida
Dado que el cliente se encuentra identificado por huella, y solicita cancelar una compra diferida en sucursal y su validación de identidad por huella  es exitosa
Cuando confirma la cancelación nuevamente con la huella
Entonces el sistema permite visualizar los pagos fijos, realiza un cargo en una sola exhibición por el monto restante y cancela el esquema de compra diferida
CA02 - Fallo de validación de identidad
Dado que el cliente intenta cancelar una compra diferida en sucursal
Cuando la validación de identidad (huella) falla
Entonces el sistema rechaza la operación y no muestra el detalle de los MCI/MSI (validación previa a desplegar cualquier detalle)
CA03 - Credito vencido 
Dado que el crédito del cliente se encuentra con uno o mas pagos vencidos
Cuando el ejecutivo intenta cancelar el plan de Pagos Fijos en SIWEB
Entonces el sistema no permite la cancelación</t>
  </si>
  <si>
    <t>• Cliente con compra diferida activa (MSI/MCI).
• Validación de identidad por huella disponible en SIWEB.
• Crédito vigente.</t>
  </si>
  <si>
    <t>• Alcance trazado a RF-18 y HDU-MA-47-SIWEB.
• Canales asociados: SIWEB.
• Reglas RN-HU-063, RN-OP-APP-16, RN-HU-054..057 documentadas.
• Escenarios: cancelacion con huella valida, huella invalida, crédito vencido.</t>
  </si>
  <si>
    <t>• La cancelacion exige validación de identidad exitosa antes de mostrar detalle.
• El monto restante se carga en una sola exhibición con el concepto correcto.
• No se permite cancelar con crédito vencido.
• Canales asociados: SIWEB</t>
  </si>
  <si>
    <t>Robustecida con S4/S5/S10 + anexo. Reglas: RN-HU-063 (huella ANTES de mostrar detalle - knockout), RN-OP-APP-16 (no cancelar con crédito vencido, ), RN-HU-054..057 (reglas cruzadas con credisolucion de saldo total).  RF-18 diferido a R5 en la Estrategia E2E.
[Nota de fragmentación original] Se genera HDU por canal SIWEB debido a validaciones operativas y transaccionales distintas a APP.</t>
  </si>
  <si>
    <t>20_Minuta_S4S5_SmartVista_MesesConIntereses_PagosFijos_2026-07-08.md
Alcance: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7 - Cancelación de Compras Diferidas desde SIWEB/Cancelación de compra diferida en SIWEB.</t>
  </si>
  <si>
    <t>SIWEB/Req. Funcional 7 - Cancelación de Compras Diferidas desde SIWEB/Registro de efectos contables de pagos fijos</t>
  </si>
  <si>
    <t>Cancelación de Compras Diferidas desde SIWEB
 HU ORIGINAL — CITA TEXTUAL DEL DEF
 Fuente: Requisito funcional 7 – Cancelación de Compras Diferidas desde SIWEB Y APP, pág. 30
 Como cliente con compras diferidas
 Quiero poder cancelar mis compras diferidas de forma segura y transparente
 Para gestionar mi saldo pendiente de manera eficiente desde App BanCoppel o sucursal</t>
  </si>
  <si>
    <t>Yo: Como área operativa/contable
Quiero: registrar pagos, liquidaciones o cancelaciones de compras diferidas desde SIWEB
Para: mantener consistencia contable del producto MSI/MCI.</t>
  </si>
  <si>
    <t>• Registro de los efectos contables de pagos, liquidaciones o cancelaciones de compras diferidas desde SIWEB (productos 6900/8900) [DEF RF-7 Consideraciones].
 • Al cancelar, el saldo pendiente de capital se transfiere al revolvente; los intereses devengados e IVA de los intereses también se cargan al revolvente [RF-18 Escenario 2].
 • El cargo se registra con el concepto 'Cargo por cancelación de CrediSoluciones' [RF-18 Escenario 3].
 • El reverso de disposición/ajuste debe reflejarse en la guía contable oficial para evitar descuadres [RN-OP-S4-09, RN-HU-064].
 • Se debe validar el tema contable; si el cliente tiene saldo a favor, aplicar correctamente [DEF RF-7 Consideraciones].
 CITA TEXTUAL DEL DEF
 Fuente: Requisito funcional 7 – Cancelación de Compras Diferidas desde SIWEB Y APP, pág. 30
 Escenario 2: Tratamiento del saldo pendiente tras la cancelación de una compra diferida
 Dado que una compra diferida ha sido cancelada, ya sea en sucursal, App o mediante un proceso centralizado
 Cuando el sistema procesa la cancelación
 Entonces el saldo pendiente de capital debe transferirse al saldo revolvente
 Y el sistema debe transferir el saldo pendiente de capital al saldo revolvente
 Y el sistema debe transferir los intereses devengados e IVA de los intereses al saldo revolvente
 Y se debe de visualizar el cargo en los movimientos del cliente
 Y se debe de visualizar en el estado de cuenta
 Escenario 3: Cancelación centralizada de una compra diferida
 Dado que el cliente cuenta con una compra diferida activa a MSI o MCI
 Cuando el sistema ejecuta una cancelación centralizada
 And la cancelación se origina por falta de pago de dos meses consecutivos
 Or por un proceso de aclaración por cargo no reconocido
 Entonces el sistema debe cancelar el esquema de compra diferida
 Y el saldo pendiente de capital debe cargarse al saldo revolvente
 Y los intereses devengados e IVA de los intereses deben cargarse al saldo revolvente
 Y el cargo debe registrarse con el concepto "Cargo por cancelación de CrediSoluciones"
 Y la cancelación no debe requerir validación de identidad
 Se debe de validar el tema contable</t>
  </si>
  <si>
    <t>CA01 - Registro contable de operación
Dado que se ejecuto un pago, liquidación o cancelación de compra diferida desde SIWEB
Cuando el sistema procesa la operación
Entonces se registran los asientos contables correspondientes de los productos 6900/8900 manteniendo consistencia contable
CA02 - Traspaso al revolvente por cancelación
Dado que una compra diferida fue cancelada en sucursal
Cuando el sistema procesa la cancelación
Entonces el saldo pendiente de capital, los intereses devengados y el IVA de los intereses se transfieren al saldo revolvente con el concepto 'Cargo a petición del cliente'
CA03 - Reverso ante falla contable
Dado que ocurre una falla contable en el traspaso o la operación
Cuando el sistema la detecta
Entonces la operación se revierte/ajusta de forma controlada conforme a la guía contable oficial</t>
  </si>
  <si>
    <t>• Operación de pago/liquidacion/cancelacion ejecutada en SIWEB.
• Cuentas contables (grupo 13, revolvente, IVA) parametrizadas.
• Guia contable oficial disponible.</t>
  </si>
  <si>
    <t>• Alcance trazado a RF-17/RF-18 y HDU-MA-48-SV/49-SV (persistencia contable de canal).
• Canales asociados: SIWEB
• Reglas RN-OP-S4-09, RN-HU-064 documentadas.
• Escenarios: registro contable de cancelación, traspaso al revolvente, reverso/ajuste.</t>
  </si>
  <si>
    <t>• Los pagos/liquidaciones/cancelaciones desde SIWEB registran sus asientos contables (6900/8900).
• El saldo de capital, intereses devengados e IVA se transfieren al revolvente.
• El cargo se registra con el concepto 'Cargo por cancelación de CrediSoluciones'.
• Ante falla contable, la operación se revierte/ajusta de forma controlada.
• Canales asociados: SIWEB.</t>
  </si>
  <si>
    <t>Robustecida con S4/S5. Reglas: RN-OP-S4-09 (reverso reflejado en guía contable), RN-HU-064 (reverso/ajuste ante falla contable). [Información insuficiente] TRNT exacta pendiente de guia contable formal (VAL-13). Consistencia contable del producto MSI/MCI (6900/8900).
[Nota de fragmentación original] Se separa porque los efectos contables y productos 6900/8900 son una persistencia/regla transversal del canal SIWEB.</t>
  </si>
  <si>
    <t>20_Minuta_S4S5_SmartVista_MesesConIntereses_PagosFijos_2026-07-08.md
Alcance:  / Interseccion DEF-Inventario. Normativa: DEF PV 1006626 Mercado Abierto (R4 )(1).docx. Sesión/grabación: 20_Minuta_S4S5_SmartVista_MesesConIntereses_PagosFijos_2026-07-08.md. Validador(es): María de los Ángeles Yedra Santiago; Eduardo Guzmán González; José Alberto Valverde Corona; José Antonio De La Paz Nieto; José Francisco Mata Hernández; Víctor Daniel Vázquez Rodríguez.. Funcionalidad/BB: SIWEB/Req. Funcional 7 - Cancelación de Compras Diferidas desde SIWEB/Registro de efectos contables de pagos fijos.</t>
  </si>
  <si>
    <t>SMARTVISTA/Req. Funcional 5 - Nueva regla de limitar saldo a favor (Auditoría)/Validación del límite de saldo a favor en transacciones de caja</t>
  </si>
  <si>
    <t>Nueva regla de limitar saldo a favor
 HU ORIGINAL — CITA TEXTUAL DEL DEF
 Fuente: Requisito funcional 25 – Nueva regla de limitar saldo a favor (Auditoría), págs. 67-68
 Como área de negocio,
 Quiero limitar los saldos a favor de cada una de las TDC para evitar un mal uso de las mismas,
 Para asegurar que se cumplan las reglas establecidas sin necesidad de procesos independientes por canal.</t>
  </si>
  <si>
    <t>Yo: Como usuario de caja o ventanilla
Quiero: validar el pago o depósito de una TDC contra el límite centralizado de saldo a favor antes de contabilizarlo
Para: impedir excedentes, mantener el acumulado mensual correcto y evitar pólizas parciales.</t>
  </si>
  <si>
    <t>• Consultar en Smart Vista el parámetro vigente antes de aplicar el pago.
 • Considerar la regla de forma acumulada para todos los canales, incluida ventanilla en efectivo y cargo a cuenta.
 • Rechazar la operación completa cuando el pago exceda el límite permitido; no generar póliza parcial.
 • Mostrar el mensaje homologado de restricción al usuario de caja.
 • Los abonos originados por aclaración bancaria conservan la decisión vigente de R4; su exclusión queda diferida a R4.5/R5.
 CITA TEXTUAL DEL DEF
 Fuente: Requisito funcional 25 – Nueva regla de limitar saldo a favor (Auditoría), págs. 67-68
 Entonces el sistema aplica el límite configurado en todos los canales automáticamente
 Y el sistema notifica que el parámetro ha sido actualizado con éxito
 Y el límite de saldo a favor se aplica en todos los canales existentes de forma consistente
 Escenario: Impedir Generación de Nuevo Saldo a Favor Si el Límite Es Alcanzado al Iniciar el Periodo
 Dado que al inicio del periodo mensual tengo un saldo a favor de $15,000.00 MXN
 Y el límite de saldo a favor es de $15,000.00 MXN
 Cuando intento realizar un pago o depósito
 Entonces el sistema rechazará la operación
 Y me informará que no se puede generar un saldo a favor adicional hasta el siguiente periodo
 En los diversos canales donde se acepte pagos de TDC Debe de existir la restricción</t>
  </si>
  <si>
    <t>CA01 - Pago permitido
Dado que el pago no rebasa el límite aplicable
Cuando el cajero confirma la transacción
Entonces SIWEB aplica el abono
CA02 - Límite excedido
Dado que el pago generaría un saldo a favor superior al permitido
Cuando el cajero intenta procesarlo
Entonces la operación se rechaza completamente y se muestra el mensaje homologado sin generar póliza parcial
CA03 - Abono bancario diferido
Dado que el movimiento corresponde a un abono por aclaración del banco
Cuando se evalúa la regla de saldo a favor
Entonces se aplica la decisión vigente de R4 y la exclusión solicitada se conserva como diferida a R4.5/R5</t>
  </si>
  <si>
    <t>• Cliente, cuenta y producto 4900 identificados.
• Parámetro de saldo a favor disponible en Smart Vista.
• Canal y origen de la transacción identificados.
• Comunicación SIWEB–Smart Vista disponible.</t>
  </si>
  <si>
    <t>• Regla y umbrales confirmados en S3.
• Mensaje de rechazo homologado definido.
• Tratamiento de abonos por aclaración registrado como conflicto/diferimiento.
• Integración de consulta al core identificada.</t>
  </si>
  <si>
    <t>• El pago permitido actualiza saldo y acumulado.
• El pago excedente se rechaza sin afectación parcial.
• El mensaje se presenta en caja.
• La evidencia de auditoría conserva canal, monto y causa de rechazo.</t>
  </si>
  <si>
    <t>Capacidad de canal derivada de la aplicación acumulada de RF-05. S3 menciona expresamente ventanilla en efectivo y cargo a cuenta. La exclusión de abonos por aclaración permanece diferida.</t>
  </si>
  <si>
    <t>18_Minuta_S3_SmartVista_Comisiones_Autorizador_SaldoFavor_2026-07-07.md
Alcance: Interseccion DEF-Inventario. Normativa: DEF PV 1006626 Mercado Abierto (R4 )(1).docx. Sesión/grabación: 18_Minuta_S3_SmartVista_Comisiones_Autorizador_SaldoFavor_2026-07-07.md. Validador(es): Diana Patricia Morales Ramírez; Eduardo Guzmán González; Gabriel Alejandro Maldonado Hernández; Oscar Melo Herrera; Luis Alberto Aguirre Juárez.. Funcionalidad/BB: SMARTVISTA/Req. Funcional 5 - Nueva regla de limitar saldo a favor (Auditoría)/Validación del límite de saldo a favor en transacciones de caja.</t>
  </si>
  <si>
    <t>Building Block o Funcionalidad impactada</t>
  </si>
  <si>
    <t>Fuente funcional original</t>
  </si>
  <si>
    <t xml:space="preserve">Estatus </t>
  </si>
  <si>
    <t>Actualizar la tasa ordinaria y el CAT en la oferta de producto</t>
  </si>
  <si>
    <t>Oferta de Producto</t>
  </si>
  <si>
    <t>Cambio de tasas y contrato en APOLO | CA1: Actualización de la Tasa de Interés en la Oferta</t>
  </si>
  <si>
    <t>Yo: Como usuario de negocio
Quiero: que la oferta muestre la tasa ordinaria vigente y el CAT correspondiente
Para: cumplir el marco normativo y transparentar las condiciones al prospecto</t>
  </si>
  <si>
    <t>• Mostrar tasa ordinaria 69.4% en oferta
• La tasa debe ser parametrizable
• El CAT debe reflejar proporcionalmente el cambio conforme a fórmula vigente(Se tiene en parámetro de BD, asociado al producto mostrado)
• Aplica cuando el solicitante está precalificado ( una vez concluido fase de paramétrico)</t>
  </si>
  <si>
    <t>CA01 - Visualización de tasa vigente
Dado que el solicitante fue precalificado exitosamente y se encuentra en Oferta de Producto
Cuando el sistema presenta la oferta de la tarjeta de crédito
Entonces se muestra la tasa ordinaria vigente de 69.4%
CA02 - Parametrización de tasa
Dado que negocio requiere modificar la tasa ordinaria sin desarrollo
Cuando se consulta la configuración de tasa aplicable
Entonces el sistema utiliza el valor parametrizado vigente
CA03 - Cálculo proporcional de CAT
Dado que la tasa ordinaria vigente fue aplicada a la oferta
Cuando el sistema calcula el CAT de la oferta
Entonces el CAT refleja proporcionalmente la tasa conforme a la fórmula vigente</t>
  </si>
  <si>
    <t>• Solicitante precalificado exitosamente ( una vez concluido fase de paramétrico)
• Oferta de Producto disponible dentro del flujo APOLO
• Fórmula CAT vigente definida por negocio/regulación
• Parámetro de tasa configurado</t>
  </si>
  <si>
    <t>• Alcance funcional delimitado
• Reglas de negocio identificadas
• Criterios verificables definidos
• Dependencias funcionales aclaradas cuando apliquen</t>
  </si>
  <si>
    <t>• La funcionalidad cumple el comportamiento descrito
• Los escenarios positivos y negativos generan el resultado esperado
• Las validaciones y mensajes aplican conforme a criterios
• El usuario puede continuar o detener el flujo según corresponda revisar temas de vigencias de solicitudes (puedes avanzar en proceso, vigencia 60 días para continuar)</t>
  </si>
  <si>
    <t>VoBo</t>
  </si>
  <si>
    <t>HDU-TDC-R4-02</t>
  </si>
  <si>
    <t>Mostrar el contrato legal vigente durante la formalización</t>
  </si>
  <si>
    <t>Integración de Expediente Digital</t>
  </si>
  <si>
    <t>Cambio de tasas y contrato en APOLO | CA2: Visualización del Contrato Legal Actualizado</t>
  </si>
  <si>
    <t>Yo: Como usuario de negocio
Quiero: que el prospecto consulte el contrato legal vigente en el flujo de firma
Para: asegurar consentimiento informado</t>
  </si>
  <si>
    <t>• Desplegar nuevo documento legal
• Eliminar referencias a R3 o releases previos
• Acceso desde enlace o visor de términos y condiciones
• Aplica en Formalización y Firma (contrato y carátula visualización de la tasa ordinaria vigente 69,4%)</t>
  </si>
  <si>
    <t>CA01 - Apertura de contrato vigente
Dado que el usuario se encuentra en Formalización y Firma
Cuando hace clic en vinculo contrato múltiple de crédito
Entonces el sistema despliega el documento legal vigente
CA02 - Exclusión de versiones anteriores
Dado que el contrato legal vigente está configurado
Cuando el usuario consulta el documento
Entonces el contenido no presenta referencias a R3 o versiones previas
CA03 - Consulta sin perder flujo
Dado que el usuario abre el visor de contrato
Cuando cierra o regresa desde el visor
Entonces el sistema conserva el avance del flujo de formalización
CA04 - Disponibilidad del documento
Dado que el usuario intenta consultar el contrato
Cuando el documento vigente está disponible
Entonces el sistema permite su lectura antes de continuar</t>
  </si>
  <si>
    <t>• Usuario ubicado en Formalización y Firma (solicitante se debe de encontrar funcionalidad de expediente digital)
• Documento legal R4 disponible(equipo de legal proporciona plantilla)
• Visor o enlace de contrato habilitado(solicitud servicios digitales visualizar contratos fase 2 n4 )</t>
  </si>
  <si>
    <t>• La funcionalidad cumple el comportamiento descrito
• Los escenarios positivos y negativos generan el resultado esperado
• Las validaciones y mensajes aplican conforme a criterios
• El usuario puede continuar o detener el flujo según corresponda</t>
  </si>
  <si>
    <t>MVP2 (Fuera de alcance)</t>
  </si>
  <si>
    <t>Enviar por correo el contrato vigente al finalizar la firma</t>
  </si>
  <si>
    <t>Bienvenida</t>
  </si>
  <si>
    <t>Cambio de tasas y contrato en APOLO | CA3: Entrega de Comprobante Contractual por Correo</t>
  </si>
  <si>
    <t>Yo: Como usuario de negocio
Quiero: que el titular reciba por correo el contrato utilizado durante el flujo
Para: entregar evidencia contractual y mantener trazabilidad del consentimiento</t>
  </si>
  <si>
    <t>• Evento de confirmación de cuenta dispara correo
• Adjuntar contrato en PDF
• El PDF debe contener la versión vigente usada durante APOLO
• Aplica con onboarding exitoso</t>
  </si>
  <si>
    <t>CA01 - Disparo de correo contractual
Dado que el usuario finalizó firma y onboarding exitosamente
Cuando se genera el evento de confirmación de cuenta
Entonces el sistema envía correo electrónico al titular con la documentacion ( (contrato múltiple de crédito para persona fisica(RECA asignado es: 1654-999-037863/09-01070-0526), tabla de comisiones, carátula y portada de tarjeta asi como contrato de servicios digitales y carátula de servicios digitales) (welcome Kit)
CA02 - Documentos PDF
Dado que se envía el correo contractual
Cuando el titular recibe la comunicación
Entonces el correo incluye el contrato en formato PDF(contrato múltiple de crédito para persona fisica(RECA asignado es: 1654-999-037863/09-01070-0526), tabla de comisiones, carátula y portada de tarjeta asi como contrato de servicios digitales y carátula de servicios digitales)
CA03 - No envío sin finalización
Dado que el proceso de firma u onboarding no concluyó exitosamente
Cuando se evalúa el envío contractual
Entonces el sistema no dispara el correo contractual de cierre</t>
  </si>
  <si>
    <t xml:space="preserve">• Firma completada
• Onboarding exitoso
• Correo del titular disponible
• Contrato vigente identificado
</t>
  </si>
  <si>
    <t>• La funcionalidad cumple el comportamiento descrito
• Los escenarios positivos y negativos generan el resultado esperado
• Las validaciones y mensajes aplican conforme a criterios
• El usuario puede continuar o detener el flujo según corresponda( confirmar una vez que se lanzo el evento de envio de correo electronico)</t>
  </si>
  <si>
    <t>Aplicar Coltrane en bloques iniciales y validación temprana</t>
  </si>
  <si>
    <t>Preparación / TyC / Validación de Teléfono / Validación del Cliente</t>
  </si>
  <si>
    <t>Cambio de marca Fase 2 | CA1: BB 1 a 4 deben cumplir estilos Coltrane acorde a Figma</t>
  </si>
  <si>
    <t>Yo: Como usuario de negocio
Quiero: que los bloques iniciales adopten componentes visuales Coltrane
Para: reducir fricción inicial y homologar experiencia BanCoppel</t>
  </si>
  <si>
    <t>• Aplicar tipografía, paleta, espaciados y componentes Coltrane
• Alinear con Figma Mobile y Desktop
• Impacta Preparación, TyC, Validación de Teléfono y Validación del Cliente
• No cambia reglas funcionales de fondo</t>
  </si>
  <si>
    <t>CA01 - Aplicación visual en Preparación
Dado que el prospecto accede al BB Preparación
Cuando se carga la pantalla correspondiente
Entonces los estilos cumplen el sistema Coltrane conforme a Figma
CA02 - Aplicación visual en Términos y Condiciones
Dado que el prospecto visualiza el BB de Términos y Condiciones
Cuando se muestran componentes de lectura o aceptación
Entonces tipografía, colores y espaciados corresponden al Figma anexo
CA03 - Aplicación visual en Validación de Teléfono
Dado que el prospecto captura o valida teléfono
Cuando se presenta el formulario de teléfono
Entonces los componentes visuales corresponden a Coltrane
CA04 - Aplicación visual en Validación del Cliente
Dado que el flujo muestra validación de cliente
Cuando el usuario interactúa con la pantalla
Entonces la experiencia visual se mantiene consistente con Coltrane</t>
  </si>
  <si>
    <t>• Figma Mobile y Desktop disponible
• BB iniciales existentes en flujo APOLO
• Alcance limitado a cambio visual/patrón de interacción(Consultar con equipo ejemplos de en figma correspondientes, fuentes) (Administracion de accesos a jira)</t>
  </si>
  <si>
    <t>Aplicar Coltrane en bloques de perfilamiento, riesgo y decisión</t>
  </si>
  <si>
    <t>Perfilamiento / Validación de Domicilio / KYC-PEP / PLD / Persona Vulnerable / Validación SIC / Paramétrico</t>
  </si>
  <si>
    <t>Cambio de marca Fase 2 | CA1: BB 5 a 11 deben cumplir estilos Coltrane acorde a Figma</t>
  </si>
  <si>
    <t>Yo: Como usuario de negocio
Quiero: que los bloques de perfilamiento y validación de riesgo usen Coltrane
Para: mantener consistencia visual en pasos críticos de decisión</t>
  </si>
  <si>
    <t>• Aplica a Perfilamiento
• Aplica a Validación de Domicilio
• Aplica a KYC/PEP, PLD, Persona Vulnerable, Validación SIC y Paramétrico
• Debe seguir Figma anexo</t>
  </si>
  <si>
    <t>CA01 - Aplicación en Perfilamiento
Dado que el usuario se encuentra en Perfilamiento
Cuando se cargan preguntas o formularios
Entonces los componentes visuales aplican Coltrane
CA02 - Aplicación en Domicilio
Dado que el usuario captura o valida domicilio
Cuando se muestra la pantalla correspondiente
Entonces la interfaz mantiene tipografía, paleta y espaciados definidos
CA03 - Aplicación en bloques de riesgo
Dado que el usuario transita por KYC/PEP, PLD o Persona Vulnerable
Cuando se muestran preguntas, radio buttons o listas
Entonces los componentes cumplen el patrón visual del Figma
CA04 - Aplicación en decisión crediticia
Dado que el usuario llega a Validación SIC o Paramétrico
Cuando se muestran formularios, cargas o respuestas
Entonces el look and feel permanece alineado a Coltrane</t>
  </si>
  <si>
    <t>• Figma anexo disponible
• Pantallas de los BB identificadas
• No se modifica lógica de validación ni decisión (Consultar con equipo ejemplos de en figma correspondientes fuentes)  (Administración de accesos a jira)</t>
  </si>
  <si>
    <t>Aplicar Coltrane en oferta, autenticación, expediente y cierre</t>
  </si>
  <si>
    <t>Oferta de Producto / Prueba de Vida / Solicitud de Servicios Digitales / Validación de Correo / Integración de Expediente Digital / Bienvenida</t>
  </si>
  <si>
    <t>Cambio de marca Fase 2 | CA1: BB 12 a 17 deben cumplir estilos Coltrane acorde a Figma</t>
  </si>
  <si>
    <t>Yo: Como usuario de negocio
Quiero: que los bloques finales del onboarding usen componentes visuales Coltrane
Para: cerrar el flujo con una experiencia homogénea y moderna</t>
  </si>
  <si>
    <t>• Aplica a Oferta de Producto
• Aplica a Prueba de Vida y Vídeo Selfie
• Aplica a Servicios Digitales y Validación de Correo
• Aplica a Expediente Digital y Bienvenida</t>
  </si>
  <si>
    <t>CA01 - Aplicación en Oferta de Producto
Dado que el prospecto visualiza la oferta
Cuando se muestran monto, condiciones o aceptación
Entonces la pantalla sigue los estilos Coltrane del Figma
CA02 - Aplicación en Prueba de Vida
Dado que el prospecto accede a prueba de vida o video selfie
Cuando se muestran instrucciones y controles
Entonces la interfaz cumple los componentes visuales definidos
CA03 - Aplicación en servicios digitales y correo
Dado que el usuario solicita servicios digitales o valida correo
Cuando interactúa con las pantallas del flujo
Entonces los patrones visuales se mantienen consistentes
CA04 - Aplicación en expediente y bienvenida
Dado que el proceso llega a integración de expediente o bienvenida
Cuando se muestran documentos, estado o cierre
Entonces las pantallas cumplen Coltrane en mobile y desktop</t>
  </si>
  <si>
    <t>• Figma anexo disponible
• Bloques finales vigentes en APOLO
• Cambio limitado a experiencia visual/patrones</t>
  </si>
  <si>
    <t>Capturar la declaración inicial de persona vulnerable</t>
  </si>
  <si>
    <t>Persona Vulnerable</t>
  </si>
  <si>
    <t>Incluir Persona Vulnerable | CA1: Visualización y Respuesta Inicial TERMINAR BB PLD Y ESTAR EN BB PERSONA VULNERABLE</t>
  </si>
  <si>
    <t>Yo: Como usuario de negocio
Quiero: que el prospecto declare si pertenece a un grupo prioritario
Para: fortalecer inclusión financiera sin interrumpir el flujo (Cliente valido 60 años) (DONDE SE VA A guardar en informix o yuga)( si se debe guardar)</t>
  </si>
  <si>
    <t>• Construir BB Persona Vulnerable
• Pregunta obligatoria: ¿Formas parte de algún grupo prioritario?
• Opciones Sí, No, Prefiero no contestar
• Enlace visible ¿Para qué usamos esta información?</t>
  </si>
  <si>
    <t>CA01 - Carga de pregunta obligatoria
Dado que el prospecto llega al BB Persona Vulnerable
Cuando se muestra la pantalla principal
Entonces el sistema presenta la pregunta obligatoria indicada
CA02 - Opciones de respuesta
Dado que la pantalla de Persona Vulnerable está visible
Cuando el prospecto revisa las alternativas
Entonces se muestran Sí, No y Prefiero no contestar como radio buttons
CA03 - Respuesta obligatoria
Dado que el prospecto intenta continuar sin elegir una opción
Cuando presiona Continuar
Entonces el sistema impide avanzar hasta seleccionar una respuesta
CA04 - Despliegue condicional
Dado que el prospecto selecciona Sí en la pregunta inicial
Cuando el sistema actualiza la pantalla
Entonces se muestra el listado de selección múltiple
CA05 - Selección múltiple
Dado que el listado se encuentra visible
Cuando el prospecto marca una o varias opciones
Entonces el sistema permite mantener múltiples selecciones
CA06 - Persistencia y avance
Dado que el prospecto seleccionó las opciones aplicables
Cuando presiona Continuar
Entonces el sistema guarda la información asociada al perfil y continúa el flujo almacenando información en informix/yuga)
CA07 - Apertura de popup
Dado que el enlace ¿Para qué usamos esta información? está visible
Cuando el prospecto hace clic en el enlace
Entonces el sistema abre un popup con el texto informativo correspondiente
CA08 - Cierre sin pérdida de progreso
Dado que el popup informativo está abierto
Cuando el usuario selecciona cerrar
Entonces el sistema regresa a la pantalla sin borrar la respuesta capturada
CA09 - Continuidad con respuesta no afirmativa
Dado que el prospecto selecciona No o Prefiero no contestar
Cuando presiona Continuar
Entonces el sistema persiste la respuesta y continúa el flujo sin desplegar listado adicional</t>
  </si>
  <si>
    <t>• Prospecto dentro del flujo APOLO
• BB Persona Vulnerable habilitado
• Opciones de respuesta definidas
• Respuesta inicial Sí capturada
• Listado de opciones aprobado
• Base de datos disponible para persistencia</t>
  </si>
  <si>
    <t>Desplegar y guardar opciones de grupo prioritario cuando el prospecto responde Sí</t>
  </si>
  <si>
    <t>Incluir Persona Vulnerable | CA2: Lógica de Despliegue y Campo Condicional</t>
  </si>
  <si>
    <t>Yo: Como usuario de negocio
Quiero: que el prospecto seleccione uno o varios grupos prioritarios cuando aplique
Para: registrar información sensible de forma controlada y continuar la solicitud</t>
  </si>
  <si>
    <t>• Despliegue dinámico solo con respuesta Sí
• Selección múltiple de opciones
• Opciones: discapacidad, comunidad indígena/etnia/pueblo, adulto mayor
• Persistir respuesta en base de datos asociada al perfil</t>
  </si>
  <si>
    <t>CA01 - Despliegue condicional
Dado que el prospecto selecciona Sí en la pregunta inicial
Cuando el sistema actualiza la pantalla
Entonces se muestra el listado de selección múltiple
CA02 - No despliegue con otras respuestas
Dado que el prospecto selecciona No o Prefiero no contestar
Cuando el sistema evalúa la respuesta
Entonces no se muestra el listado de selección múltiple
CA03 - Selección múltiple
Dado que el listado se encuentra visible
Cuando el prospecto marca una o varias opciones
Entonces el sistema permite mantener múltiples selecciones
CA04 - Persistencia y avance
Dado que el prospecto seleccionó las opciones aplicables
Cuando presiona Continuar
Entonces el sistema guarda la información asociada al perfil y continúa el flujo</t>
  </si>
  <si>
    <t>• Respuesta inicial Sí capturada
• Listado de opciones aprobado
• Base de datos disponible para persistencia</t>
  </si>
  <si>
    <t>HDU-TDC-R4-09</t>
  </si>
  <si>
    <t>Mostrar información legal de persona vulnerable y medir eventos del bloque</t>
  </si>
  <si>
    <t>Medición digital / Persona Vulnerable</t>
  </si>
  <si>
    <t>Incluir Persona Vulnerable | CA3 Popup informativo y CA4 Medición digital</t>
  </si>
  <si>
    <t>Yo: Como usuario de negocio
Quiero: que el usuario consulte el uso de la información y que el BB genere medición digital
Para: dar claridad al prospecto y habilitar trazabilidad de interacción</t>
  </si>
  <si>
    <t>• Enlace abre popup informativo
• Popup tiene opción de cierre
• No se pierde progreso al cerrar
• Medición aplica a radio buttons, enlaces y carga de pantalla según archivo anexo</t>
  </si>
  <si>
    <t>CA01 - Apertura de popup
Dado que el enlace ¿Para qué usamos esta información? está visible
Cuando el prospecto hace clic en el enlace
Entonces el sistema abre un popup con el texto informativo correspondiente
CA02 - Cierre sin pérdida de progreso
Dado que el popup informativo está abierto
Cuando el usuario selecciona cerrar
Entonces el sistema regresa a la pantalla sin borrar la respuesta capturada
CA03 - Medición de carga e interacción
Dado que el BB Persona Vulnerable se carga o recibe interacción
Cuando se generan eventos sobre radio buttons, enlaces o pantalla
Entonces la medición se dispara conforme al archivo anexo
CA04 - Dependencia de medición
Dado que el archivo de medición no está disponible o no define el evento
Cuando se requiere configurar el evento específico
Entonces la HDU mantiene el evento como información insuficiente hasta validar el anexo</t>
  </si>
  <si>
    <t>• Texto informativo aprobado
• Archivo de medición disponible
• Pantalla Persona Vulnerable habilitada</t>
  </si>
  <si>
    <t>Taggeo por Modyo</t>
  </si>
  <si>
    <t>Actualizar imagen de tarjeta y textos legales en pantallas clave</t>
  </si>
  <si>
    <t>Preparación/ Oferta de Producto / Bienvenida</t>
  </si>
  <si>
    <t>Atender observaciones de legal y modificar guardado de referencia | CA1 y CA2</t>
  </si>
  <si>
    <t>Yo: Como usuario de negocio
Quiero: que las pantallas usen la imagen y textos legales correctos
Para: cumplir observaciones legales y evitar mensajes incorrectos al prospecto</t>
  </si>
  <si>
    <t>• Reemplazar imagen de débito por tarjeta de crédito BanCoppel
• Aplica en Inicio, Oferta y Bienvenida
• Eliminar guión de pre-aprobada para preaprobada
• Incluir BanCoppel en leyenda de aceptación</t>
  </si>
  <si>
    <t>CA01 - Imagen correcta en Inicio
Dado que el usuario accede a Inicio
Cuando se carga la pantalla
Entonces se muestra la imagen de tarjeta de crédito BanCoppel conforme a Figma
CA02 - Imagen correcta en Oferta y Bienvenida
Dado que el usuario visualiza Oferta de Producto o Bienvenida
Cuando se muestran elementos de tarjeta
Entonces la imagen corresponde a tarjeta de crédito y no de débito
CA03 - Texto preaprobada
Dado que la pantalla de Oferta de Producto presenta la leyenda correspondiente
Cuando se renderiza la palabra preaprobada
Entonces la palabra se muestra sin guion
CA04 - Denominación Tarjeta de crédito BanCoppel
Dado que el usuario visualiza la leyenda de aceptación de oferta
Cuando el sistema muestra el texto legal
Entonces la denominación BanCoppel se incluye en la leyenda (definicion por ux)</t>
  </si>
  <si>
    <t>• Figma anexo disponible
• Pantallas Inicio, Oferta y Bienvenida identificadas
• Textos legales aprobados</t>
  </si>
  <si>
    <t>HDU-TDC-R4-11</t>
  </si>
  <si>
    <t>Reordenar documentos en Integración de Expediente conforme a observaciones legales</t>
  </si>
  <si>
    <t>Atender observaciones de legal y modificar guardado de referencia | CA3</t>
  </si>
  <si>
    <t>Yo: Como usuario de negocio
Quiero: que los documentos se presenten en el orden solicitado por legal
Para: mantener cumplimiento normativo en la integración de expediente</t>
  </si>
  <si>
    <t>• Contrato múltiple debe presentarse en primer lugar
• Portada de tarjeta de crédito debe presentarse en tercer lugar
• Omitir CA3 si SMART-3150 se hace en paralelo o mismo plan
• Aplica a pantalla de Integración de Expediente</t>
  </si>
  <si>
    <r>
      <rPr>
        <sz val="11"/>
        <color rgb="FFFF0000"/>
        <rFont val="Carlito"/>
      </rPr>
      <t xml:space="preserve">CA01 - Orden de contrato múltiple
Dado que el usuario llega a Integración de Expediente
Cuando se muestra la lista de documentos
Entonces Contrato múltiple para apertura de créditos aparece en primer lugar
CA02 - Orden de portada
Dado que la lista de documentos se presenta al usuario
Cuando se identifica la portada de tarjeta de crédito
Entonces la portada aparece en tercer lugar
CA03 - Condición de omisión
Dado que SMART-3150 se atiende en paralelo o en el mismo plan
Cuando se evalúa el alcance de esta HDU
Entonces el reordenamiento de CA3 se omite para evitar duplicidad </t>
    </r>
    <r>
      <rPr>
        <b/>
        <sz val="11"/>
        <color rgb="FFFF0000"/>
        <rFont val="Carlito"/>
      </rPr>
      <t xml:space="preserve">(Se necesita mas contexto sobre que es SMART-3150, cual es su funcion y que afcectaciones tiene?)
</t>
    </r>
    <r>
      <rPr>
        <sz val="11"/>
        <color rgb="FFFF0000"/>
        <rFont val="Carlito"/>
      </rPr>
      <t xml:space="preserve">
CA04 - Sin alteración de documentos no impactados
Dado que el orden solicitado se aplica
Cuando existen otros documentos del expediente
Entonces el sistema conserva los documentos no mencionados conforme al flujo definido</t>
    </r>
  </si>
  <si>
    <t>• Pantalla de expediente vigente
• Regla de omisión de SMART-3150 aclarada(Se necesita mas contexto)
• Lista documental disponible</t>
  </si>
  <si>
    <t>Desestimada</t>
  </si>
  <si>
    <t>Se desestima ya que los criterios de de aceptación de esta HDU se incluyeron en la HDU-TDC-R4-17</t>
  </si>
  <si>
    <t>HDU-TDC-R4-12</t>
  </si>
  <si>
    <t>Guardar la referencia capturada sin convertirla en cliente prospecto</t>
  </si>
  <si>
    <t>Integración de Expediente Digital/ corresponde Paramétrico en la pantalla de agregar referencia</t>
  </si>
  <si>
    <t>Atender observaciones de legal y modificar guardado de referencia | CA4</t>
  </si>
  <si>
    <t>Yo: Como usuario de negocio
Quiero: que la referencia se almacene únicamente como referencia
Para: evitar generación incorrecta de prospectos y riesgos regulatorios</t>
  </si>
  <si>
    <t>• La referencia capturada debe guardarse solo como referencia
• No debe generarse como cliente prospecto
• Aplica al flujo donde se captura referencia
• Debe evitar duplicidad de datos de cliente</t>
  </si>
  <si>
    <r>
      <rPr>
        <sz val="11"/>
        <color theme="1"/>
        <rFont val="Carlito"/>
      </rPr>
      <t xml:space="preserve">CA01 - Guardado como referencia
Dado que el usuario captura datos de referencia
Cuando presiona Continuar o guarda la información
Entonces el sistema almacena el registro con rol de referencia
CA02 - No creación de prospecto
Dado que la referencia fue capturada correctamente
Cuando el sistema procesa el guardado
Entonces no se crea ni actualiza un cliente prospecto con esos datos
</t>
    </r>
    <r>
      <rPr>
        <sz val="11"/>
        <color theme="1"/>
        <rFont val="Carlito"/>
      </rPr>
      <t>CA03 - Trazabilidad de rol
Dado que se consulta la información almacenada
Cuando el registro corresponde a la referencia capturada
Entonces el rol funcional del registro se mantiene como referencia</t>
    </r>
    <r>
      <rPr>
        <sz val="11"/>
        <color theme="1"/>
        <rFont val="Carlito"/>
      </rPr>
      <t xml:space="preserve">
CA04 - Continuidad del flujo
Dado que el guardado de referencia concluye sin error
Cuando el sistema confirma el guardado
Entonces el prospecto puede continuar al siguiente paso</t>
    </r>
  </si>
  <si>
    <r>
      <rPr>
        <sz val="11"/>
        <color theme="1"/>
        <rFont val="Carlito"/>
      </rPr>
      <t>• Formulario de referencia disponible
• Modelo de datos diferencia prospecto vs referencia</t>
    </r>
    <r>
      <rPr>
        <b/>
        <sz val="11"/>
        <color theme="1"/>
        <rFont val="Carlito"/>
      </rPr>
      <t>(como se realiza esta diferenciación)</t>
    </r>
    <r>
      <rPr>
        <sz val="11"/>
        <color theme="1"/>
        <rFont val="Carlito"/>
      </rPr>
      <t xml:space="preserve">
• Regla legal de guardado confirmada</t>
    </r>
    <r>
      <rPr>
        <b/>
        <sz val="11"/>
        <color theme="1"/>
        <rFont val="Carlito"/>
      </rPr>
      <t>(mas contexto)</t>
    </r>
  </si>
  <si>
    <r>
      <rPr>
        <sz val="11"/>
        <color theme="1"/>
        <rFont val="Carlito"/>
      </rPr>
      <t>Validar al solicitante contra listas negras en Perfilamiento/</t>
    </r>
    <r>
      <rPr>
        <b/>
        <sz val="11"/>
        <color theme="1"/>
        <rFont val="Carlito"/>
      </rPr>
      <t xml:space="preserve"> listas negras de PLD</t>
    </r>
  </si>
  <si>
    <r>
      <rPr>
        <sz val="11"/>
        <color theme="1"/>
        <rFont val="Carlito"/>
      </rPr>
      <t>Perfilamiento</t>
    </r>
    <r>
      <rPr>
        <b/>
        <sz val="11"/>
        <color theme="1"/>
        <rFont val="Carlito"/>
      </rPr>
      <t xml:space="preserve"> LISTAS NEGRAS PLD</t>
    </r>
    <r>
      <rPr>
        <sz val="11"/>
        <color theme="1"/>
        <rFont val="Carlito"/>
      </rPr>
      <t xml:space="preserve"> / Name Matching</t>
    </r>
  </si>
  <si>
    <r>
      <rPr>
        <sz val="11"/>
        <color theme="1"/>
        <rFont val="Carlito"/>
      </rPr>
      <t>Implementar nuevo servicio</t>
    </r>
    <r>
      <rPr>
        <b/>
        <sz val="11"/>
        <color theme="1"/>
        <rFont val="Carlito"/>
      </rPr>
      <t xml:space="preserve"> (Existente) </t>
    </r>
    <r>
      <rPr>
        <sz val="11"/>
        <color theme="1"/>
        <rFont val="Carlito"/>
      </rPr>
      <t>de búsqueda de listas negras | CA1 Solicitante o prospecto</t>
    </r>
  </si>
  <si>
    <t>Yo: Como usuario de negocio
Quiero: que el solicitante sea validado contra listas negras en Perfilamiento
Para: mitigar riesgos PLD y aplicar rechazo automático cuando corresponda</t>
  </si>
  <si>
    <t>• Consultar solicitante/prospecto en listas negras o bloqueantes
• HIT genera KO y TYP actual
• Estatus Rechazo Listas Negras
• Clave RLN, Causa 66, SE:U
• NO HIT continúa flujo  (tiempo despues de rechazo para volver a validar) Consulta Name matching, Consulta de respaldo a informix (considerar tiempo de respues de 20 segundos)</t>
  </si>
  <si>
    <t>CA01 - Consulta de solicitante
Dado que el usuario llega a Perfilamiento/PLD con datos del solicitante disponibles
Cuando el sistema ejecuta validación Name Matching (listas negras) si dicha consulta no resolviera se debe consultar a informix (100%)
Entonces se consulta al solicitante contra listas negras o bloqueantes
CA02 - Resultado HIT
Dado que la consulta devuelve coincidencia bloqueante
Cuando el sistema procesa el resultado
Entonces se genera KO y se muestra TYP (Debera mostrar mensaje: Gracias por tu interés. Por ahora no es posible avanzar con tu solicitud)
CA03 - Resultado NO HIT
Dado que la consulta no devuelve coincidencia bloqueante
Cuando el sistema procesa la respuesta
Entonces el flujo continúa al siguiente paso
CA04 - Trazabilidad de rechazo
Dado que se genera un KO por listas negras
Cuando se registra el resultado funcional
Entonces el rechazo queda asociado al solicitante/prospecto evaluado (Valores deberan guardarse en bitacora Clave RLN, Causa 66, SE:U)</t>
  </si>
  <si>
    <t>• Datos del solicitante disponibles
• Servicio Name Matching disponible
• Reglas de KO actuales vigentes</t>
  </si>
  <si>
    <t>Validar al familiar con cargo público contra listas negras</t>
  </si>
  <si>
    <t>KYC / PEP / Name Matching</t>
  </si>
  <si>
    <r>
      <rPr>
        <sz val="11"/>
        <color rgb="FF000000"/>
        <rFont val="Carlito"/>
      </rPr>
      <t>Implementar nuevo servicio de búsqueda de listas negras</t>
    </r>
    <r>
      <rPr>
        <b/>
        <sz val="11"/>
        <color rgb="FF000000"/>
        <rFont val="Carlito"/>
      </rPr>
      <t>(existente)</t>
    </r>
    <r>
      <rPr>
        <sz val="11"/>
        <color rgb="FF000000"/>
        <rFont val="Carlito"/>
      </rPr>
      <t xml:space="preserve"> | CA2 Familiar con cargo público</t>
    </r>
  </si>
  <si>
    <t>Yo: Como usuario de negocio
Quiero: que el familiar con cargo público sea validado contra listas negras
Para: controlar riesgos asociados a personas políticamente expuestas</t>
  </si>
  <si>
    <t>• Consulta en BB PEP(KYC)
• Aplica a familiar con cargo público
• HIT genera KO con clave LNE (lista negra expuesta)
• Clave LNE, causa 117 y SE:P
• NO HIT continúa flujo</t>
  </si>
  <si>
    <t>CA01 - Consulta del familiar PEP
Dado que el prospecto declara familiar con cargo público
Cuando el flujo llega al BB PEP(KYC) y validación Name Matching (listas negras) si dicha consulta no resolviera se debe consultar a informix (100%)
Entonces el sistema consulta al familiar en listas negras o bloqueantes
CA02 - HIT familiar PEP
Dado que Name Matching identifica coincidencia bloqueante
Cuando el sistema evalúa el resultado
Entonces se genera KO y TYP con estatus Rechazo Listas Negras Persona Políticamente Expuesta(Debera mostrar mensaje: Gracias por tu interés. Por ahora no es posible avanzar con tu solicitud)
CA03 - NO HIT familiar PEP
Dado que la validación no encuentra coincidencia
Cuando el sistema recibe la respuesta
Entonces el flujo continúa al siguiente paso
CA04 - Trazabilidad de rechazo
Dado que se genera un KO por listas negras del familiar
Cuando se obtiene el resultado
Entonces el sistema conserva trazabilidad funcional del resultado evaluado (Valores deberan guardar en bitacora Clave LNE, Causa 117 y SE:P)</t>
  </si>
  <si>
    <t>• Datos del familiar con cargo público capturados
• BB PEP(KYC) habilitado
• Servicio Name Matching disponible</t>
  </si>
  <si>
    <t>HDU-TDC-R4-15</t>
  </si>
  <si>
    <r>
      <rPr>
        <sz val="11"/>
        <color rgb="FFFF0000"/>
        <rFont val="Carlito"/>
      </rPr>
      <t xml:space="preserve">Validar al proveedor de recursos contra listas negras en PLD </t>
    </r>
    <r>
      <rPr>
        <b/>
        <sz val="11"/>
        <color rgb="FFFF0000"/>
        <rFont val="Carlito"/>
      </rPr>
      <t>(validar dependencia de SMART-3151)</t>
    </r>
  </si>
  <si>
    <t>PLD / Name Matching</t>
  </si>
  <si>
    <r>
      <rPr>
        <sz val="11"/>
        <color rgb="FFFF0000"/>
        <rFont val="Carlito"/>
      </rPr>
      <t>Implementar nuevo servicio</t>
    </r>
    <r>
      <rPr>
        <b/>
        <sz val="11"/>
        <color rgb="FFFF0000"/>
        <rFont val="Carlito"/>
      </rPr>
      <t>(existente/ aplica o no )</t>
    </r>
    <r>
      <rPr>
        <sz val="11"/>
        <color rgb="FFFF0000"/>
        <rFont val="Carlito"/>
      </rPr>
      <t>de búsqueda de listas negras | CA3 Proveedor de recursos</t>
    </r>
  </si>
  <si>
    <t>Yo: Como usuario de negocio
Quiero: que el proveedor de recursos sea validado contra listas negras
Para: mitigar riesgos PLD antes de continuar la solicitud</t>
  </si>
  <si>
    <r>
      <rPr>
        <sz val="11"/>
        <color rgb="FFFF0000"/>
        <rFont val="Carlito"/>
      </rPr>
      <t>• Consulta del proveedor de recursos en BB PLD
• HIT genera KO con clave LNP
• Causa 118 y SE:P
• NO HIT continúa flujo
• Omitir si SMART-3151</t>
    </r>
    <r>
      <rPr>
        <b/>
        <sz val="11"/>
        <color rgb="FFFF0000"/>
        <rFont val="Carlito"/>
      </rPr>
      <t xml:space="preserve"> se atiende en paralelo o mismo plan</t>
    </r>
  </si>
  <si>
    <t>CA01 - Consulta de proveedor
Dado que el flujo requiere datos de proveedor de recursos
Cuando el usuario se encuentra en BB PLD
Entonces el sistema consulta al proveedor en listas negras o bloqueantes
CA02 - HIT proveedor
Dado que la consulta devuelve coincidencia bloqueante
Cuando el sistema procesa el resultado
Entonces se genera KO y TYP con estatus Listas Negras Proveedor de recursos, clave LNP, causa 118 y SE:P(Debera mostrar mensaje: Gracias por tu interés. Por ahora no es posible avanzar con tu solicitud)(Contexto sobre causa 118 y SE:P)
CA03 - NO HIT proveedor
Dado que no existe coincidencia bloqueante
Cuando el sistema recibe la respuesta
Entonces el flujo continúa al siguiente BB
CA04 - Condición de omisión
Dado que SMART-3151 se atiende en paralelo o mismo plan
Cuando se valida el alcance de implementación
Entonces este criterio se omite para evitar duplicidad funcional</t>
  </si>
  <si>
    <t>• Datos de proveedor disponibles
• BB PLD habilitado
• Regla de omisión con SMART-3151 aclarada</t>
  </si>
  <si>
    <t>Se desestima ya que al realizarse la HDU-TDC-R4-21, está HDU ya no aplica</t>
  </si>
  <si>
    <t>Validar la referencia contra listas negras en Paramétrico</t>
  </si>
  <si>
    <t>PLD / PEP/ Name Matching/parametrico</t>
  </si>
  <si>
    <r>
      <rPr>
        <sz val="11"/>
        <color theme="1"/>
        <rFont val="Carlito"/>
      </rPr>
      <t xml:space="preserve">Implementar nuevo servicio </t>
    </r>
    <r>
      <rPr>
        <b/>
        <sz val="11"/>
        <color theme="1"/>
        <rFont val="Carlito"/>
      </rPr>
      <t xml:space="preserve">(existente) </t>
    </r>
    <r>
      <rPr>
        <sz val="11"/>
        <color theme="1"/>
        <rFont val="Carlito"/>
      </rPr>
      <t>de búsqueda de listas negras | CA4 Referencia</t>
    </r>
  </si>
  <si>
    <t>Yo: Como usuario de negocio
Quiero: que la referencia sea validada contra listas negras
Para: reducir riesgo PLD asociado a referencias del prospecto</t>
  </si>
  <si>
    <t>• Consulta de referencia en BB Paramétrico
• HIT genera KO y TYP actual
• Estatus Listas Negras Referencia
• Clave LNR, Causa 119 y SE:P
• NO HIT continúa flujo</t>
  </si>
  <si>
    <t>CA01 - Consulta de referencia
Dado que el flujo llega al BB Paramétrico con referencia disponible
Cuando el sistema ejecuta Name Matching (listas negras) si dicha consulta no resolviera se debe consultar a informix (100%)
Entonces la referencia se consulta contra listas negras o bloqueantes
CA02 - HIT referencia
Dado que la consulta identifica coincidencia bloqueante
Cuando el sistema procesa el resultado
Entonces se genera KO (Debera mostrar mensaje: Gracias por tu interés. Por ahora no es posible avanzar con tu solicitud)
CA03 - NO HIT referencia
Dado que la consulta no identifica coincidencia bloqueante
Cuando el sistema evalúa la respuesta
Entonces el flujo continúa de manera natural
CA04 - Trazabilidad de rechazo
Dado que se genera un KO por listas negras de referencia
Cuando el sistema almacena o mantiene trazabilidad
Entonces el resultado queda asociado a la referencia evaluada (Valores deberan guardar en bitacoraClave LNE, Causa 119 y SE:P)</t>
  </si>
  <si>
    <t>• Referencia capturada
• BB Paramétrico habilitado
• Servicio Name Matching disponible</t>
  </si>
  <si>
    <t>Presentar la pantalla de términos con Contrato Múltiple y Servicios Digitales</t>
  </si>
  <si>
    <t>Integración Expediente digital</t>
  </si>
  <si>
    <t>Incluir carátula en contrato de servicios digitales | CA1 y CA2</t>
  </si>
  <si>
    <t>Yo: Como usuario de negocio
Quiero: que el prospecto visualice los documentos requeridos antes de firmar
Para: obtener consentimiento informado y cumplir requerimientos legales</t>
  </si>
  <si>
    <t>• Pantalla indica leer y firmar términos y condiciones
• Campo Contrato Múltiple de Crédito incluye documentos asociados
• Campo Servicios Digitales incluye contrato y carátula
• Mostrar mensaje de envío a correo del prospecto</t>
  </si>
  <si>
    <t>CA01 - Pantalla de lectura y firma
Dado que el prospecto llega a la etapa previa a firma
Cuando el sistema carga la pantalla de términos
Entonces se indica que debe leer y firmar los términos y condiciones de su oferta
CA02 - Campo Contrato Múltiple
Dado que la pantalla de términos está visible
Cuando se muestran los documentos de crédito
Entonces se incluye Contrato Múltiple de Crédito con contrato múltiple de crédito para persona fisica(RECA asignado es: 1654-999-037863/09-01070-0526), tabla de comisiones, carátula y portada de tarjeta
CA03 - Campo Servicios Digitales
Dado que la pantalla de términos está visible
Cuando se muestran documentos de servicios digitales
Entonces se incluye contrato de servicios digitales y carátula de servicios digitales
CA04 - Mostrar correo electronico
Dado que prospecto se encuentra en pantalla de integracion de expediente digital
Cuando se muestra dato en pantalla
Entonces se mostrara corereo electronico del prospecto capturado previamente sin opción a modificación
CA05 - Mensaje de envío a correo
Dado que el correo del prospecto está disponible
Cuando se muestra la pantalla de términos
Entonces se presenta el mensaje de envío de documentación al correo del prospecto
CA06 - Resguardo documental
Dado que el prospecto se encuenra en pantalla de expediente digital
Cuando se realiza la firma del expediente
Entonces se debe guardar (contrato múltiple de crédito para persona fisica(RECA asignado es: 1654-999-037863/09-01070-0526), tabla de comisiones, carátula y portada de tarjeta asi como contrato de servicios digitales y carátula de servicios digitales) en Onbase</t>
  </si>
  <si>
    <t>• Correo del prospecto disponible
• Documentos legales definidos
• Pantalla de formalización habilitada</t>
  </si>
  <si>
    <t>Permitir lectura de documentos y avance a firma electrónica</t>
  </si>
  <si>
    <t>Incluir carátula en contrato de servicios digitales | CA3, CA4 y CA5</t>
  </si>
  <si>
    <t>Yo: Como usuario de negocio
Quiero: que el prospecto lea los documentos sin datos personalizados antes de firmar
Para: garantizar lectura previa y avanzar correctamente a firma electrónica</t>
  </si>
  <si>
    <t>• Botón Leer Documentos muestra contratos (ya que son hipervinculos)
• Debe visualizarse contrato de Servicios Digitales con carátula ( se debe considera nueva version cataratula)
• Documentos de lectura sin datos del cliente, crédito o producto
• Botón Siguiente habilitado al completar lectura</t>
  </si>
  <si>
    <t>CA01 - Apertura de documentos
Dado que el cliente se encuentra en pantalla de servicios digitales
Cuando el prospecto selecciona los vinculos (contrato múltiple de crédito o contrato de servicios digitales)
Entonces el sistema muestra los contratos correspondientes al vinculo seleccionado para lectura detallada
CA02 - Documentos sin datos personalizados
Dado que los documentos se presentan en modo lectura previa
Cuando el prospecto revisa el contenido
Entonces no se muestran datos del cliente, crédito o producto
CA03 - Visualización de carátula de servicios digitales
Dado que el contrato de Servicios Digitales se muestra al prospecto
Cuando se despliega su contenido
Entonces también se visualiza la carátula de servicios digitales</t>
  </si>
  <si>
    <t>• Documentos disponibles para lectura
• Regla de no personalización definida
• Flujo de firma electrónica habilitado</t>
  </si>
  <si>
    <t>Mostrar información de activación de servicios digitales mediante popup</t>
  </si>
  <si>
    <t>Incluir carátula en contrato de servicios digitales | CA6</t>
  </si>
  <si>
    <t>Yo: Como usuario de negocio
Quiero: que el prospecto consulte cómo activar los servicios digitales
Para: resolver dudas de activación sin abandonar el flujo</t>
  </si>
  <si>
    <t>• Link ¿Cómo puedo activar los servicios digitales?
• Al hacer clic se muestra popup
• Contenido aprobado por Marketing, UX y Negocio
• El usuario debe poder volver al flujo</t>
  </si>
  <si>
    <t>CA01 - Visualización del link
Dado que el prospecto se encuentra en la pantalla de integración de expediente digital dentro de la apliicación en versión mobile
Cuando la pantalla carga correctamente
Entonces se muestra el link informativo de activación
CA02 - Mostrar informacion de activación de servicios degitales version Desktop
Dado que el prospecto se encuentra en la pantalla de integración de expediente digital dentro de la apliicación en versión desktop
Cuando la pantalla carga correctamente
Entonces se muestra Información en lado derecho de la pantalla
CA03 - Apertura de popup
Dado que el prospecto hace clic en el link
Cuando el sistema procesa la interacción
Entonces se abre popup con el contenido aprobado
CA04 - Cierre del popup
Dado que el popup de activación está abierto
Cuando el prospecto cierra la ventana
Entonces el sistema vuelve a la pantalla previa sin pérdida de avance
CA05 - Contenido pendiente
Dado que el contenido aprobado no está disponible
Cuando se requiere validar el popup
Entonces la información se marca como insuficiente hasta contar con aprobación</t>
  </si>
  <si>
    <t>• Contenido aprobado por Marketing/UX/Negocio( validardependencia de HDU de cambio de marca fase 2 )
• Pantalla de servicios digitales habilitada
• Popup definido</t>
  </si>
  <si>
    <t>Integrar firma, alta de crédito, expediente digital y marcaje de visualización</t>
  </si>
  <si>
    <t>Integración Expediente Digital</t>
  </si>
  <si>
    <t>Incluir carátula en contrato de servicios digitales | CA7 y CA8</t>
  </si>
  <si>
    <t>Yo: Como usuario de negocio
Quiero: que la firma exitosa active alta del crédito y consolide expediente
Para: asegurar almacenamiento definitivo y trazabilidad documental</t>
  </si>
  <si>
    <t>• Firma exitosa activa alta de crédito
• Asignación de producto en SmartVista
• Datos del crédito se anexan al expediente digital
• Expediente se almacena en OnBase
• Generar marcaje de cada documento visualizado en back</t>
  </si>
  <si>
    <t>CA01 - Alta posterior a firma
Dado que prospecto firma exitosamente
Cuando el sistema confirma la firma
Entonces se activa automáticamente el alta del crédito y la asignación del producto en SmartVista
CA02 - Mapeo de número de crédito
Dado que se realiza el alta de crédito en SMARTVISTA
Cuando se realice la generación de la documentacion contractual
Entonces el numero de crédito obtenido (18 digitos) debera aparecer en el documento portada
CA03 - Almacenamiento en OnBase
Dado que el expediente digital se encuentra completo
Cuando el sistema realiza almacenamiento definitivo
Entonces los documentos, firma, numero de crédito (18 digitos) y datos quedan almacenados en OnBase
CA04 - Marcaje de visualización
Dado que el prospecto visualiza la documentación
Cuando se muestren en la pantalla de integración de expediente digital
Entonces se genera registra el time stamp en tabla autorizaciones dentro de Onbase</t>
  </si>
  <si>
    <t>• Firma electrónica completada
• Integración con SmartVista y OnBase disponible
• Documentos visualizados identificables</t>
  </si>
  <si>
    <t>Aplicar KO automático cuando el prospecto usará dinero de otra persona</t>
  </si>
  <si>
    <t>PLD</t>
  </si>
  <si>
    <t>Rechazo proveedor de recursos | CA1</t>
  </si>
  <si>
    <t>Yo: Como usuario de negocio
Quiero: que el flujo rechace automáticamente al seleccionar proveedor de recursos externo
Para: agilizar la canalización asistida a sucursal</t>
  </si>
  <si>
    <t>• Pregunta: ¿Pagarás tu tarjeta de crédito con tu dinero?
• Usaré mi dinero continúa a Validación SIC
• Usaré dinero de otra persona genera KO
• Guardar KO en Yugabyte
• Mostrar TYP con mensaje y botón de sucursales</t>
  </si>
  <si>
    <t>CA01 - Continuidad con dinero propio
Dado que el prospecto responde Usaré mi dinero
Cuando presiona Continuar
Entonces el sistema continúa su flujo sin cambio funcional
CA02 - KO por dinero de otra persona
Dado que el prospecto responde Usaré el dinero de otra persona
Cuando presiona Continuar
Entonces el sistema genera KO y almacena el resultado en Yugabyte
CA03 - TYP de rechazo
Dado que se genera el KO por proveedor de recursos
Cuando el sistema muestra la TYP
Entonces se presenta el mensaje Lo sentimos... y Te invitamos... con botón Conoce las sucursales</t>
  </si>
  <si>
    <t>• BB PLD habilitado
• Pregunta de origen de recursos disponible
• Yugabyte disponible para almacenar KO
• Mensaje TYP aprobado</t>
  </si>
  <si>
    <t>HDU-TDC-R4-22</t>
  </si>
  <si>
    <t>Medir la Thank You Page de rechazo por proveedor de recursos</t>
  </si>
  <si>
    <t>Medición digital / PLD</t>
  </si>
  <si>
    <t>Rechazo proveedor de recursos | CA2</t>
  </si>
  <si>
    <t>Yo: Como usuario de negocio
Quiero: que la TYP de rechazo cuente con medición digital
Para: mantener trazabilidad del abandono por proveedor de recursos</t>
  </si>
  <si>
    <t>• Ingresar medición correspondiente a TYP rechazo
• Usar pestañas Guía PLD y Código PLD
• Aplica para números 2 y 2A del archivo anexo
• Depende del archivo de medición</t>
  </si>
  <si>
    <t>CA01 - Disparo de medición TYP
Dado que el sistema muestra la TYP de rechazo por proveedor
Cuando la pantalla se carga
Entonces se genera la medición digital correspondiente
CA02 - Medición de botón sucursales
Dado que la TYP muestra botón Conoce las sucursales
Cuando el prospecto interactúa con el botón
Entonces se dispara el evento definido para la interacción
CA03 - Referencia a códigos 2 y 2A
Dado que se configura la medición del rechazo
Cuando se consultan Guía PLD y Código PLD
Entonces se aplican los identificadores 2 y 2A del archivo anexo
CA04 - Insumo insuficiente
Dado que el archivo de medición no está disponible
Cuando se requiere cerrar la definición de eventos
Entonces la configuración específica queda como información insuficiente</t>
  </si>
  <si>
    <t>• TYP de rechazo implementada
• Archivo de medición PLD disponible
• Eventos 2 y 2A validados</t>
  </si>
  <si>
    <t>Validar formato del número celular en preparación y validación de Teléfono</t>
  </si>
  <si>
    <t>Preparación / Validación de Teléfono</t>
  </si>
  <si>
    <t>Reglas de asignación de teléfono | CA1 Interfaz y Formato de Entrada</t>
  </si>
  <si>
    <t>Yo: Como usuario de negocio
Quiero: que el prospecto capture un numero celular válido
Para: garantizar continuidad del proceso con un medio de contacto correcto</t>
  </si>
  <si>
    <r>
      <rPr>
        <sz val="11"/>
        <color theme="1"/>
        <rFont val="Carlito"/>
      </rPr>
      <t>• Campo con bandera México y lada +52 bloqueada</t>
    </r>
    <r>
      <rPr>
        <b/>
        <sz val="11"/>
        <color theme="1"/>
        <rFont val="Carlito"/>
      </rPr>
      <t>(validar reglas al ingresar numero telefonico que restricciones se deben de mostrar)( validar secuencias identicas)</t>
    </r>
    <r>
      <rPr>
        <sz val="11"/>
        <color theme="1"/>
        <rFont val="Carlito"/>
      </rPr>
      <t xml:space="preserve">
• Campo admite exactamente 10 dígitos
• No permite iniciar con 0
• No permite espacios, letras ni caracteres especiales
• No permite secuencias idénticas ni consecutivas
• No permite números extranjeros</t>
    </r>
  </si>
  <si>
    <t>CA01 - Prefijo fijo México
Dado que el usuario visualiza el campo teléfono
Cuando la pantalla carga el formulario
Entonces se muestra bandera de México y lada +52 bloqueada
CA02 - Longitud válida
Dado que el usuario captura número celular
Cuando intenta continuar
Entonces el sistema permite avanzar solo con exactamente 10 dígitos numéricos
CA03 - Restricciones de formato
Dado que el usuario ingresa número que inicia con 0, letras, espacios o caracteres especiales
Cuando presiona Continuar
Entonces el sistema impide el avance
CA04 - Validación de números repetidos consecutivos
Dado que el prospecto captura un número celular,
cuando el número ingresado contenga repetición consecutiva del mismo dígito en un rango mínimo de 8 dígitos y hasta un máximo de 10 posiciones,
entonces el sistema deberá considerar el número como inválido, impedir el avance del flujo y mostrar el mensaje de validación correspondiente para solicitar la captura de un número celular válido.
Ejemplos no permitidos:
5655555555
5555555555
5511111111
9999999999
CA05 Validación de secuencias consecutivas ascendentes o descendentes
Dado que el prospecto captura un número celular,
Cuando el número ingresado contenga una secuencia numérica consecutiva en orden ascendente o descendente en un rango mínimo de 8 dígitos y hasta un máximo de 10 posiciones,
Entonces el sistema deberá considerar el número como inválido, impedir el avance del flujo y mostrar el mensaje de validación correspondiente para solicitar la captura de un número celular válido.
Ejemplos no permitidos:
5512345678
1234567890
5598765432
9876543210</t>
  </si>
  <si>
    <t>• Campo de teléfono disponible en Preparación y Validación del teléfono
• Reglas de formato definidas - Reglas de secuencia definida, longitud minima e caracteres que no deben permitirse
• Figma mobile/desktop disponible</t>
  </si>
  <si>
    <t>Validar titularidad del celular y disponibilidad por regla de 30 días</t>
  </si>
  <si>
    <t>Validación del teléfono</t>
  </si>
  <si>
    <t>Reglas de asignación de teléfono | CA2 Validación de Titularidad y Reasignación</t>
  </si>
  <si>
    <t>Yo: Como usuario de negocio
Quiero: que el sistema valide si el celular puede ser usado por el prospecto
Para: evitar reasignaciones indebidas y permitir OTP cuando corresponda</t>
  </si>
  <si>
    <t>• Validación se ejecuta tras cumplir formato
• Al continuar validar si número está vinculado a cliente verificado
• Si no ha sido verificado por otro cliente en 30 días, continúa a OTP(Validar estatus relacionados a vigencias)(01 titular 02 prospecto)(compartir informacion de reglas de vigencia de teléfono(validar infomix tanto apolo y ofi)
• Si está activo y verificado por otro cliente en menor a 30 días, mostrar error rojo
• Mensaje: Este número no se encuentra disponible. Ingresa uno distinto.</t>
  </si>
  <si>
    <t>CA01 - Ejecución posterior a formato
Dado que el celular cumple las reglas de captura
Cuando el usuario da clic en Continuar
Entonces el sistema ejecuta validación de titularidad
CA02 - Número disponible
Dado que el número no ha sido verificado por otro cliente en los últimos 30 días
Cuando el sistema obtiene la respuesta de verificación
Entonces el flujo continúa al envío de OTP
CA03 - Número no disponible
Dado que el número está activo y verificado por otro cliente en menos de 30 días
Cuando el sistema valida la regla
Entonces se muestra error en texto rojo bajo el campo
CA04 - Corrección de número
Dado que el mensaje de error está visible
Cuando el usuario captura un número distinto válido
Entonces el sistema permite reevaluar titularidad</t>
  </si>
  <si>
    <t>• Número celular cumple formato
• Regla de verificación de 30 días disponible
• Mensaje de error aprobado</t>
  </si>
  <si>
    <t>Cancelar vínculo previo del número cuando la originación concluye exitosamente</t>
  </si>
  <si>
    <t xml:space="preserve"> Integracion de Expediente digital</t>
  </si>
  <si>
    <t>Reglas de asignación de teléfono | CA2 Cancelación de Vínculo Previo</t>
  </si>
  <si>
    <t>Yo: Como usuario de negocio
Quiero: que el número quede asociado correctamente al cliente que finaliza la originación
Para: mantener integridad de vinculación telefónica</t>
  </si>
  <si>
    <t>• Aplica si proceso de originación culmina exitosamente ( un avez que se genara crédito en smart vista y se formaliza el producto de TDC)
• Cancelar cualquier vinculación previa del número con cliente origen
• La reasignación ocurre después del éxito del proceso
• Debe conservar trazabilidad de vínculo actualizado</t>
  </si>
  <si>
    <t>CA01 - Originación exitosa
Dado que el prospecto concluye exitosamente el proceso
Cuando el sistema valida vinculación del número
Entonces se identifica si existía vínculo previo con otro cliente origen
CA02 - Cancelación de vínculo previo
Dado que existe vinculación previa del número
Cuando la originación finaliza correctamente
Entonces el sistema cancela el vínculo anterior
CA03 - Nuevo vínculo vigente
Dado que el vínculo previo fue cancelado
Cuando el sistema actualiza la asociación
Entonces el número queda disponible/asociado al cliente final de la originación
CA04 - No cancelación sin éxito
Dado que la originación no concluye exitosamente
Cuando el sistema evalúa vínculo telefónico
Entonces no se cancela el vínculo previo por este flujo</t>
  </si>
  <si>
    <t>• Proceso de originación exitoso
• Número validado
• Regla de vinculación previa disponible</t>
  </si>
  <si>
    <t>Gestionar reglas del OTP para validación telefónica</t>
  </si>
  <si>
    <t>Validación de telefono/ Validación SIC/Retomar solicitud</t>
  </si>
  <si>
    <t>Reglas de asignación de teléfono | CA3 Reglas del Código Dinámico OTP</t>
  </si>
  <si>
    <t>Yo: Como usuario de negocio
Quiero: que el OTP tenga vigencia, reenvíos e intentos controlados
Para: asegurar validación segura del número celular</t>
  </si>
  <si>
    <t>• OTP vigencia 10 minutos parametrizable
• Hasta 3 reenvíos, 4 mensajes en total
• Cada reenvío invalida código anterior
• Reinicia contador de espera de 1 minuto
• 3 intentos de captura
• 4to intento redirige a TYP
• Bloqueo se libera a las 00:00 del día siguiente  1,3,4 actualmente ya se tienen punto 2 teneos 2 y 2</t>
  </si>
  <si>
    <t>CA01 - Vigencia parametrizable
Dado que se genera un OTP
Cuando el usuario recibe el código
Entonces el código tiene vigencia de 10 minutos conforme al parámetro
CA02 - Reenvíos controlados
Dado que el usuario solicita reenvío de OTP
Cuando no ha excedido el límite
Entonces el sistema permite hasta 3 reenvíos y 4 mensajes totales
CA03 - Invalidación de código anterior
Dado que el usuario solicita reenvío
Cuando se genera un nuevo OTP
Entonces el código anterior queda invalidado y reinicia espera de 1 minuto
CA04 - Intentos fallidos
Dado que el usuario captura OTP incorrecto
Cuando acumula intentos
Entonces al 4to intento fallido se redirige a TYP con mensaje de seguridad
CA05 - Liberación de bloqueo
Dado que el usuario fue bloqueado por intentos fallidos
Cuando llega la hora 00:00 del día siguiente
Entonces el sistema libera automáticamente el bloqueo</t>
  </si>
  <si>
    <t>• Flujo de OTP habilitado
• Parámetros de vigencia y reenvíos configurados
• Mensaje TYP aprobado</t>
  </si>
  <si>
    <t>Asegurar máscara de SMS BanCoppel en mensajes OTP</t>
  </si>
  <si>
    <t>Reglas de asignación de teléfono | CA4 Máscara de SMS</t>
  </si>
  <si>
    <t>Yo: Como usuario de negocio
Quiero: que los SMS de OTP se envíen con identidad BanCoppel y en español
Para: mantener consistencia de marca y claridad para el prospecto</t>
  </si>
  <si>
    <t>• Máscara de SMS debe corresponder a BanCoppel
• SMS no debe enviarse en inglés
• Aplica a códigos dinámicos del flujo
• Debe mantener claridad de comunicación</t>
  </si>
  <si>
    <t>CA01 - Máscara correcta
Dado que el sistema envía SMS de OTP
Cuando el prospecto recibe el mensaje
Entonces la máscara/remitente corresponde a BanCoppel
CA02 - Idioma español
Dado que el SMS de OTP es generado
Cuando se construye el contenido del mensaje
Entonces el texto se envie en Español
CA03 - Consistencia con reenvío
Dado que el usuario solicita reenvío de OTP
Cuando el sistema genera nuevo SMS
Entonces la máscara y el idioma se mantienen correctos
CA04 - No envío con máscara inválida
Dado que la configuración de máscara no corresponde a BanCoppel
Cuando se intenta enviar OTP
Entonces la condición debe ser corregida antes de considerarse lista funcionalmente</t>
  </si>
  <si>
    <t>• Servicio SMS disponible ( depende de proveedor de servio) (formato del mensaje bien definido)
• Plantilla de mensaje validada
• Máscara BanCoppel configurada</t>
  </si>
  <si>
    <t>HDU-TDC-R4-28</t>
  </si>
  <si>
    <t>Iniciar recuperación de solicitud mediante captura de teléfono y envío de OTP</t>
  </si>
  <si>
    <t>Recuperación de Solicitud / Preparación / OTP</t>
  </si>
  <si>
    <t>Recuperación de solicitud en APOLO | CA1, CA2 y CA3</t>
  </si>
  <si>
    <t>Yo: Como usuario de negocio
Quiero: que el prospecto inicie la retoma de una solicitud incompleta
Para: permitir continuidad del onboarding abandonado</t>
  </si>
  <si>
    <t>• Botón Retomar mi solicitud en página principal
• Solicitar teléfono celular
• Validar si existe solicitud pendiente asociada
• Enviar Folio OTP al número registrado
• Mostrar pantalla para ingresar OTP</t>
  </si>
  <si>
    <t>CA01 - Inicio de retoma
Dado que el prospecto está en página principal
Cuando hace clic en Retomar mi solicitud
Entonces el sistema solicita el teléfono celular
CA02 - Validación de solicitud asociada
Dado que el prospecto captura teléfono
Cuando presiona Continuar
Entonces el sistema valida si existe solicitud pendiente asociada
CA03 - Envío de OTP
Dado que existe teléfono registrado para retoma
Cuando el sistema valida la solicitud
Entonces se envía Folio OTP al número del prospecto
CA04 - Pantalla de captura OTP
Dado que el OTP fue enviado
Cuando el sistema avanza en la retoma
Entonces se habilita pantalla para ingresar el código recibido</t>
  </si>
  <si>
    <t>• Página principal disponible
• Solicitud pendiente consultable
• Número registrado disponible
• Servicio OTP habilitado</t>
  </si>
  <si>
    <t>HDU-TDC-R4-29</t>
  </si>
  <si>
    <t>Validar OTP de recuperación y controlar errores de captura</t>
  </si>
  <si>
    <t>Recuperación de Solicitud / OTP</t>
  </si>
  <si>
    <t>Recuperación de solicitud en APOLO | CA4 Validación del OTP</t>
  </si>
  <si>
    <t>Yo: Como usuario de negocio
Quiero: que el sistema valide el OTP de retoma antes de reactivar la solicitud
Para: proteger el acceso a solicitudes incompletas</t>
  </si>
  <si>
    <t>• OTP incorrecto muestra mensaje y permite reintento
• Exceso de 3 intentos cancela instancia actual
• OTP correcto dispara validaciones en orden
• Con exceso se obliga a reiniciar proceso de retoma</t>
  </si>
  <si>
    <t>CA01 - OTP incorrecto
Dado que el prospecto ingresa un OTP inválido
Cuando presiona Continuar
Entonces el sistema muestra mensaje de error y permite reintentar en la misma pantalla
CA02 - Exceso de intentos
Dado que el prospecto excede 3 intentos de validación
Cuando el sistema evalúa el contador
Entonces se muestra notificación de exceso y se cancela la instancia actual
CA03 - Reinicio por bloqueo
Dado que la instancia actual fue cancelada por exceso de intentos
Cuando el prospecto desea continuar
Entonces debe reiniciar el proceso de retoma
CA04 - OTP correcto
Dado que el prospecto ingresa OTP válido
Cuando presiona Continuar
Entonces el sistema ejecuta validaciones de estatus, solicitud vigente y vigencia del prospecto en orden</t>
  </si>
  <si>
    <t>• OTP enviado previamente
• Contador de intentos disponible
• Mensajes de error definidos o pendientes de cierre</t>
  </si>
  <si>
    <t>HDU-TDC-R4-30</t>
  </si>
  <si>
    <t>Resolver retoma según vigencia del prospecto y última etapa alcanzada</t>
  </si>
  <si>
    <t>Recuperación de Solicitud / Vigencia Prospecto</t>
  </si>
  <si>
    <t>Recuperación de solicitud en APOLO | CA5 Vigencia del Prospecto</t>
  </si>
  <si>
    <t>Yo: Como usuario de negocio
Quiero: que el prospecto vigente regrese a la etapa donde abandonó
Para: continuar el flujo sin reiniciar información válida</t>
  </si>
  <si>
    <t>• Prospecto vigente menor o igual a 30 días redirige a última etapa
• Etapas desde Verificación de Cliente hasta Validación SIC
• Si SIC OTP confirmado y hubo error de comunicación, mostrar carga y ejecutar lógica SIC
• Si SIC OTP no confirmado, redirigir a confirmación de código OTP
• Prospecto no vigente muestra TYP pendiente de definir</t>
  </si>
  <si>
    <t>CA01 - Prospecto vigente
Dado que el prospecto tiene vigencia menor o igual a 30 días
Cuando el OTP de retoma fue correcto
Entonces el sistema redirige a la última etapa donde se quedó
CA02 - SIC con OTP confirmado
Dado que el prospecto se quedó en Validación SIC y confirmó OTP
Cuando existió error de comunicación con SICs
Entonces se muestra pantalla Estamos validando tu información y se ejecuta lógica SIC indicada
CA03 - SIC con OTP no confirmado
Dado que el prospecto se quedó en Validación SIC sin confirmar OTP
Cuando el sistema evalúa la etapa
Entonces redirige a la pantalla de confirmación de código OTP para Validación SIC
CA04 - Prospecto no vigente
Dado que el prospecto en Yugabyte supera 30 días desde alta y no fue inyectado a legado
Cuando se valida la vigencia
Entonces se muestra TYP con mensaje pendiente de definir</t>
  </si>
  <si>
    <t>• OTP de retoma correcto
• Fecha de alta del prospecto disponible
• Última etapa del flujo registrada
• Mensajes TYP pendientes deben cerrarse</t>
  </si>
  <si>
    <t>HDU-TDC-R4-31</t>
  </si>
  <si>
    <t>Gestionar solicitudes vigentes de otros canales y estatus CN</t>
  </si>
  <si>
    <t>Recuperación de Solicitud / Estatus CN / Solicitudes de otros canales</t>
  </si>
  <si>
    <t>Recuperación de solicitud en APOLO | CA4 y CA6 Solicitud Vigente</t>
  </si>
  <si>
    <t>Yo: Como usuario de negocio
Quiero: que la retoma bloquee solicitudes no continuables por estatus o canal
Para: evitar continuidad incorrecta de solicitudes canceladas o externas</t>
  </si>
  <si>
    <t>• Si estatus CN mostrar TYP con mensaje pendiente
• Si existe solicitud vigente de otro canal mostrar TYP
• Canales DUD, Alta móvil, OFI
• Mensaje: Lo sentimos tu solicitud no puede continuar debido a que tienes una proceso
• Si no CN continuar validación de solicitud/prospecto</t>
  </si>
  <si>
    <t>CA01 - Solicitud cancelada CN
Dado que el OTP de retoma es correcto y la solicitud tiene estatus CN
Cuando el sistema evalúa el estatus
Entonces se muestra TYP con mensaje pendiente de definir
CA02 - Solicitud vigente de otro canal
Dado que existe solicitud vigente de DUD, Alta móvil u OFI
Cuando el prospecto intenta retomar por APOLO
Entonces se muestra TYP indicando que la solicitud no puede continuar
CA03 - Sin bloqueo por canal
Dado que no existe solicitud vigente de otro canal
Cuando el sistema evalúa la retoma
Entonces continúa con las reglas de estatus APOLO
CA04 - Mensaje pendiente
Dado que el mensaje de CN no está definido
Cuando se requiere cierre funcional
Entonces la TYP se mantiene como información insuficiente para completar criterios finales</t>
  </si>
  <si>
    <t>• OTP correcto
• Estatus de solicitud disponible
• Consulta de solicitudes por canal disponible</t>
  </si>
  <si>
    <t>HDU-TDC-R4-32</t>
  </si>
  <si>
    <t>Gestionar retoma en estatus BC y CC con consultas crediticias</t>
  </si>
  <si>
    <t>Recuperación de Solicitud / Validación SIC / Buró / Círculo</t>
  </si>
  <si>
    <t>Recuperación de solicitud en APOLO | CA6 Estatus BC y CC</t>
  </si>
  <si>
    <t>Yo: Como usuario de negocio
Quiero: que la retoma resuelva estatus crediticios vigentes o fallidos
Para: continuar la solicitud con información crediticia válida</t>
  </si>
  <si>
    <t>• BC vigente 7 días valida respuesta de Buró
• Si Buró falla, reintenta y cambia a CC para consultar Círculo
• Si ambas fallan, muestra TYP de error crediticio
• CC vigente 7 días valida respuesta de Círculo
• Si Círculo exitoso cambia a BC y continúa a BC Score
• Vigencia expirada mayor a 7 días cambia a CN</t>
  </si>
  <si>
    <t>CA01 - BC con respuesta exitosa
Dado que la solicitud está en estatus BC vigente
Cuando existe respuesta exitosa de Buró
Entonces el flujo continúa para primera inyección a BRM
CA02 - BC sin respuesta
Dado que la solicitud está en BC y Buró no responde
Cuando se reintenta consulta y persiste error
Entonces el estatus cambia a CC y se consulta Círculo de Crédito
CA03 - CC con respuesta exitosa
Dado que la solicitud está en CC vigente
Cuando Círculo responde exitosamente
Entonces el estatus cambia a BC y continúa para obtener BC Score e inyección a BRM
CA04 - Falla de ambas SIC
Dado que fallan Buró y Círculo después de reintentos definidos
Cuando el sistema evalúa resultado final
Entonces se muestra TYP de imposibilidad de consultar información crediticia
CA05 - Expiración BC/CC
Dado que BC o CC supera vigencia de 7 días
Cuando el sistema valida vigencia
Entonces el estatus cambia automáticamente a CN</t>
  </si>
  <si>
    <t>• OTP correcto
• Estatus BC/CC disponible
• Reglas de consulta SIC vigentes
• Integración BRM identificada</t>
  </si>
  <si>
    <t>HDU-TDC-R4-33</t>
  </si>
  <si>
    <t>Resolver retoma de estatus RT, CP, TC y AT según vigencias</t>
  </si>
  <si>
    <t>Recuperación de Solicitud / Estatus RT-CP-TC-AT</t>
  </si>
  <si>
    <t>Recuperación de solicitud en APOLO | CA6 Estatus RT, CP, TC y AT</t>
  </si>
  <si>
    <t>Yo: Como usuario de negocio
Quiero: que el sistema dirija al prospecto según el estado avanzado de su solicitud
Para: retomar o cerrar el flujo respetando vigencias operativas</t>
  </si>
  <si>
    <t>• RT vigente 60 días muestra TYP de rechazo; después cambia a CN
• CP vigente 7 días regresa al formulario paramétrico; después cambia a CN
• TC vigente 7 días muestra carga y lanza consulta de telecomunicaciones; después cambia a CN
• AT vigente 120 días redirige a última etapa
• Si etapa AT es prueba de vida o posterior, siempre redirige a prueba de vida</t>
  </si>
  <si>
    <t>CA01 - Estatus RT
Dado que la solicitud está en RT vigente
Cuando el prospecto retoma
Entonces se muestra TYP de rechazo con canalización a sucursal
CA02 - Estatus CP
Dado que la solicitud está en CP vigente
Cuando el prospecto retoma
Entonces se redirige al formulario paramétrico donde se quedó
CA03 - Estatus TC
Dado que la solicitud está en TC vigente
Cuando el prospecto retoma
Entonces se muestra pantalla de carga mientras se consulta telecomunicaciones
CA04 - Estatus AT
Dado que la solicitud está en AT vigente
Cuando el prospecto retoma
Entonces se redirige a la última etapa válida o a Prueba de Vida si corresponde
CA05 - Cambio automático a CN
Dado que RT, CP, TC o AT supera su vigencia definida
Cuando el sistema valida la antigüedad
Entonces el estatus cambia automáticamente a CN</t>
  </si>
  <si>
    <t>• Estatus de solicitud disponible
• Fechas de vigencia registradas
• Última etapa alcanzada disponible</t>
  </si>
  <si>
    <t>Asignar sucursal corporativa parametrizable a la TDC BanCoppel</t>
  </si>
  <si>
    <t>Validación de domicilio / Intengración de expediente digital</t>
  </si>
  <si>
    <t>Sucursalización de clientes | CA1</t>
  </si>
  <si>
    <t>Yo: Como usuario de negocio
Quiero: que la TDC BanCoppel se asigne a la sucursal corporativa definida
Para: garantizar trazabilidad de transacciones del producto</t>
  </si>
  <si>
    <t>• Asignar sucursal corporativa 6700 por defecto
• Número debe ser parametrizable
• Negocio podrá modificarlo sin desarrollo
• Aplica a tarjeta de crédito BanCoppel</t>
  </si>
  <si>
    <t>CA01 - Asignación dinamica
Dado que se genera la tarjeta de crédito BanCoppel
Cuando el sistema asigna sucursal
Entonces se obtiene de forma dinamica la sucursal que se encuentra establecida
Nota: al momento de la definición del requerimiento la sucursal corporativa establecida es la 6700
CA02 - Trazabilidad de producto
Dado que la TDC queda asignada a una sucursal
Cuando se registran transacciones del producto
Entonces la sucursal asignada permite trazabilidad operativa</t>
  </si>
  <si>
    <t>• Producto TDC BanCoppel identificado
• Parámetro de sucursal disponible
• Regla de asignación confirmada</t>
  </si>
  <si>
    <t>HDU-TDC-R4-35</t>
  </si>
  <si>
    <t>Identificar clientes titulares, prospectos y nuevos en validación de cliente</t>
  </si>
  <si>
    <t>Validación del Cliente</t>
  </si>
  <si>
    <t>Incluir cliente prospecto en Onboarding de Apolo TDC | CA1</t>
  </si>
  <si>
    <t>Yo: Como usuario de negocio
Quiero: que APOLO distinga cliente existente, prospecto y cliente nuevo
Para: permitir continuidad del onboarding solo cuando corresponde</t>
  </si>
  <si>
    <t>• Solo titulares tipo 01 son Existentes
• Cliente titular muestra TYP de ya eres cliente
• Prospecto tipo 02 identificado con RFC puede avanzar
• Cliente nuevo sin registros previos puede avanzar</t>
  </si>
  <si>
    <t>CA01 - Cliente titular existente
Dado que el solicitante inicia Validación de Cliente
Cuando el sistema consulta cliente existente y encuentra titular tipo 01
Entonces se muestra TYP de ya eres cliente con invitación a app o sucursal
CA02 - Prospecto tipo 02
Dado que la consulta identifica prospecto tipo 02 por RFC
Cuando el sistema evalúa elegibilidad
Entonces permite avanzar en el proceso
CA03 - Cliente nuevo
Dado que la consulta no encuentra registros previos
Cuando el sistema evalúa resultado
Entonces permite avanzar como cliente nuevo
CA04 - No clasificación indebida
Dado que el registro corresponde a prospecto tipo 02 o cliente nuevo
Cuando el sistema determina categoría
Entonces no lo clasifica como Existente tipo 01</t>
  </si>
  <si>
    <t>• Consulta de cliente existente disponible
• Tipos de cliente 01 y 02 definidos
• RFC disponible para identificación</t>
  </si>
  <si>
    <t>HDU-TDC-R4-36</t>
  </si>
  <si>
    <t>Actualizar registro de prospecto tipo 02 y aplicar alcance a onboarding y recuperación</t>
  </si>
  <si>
    <t>Validación de Domicilio / Prospecto tipo 02 / Recuperación de Solicitud</t>
  </si>
  <si>
    <t>Incluir cliente prospecto en Onboarding de Apolo TDC | CA2, CA3 y Nota de Alcance</t>
  </si>
  <si>
    <t>Yo: Como usuario de negocio
Quiero: que el prospecto tipo 02 se actualice sin crear nuevo identificador y aplique en ambos flujos
Para: evitar duplicidad y mantener continuidad entre onboarding inicial y recuperación</t>
  </si>
  <si>
    <t>• En Validación de Domicilio identificar prospecto tipo 02
• Sobrescribir datos con información reciente de APOLO
• No generar nuevo identificador de cliente
• Habilitar paso a consulta SIC
• Aplica a onboarding inicial y recuperación
• Dependencia con SMART-3152 Reglas de asignación de teléfono</t>
  </si>
  <si>
    <t>CA01 - Identificación de prospecto tipo 02
Dado que el solicitante llega a Validación de Domicilio
Cuando el sistema procesa información para generación de cliente
Entonces identifica al prospecto tipo 02 mediante RFC
CA02 - Actualización sin nuevo ID
Dado que el prospecto tipo 02 fue identificado
Cuando se recibe información reciente de APOLO
Entonces el sistema sobrescribe datos sin generar nuevo identificador
CA03 - Continuidad a SIC
Dado que la actualización del prospecto concluye correctamente
Cuando el flujo evalúa siguiente paso
Entonces se habilita avance hacia consulta de las SIC
CA04 - Aplicación en recuperación
Dado que el prospecto tipo 02 entra por recuperación de solicitud
Cuando se aplican las reglas CA1 y CA2
Entonces el flujo mantiene el mismo comportamiento que onboarding inicial
CA05 - Dependencia con teléfono
Dado que SMART-3152 no está integrada o finalizada
Cuando se planea despliegue de esta HDU
Entonces se identifica dependencia funcional para evitar retrabajo</t>
  </si>
  <si>
    <t>• RFC disponible
• Sistema legado permite actualización o requiere validación TI
• Dependencia con reglas de teléfono resuelta o planificada</t>
  </si>
  <si>
    <t>HDU-TDC-R4-37</t>
  </si>
  <si>
    <t>Implementar medición digital faltante por grupos de Building Blocks APOLO</t>
  </si>
  <si>
    <t>Medición digital / TYP Generales / Preparación / Validación Teléfono / Validación Cliente / Perfilamiento / Domicilio / PEP / SIC / Paramétrico</t>
  </si>
  <si>
    <t>Incrementales de medición digital | CA1 a CA9 visibles del documento</t>
  </si>
  <si>
    <t>Yo: Como usuario de negocio
Quiero: que los Building Blocks cuenten con eventos de medición digital faltantes
Para: construir trazabilidad punta a punta y embudo de conversión</t>
  </si>
  <si>
    <t>• Implementar eventos para TYP Generales
• Implementar medición en Preparación
• Implementar medición en Validación de Teléfono
• Implementar medición en Validación de Cliente
• Implementar medición en Perfilamiento, Domicilio, PEP(KYC), SIC y Paramétrico
• Depende de archivo anexo de medición por pestañas y códigos</t>
  </si>
  <si>
    <t>CA01 - Medición TYP Generales
Dado que se muestra una TYP general del flujo
Cuando ocurre carga o interacción definida
Entonces se dispara evento conforme a Guía Generales y Código Generales
CA02 - Medición BB iniciales
Dado que el usuario interactúa con Preparación o Validación de Teléfono
Cuando se ejecutan eventos definidos en sus guías
Entonces los códigos aplicables quedan configurados
CA03 - Medición validación cliente y perfilamiento
Dado que el usuario navega por Validación del Cliente o Perfilamiento
Cuando se presentan interacciones medibles
Entonces se disparan eventos conforme a pestañas correspondientes
CA04 - Medición de riesgo y decisión
Dado que el usuario transita por Domicilio, PEP(KYC), Validación SIC o Paramétrico
Cuando se ejecutan cargas/interacciones definidas
Entonces se registran eventos conforme al archivo anexo
CA05 - Información insuficiente de anexo
Dado que alguna pestaña o código del archivo de medición no está disponible
Cuando se requiere definición específica
Entonces la HDU no se considera cerrada para esos eventos</t>
  </si>
  <si>
    <t>• Archivo de medición disponible
• Pestañas y códigos validados
• BB medibles identificados
• Eventos no deben alterar comportamiento funcional</t>
  </si>
  <si>
    <t>29HDU ATOMIZADAS</t>
  </si>
  <si>
    <t>10HDU INICIALES</t>
  </si>
  <si>
    <t>26 HDU finales</t>
  </si>
  <si>
    <t>Actualizar la tasa ordinaria y el CAT en la oferta de producto.</t>
  </si>
  <si>
    <t>La oferta de producto debe mostrar la tasa ordinaria vigente (69.4%) y el CAT calculado conforme a la fórmula regulatoria. La tasa es parametrizable; aplica al solicitante precalificado al llegar a Oferta de Producto.</t>
  </si>
  <si>
    <t>Tasa ordinaria 69.4% parametrizable en BD. CAT refleja proporcionalmente el cambio conforme a fórmula vigente. Aplica al solicitante precalificado al concluir fase paramétrica. Vigencia de solicitud: 60 días para continuar.</t>
  </si>
  <si>
    <t>Apolo (Onboarding digital — Oferta de Producto)</t>
  </si>
  <si>
    <t>Solicitante TDC / Negocio</t>
  </si>
  <si>
    <t>Cumplimiento regulatorio CONDUSEF. Tasa o CAT incorrectos generan riesgo legal y de reclamación.</t>
  </si>
  <si>
    <t>Apolo / BD Parámetros</t>
  </si>
  <si>
    <t>Enviar por correo el contrato vigente al finalizar la firma.</t>
  </si>
  <si>
    <t>Al completar exitosamente la firma y el onboarding TDC, el sistema envía automáticamente al correo del titular el Welcome Kit completo en PDF: contrato múltiple de crédito (RECA 1654-999-037863/09-01070-0526), tabla de comisiones, carátula, portada de tarjeta, contrato de servicios digitales y carátula de servicios digitales.</t>
  </si>
  <si>
    <t>Evento de confirmación de cuenta dispara el correo. Adjunta todos los documentos del Welcome Kit en PDF. Solo se dispara con onboarding exitoso; no se envía si el proceso no concluyó. Correo del titular debe estar disponible y validado previamente.</t>
  </si>
  <si>
    <t>Apolo (Onboarding digital — Bienvenida)</t>
  </si>
  <si>
    <t>Titular TDC / Sistema</t>
  </si>
  <si>
    <t>Apolo / Email Gateway / OnBase</t>
  </si>
  <si>
    <t>Aplicar Coltrane en bloques iniciales y validación temprana (BB1-BB4).</t>
  </si>
  <si>
    <t>Los BBs 1 a 4 (Preparación, TyC y Aviso de Privacidad, Validación de Teléfono, Validación del Cliente) deben adoptar tipografía, paleta, espaciados y componentes del sistema de diseño Coltrane conforme al Figma Mobile y Desktop. No modifica reglas funcionales de fondo.</t>
  </si>
  <si>
    <t>Aplica tipografía, paleta, espaciados y componentes Coltrane. Alinear con Figma Mobile y Desktop para BB1 (Preparación), BB2 (TyC), BB3 (Validación Teléfono), BB4 (Validación Cliente). No cambia reglas funcionales ni lógica de negocio.</t>
  </si>
  <si>
    <t>Apolo (Onboarding digital — BB1 al BB4)</t>
  </si>
  <si>
    <t>Solicitante TDC / UX</t>
  </si>
  <si>
    <t>Requisito de cambio de marca Fase 2. Impacta toda la parte inicial del flujo de onboarding TDC.</t>
  </si>
  <si>
    <t>Apolo / Modyo / Figma</t>
  </si>
  <si>
    <t>Aplicar Coltrane en bloques de perfilamiento, riesgo y decisión (BB5-BB11).</t>
  </si>
  <si>
    <t>Los BBs 5 a 11 (Perfilamiento, Validación de Domicilio, KYC-PEP, PLD, Persona Vulnerable, Validación SIC, Paramétrico) deben cumplir el sistema de diseño Coltrane conforme al Figma. No modifica la lógica de validación ni decisión crediticia.</t>
  </si>
  <si>
    <t>Aplica a Perfilamiento, Validación de Domicilio, KYC/PEP, PLD, Persona Vulnerable, Validación SIC y Paramétrico. Debe seguir Figma anexo. No se modifica lógica de validación ni decisión. Pendiente: acceso a Jira para equipos.</t>
  </si>
  <si>
    <t>Apolo (Onboarding digital — BB5 al BB11)</t>
  </si>
  <si>
    <t>Cambio de marca Fase 2. Abarca los pasos críticos de decisión crediticia y cumplimiento.</t>
  </si>
  <si>
    <t>Aplicar Coltrane en oferta, autenticación, expediente y cierre (BB12-BB17).</t>
  </si>
  <si>
    <t>Los BBs 12 a 17 (Oferta de Producto, Prueba de Vida y Vídeo Selfie, Solicitud de Servicios Digitales, Validación de Correo, Integración de Expediente Digital, Bienvenida) deben usar el sistema visual Coltrane para cerrar el flujo con experiencia homogénea.</t>
  </si>
  <si>
    <t>Aplica a Oferta de Producto, Prueba de Vida, Solicitud Servicios Digitales, Validación Correo, Expediente Digital y Bienvenida. Cambio limitado a experiencia visual/patrones. No afecta lógica de firma ni expediente.</t>
  </si>
  <si>
    <t>Apolo (Onboarding digital — BB12 al BB17)</t>
  </si>
  <si>
    <t>Cambio de marca Fase 2. Cierra el flujo completo con experiencia consistente.</t>
  </si>
  <si>
    <t>Capturar la declaración inicial de persona vulnerable.</t>
  </si>
  <si>
    <t>Construcción del BB Persona Vulnerable (nuevo). El prospecto declara si pertenece a un grupo prioritario mediante pregunta obligatoria con opciones Sí / No / Prefiero no contestar, enlace informativo y despliegue condicional de listado. La respuesta se persiste en Informix/Yugabyte.</t>
  </si>
  <si>
    <t>BB Nuevo. Pregunta obligatoria: '¿Formas parte de algún grupo prioritario?'. Opciones: Sí, No, Prefiero no contestar (radio buttons). Enlace '¿Para qué usamos esta información?' despliega popup. Si Sí → muestra listado de selección múltiple. Respuesta bloqueante hasta seleccionar. Persistir en Informix/Yugabyte.</t>
  </si>
  <si>
    <t>Apolo (Onboarding digital — BB9 Persona Vulnerable)</t>
  </si>
  <si>
    <t>Prospecto TDC</t>
  </si>
  <si>
    <t>BB Nuevo — primer release que lo implementa. Regulatorio CNBV de inclusión financiera.</t>
  </si>
  <si>
    <t>Apolo / Informix / Yugabyte</t>
  </si>
  <si>
    <t>Desplegar y guardar opciones de grupo prioritario cuando el prospecto responde Sí.</t>
  </si>
  <si>
    <t>Cuando el prospecto responde 'Sí' en la declaración de persona vulnerable, el sistema despliega dinámicamente un listado de selección múltiple (discapacidad, comunidad indígena/etnia/pueblo, adulto mayor). La selección se persiste en BD asociada al perfil.</t>
  </si>
  <si>
    <t>Despliegue dinámico solo si respuesta = Sí. Selección múltiple habilitada. Opciones: discapacidad, comunidad indígena/etnia/pueblo, adulto mayor. No se despliega con No o Prefiero no contestar. Persistir en BD asociada al perfil del prospecto.</t>
  </si>
  <si>
    <t>Prospecto TDC / Sistema</t>
  </si>
  <si>
    <t>Complementa HDU-07. Persistencia de dato regulatorio obligatorio.</t>
  </si>
  <si>
    <t>Actualizar imagen de tarjeta y textos legales en pantallas clave.</t>
  </si>
  <si>
    <t>Reemplazar la imagen de tarjeta de débito por la imagen de tarjeta de crédito BanCoppel en pantallas de Inicio, Oferta de Producto y Bienvenida. Corregir texto 'pre-aprobada' (sin guión) e incluir 'BanCoppel' en la leyenda de aceptación.</t>
  </si>
  <si>
    <t>Reemplazar imagen débito → TDC BanCoppel en Inicio, Oferta y Bienvenida (según Figma). Eliminar guión en 'preaprobada'. Incluir 'BanCoppel' en leyenda de aceptación (definición por UX). Textos legales aprobados por Legal.</t>
  </si>
  <si>
    <t>Apolo (Onboarding digital — Preparación, Oferta, Bienvenida)</t>
  </si>
  <si>
    <t>Observaciones de Legal. Imagen o textos incorrectos generan riesgo regulatorio y de reclamación.</t>
  </si>
  <si>
    <t>Validar al solicitante contra listas negras en Perfilamiento / PLD.</t>
  </si>
  <si>
    <t>El solicitante es validado contra listas negras/bloqueantes vía servicio Name Matching (con respaldo a Informix al 100% si Name Matching no resuelve en tiempo). HIT → KO bloqueante con estatus 'Rechazo Listas Negras' (Clave RLN, Causa 66, SE:U). NO HIT → continúa flujo.</t>
  </si>
  <si>
    <t>Consulta Name Matching; si no resuelve → fallback Informix (100%). HIT: KO + TYP 'Gracias por tu interés. Por ahora no es posible avanzar con tu solicitud'. Clave RLN, Causa 66, SE:U en bitácora. NO HIT: continúa. Tiempo de respuesta Informix ~20 seg a considerar.</t>
  </si>
  <si>
    <t>Apolo (Onboarding digital — BB5 Perfilamiento / BB8 PLD)</t>
  </si>
  <si>
    <t>Prospecto TDC / Sistema PLD</t>
  </si>
  <si>
    <t>Obligatorio regulatorio PLD/LFPIORPI. KO automático ante coincidencia bloqueante.</t>
  </si>
  <si>
    <t>Apolo / Name Matching / Informix</t>
  </si>
  <si>
    <t>Validar al familiar con cargo público contra listas negras (PEP).</t>
  </si>
  <si>
    <t>El familiar con cargo público declarado por el prospecto es validado contra listas negras vía Name Matching (con fallback a Informix). HIT → KO con estatus 'Rechazo Listas Negras PEP' (Clave LNE, Causa 117, SE:P). NO HIT → continúa.</t>
  </si>
  <si>
    <t>Consulta en BB PEP(KYC). Name Matching; fallback Informix (100%). HIT: KO + TYP 'Gracias por tu interés...'. Clave LNE, Causa 117, SE:P en bitácora. NO HIT: continúa. Dependencia: datos del familiar con cargo público capturados previamente.</t>
  </si>
  <si>
    <t>Apolo (Onboarding digital — BB7 PEP/KYC)</t>
  </si>
  <si>
    <t>Familiar con Cargo Público / Sistema KYC</t>
  </si>
  <si>
    <t>Obligatorio regulatorio LFPIORPI. Sin validación PEP no puede completarse el KYC.</t>
  </si>
  <si>
    <t>Validar la referencia contra listas negras en Paramétrico.</t>
  </si>
  <si>
    <t>La referencia capturada por el prospecto es validada contra listas negras vía Name Matching (con fallback a Informix). HIT → KO bloqueante con clave LNR (Clave LNR, Causa 119, SE:P). NO HIT → flujo continúa.</t>
  </si>
  <si>
    <t>Consulta en BB Paramétrico. Name Matching; fallback Informix (100%). HIT: KO + TYP. Clave LNR, Causa 119, SE:P en bitácora. NO HIT: flujo continúa. Dependencia: referencia capturada en step previo.</t>
  </si>
  <si>
    <t>Apolo (Onboarding digital — BB11 Paramétrico)</t>
  </si>
  <si>
    <t>Referencia del Prospecto / Sistema PLD</t>
  </si>
  <si>
    <t>Cierra el perímetro de listas negras en el flujo (solicitante + familiar PEP + referencia).</t>
  </si>
  <si>
    <t>Presentar la pantalla de términos con Contrato Múltiple y Servicios Digitales.</t>
  </si>
  <si>
    <t>La pantalla previa a la firma presenta los documentos requeridos: Contrato Múltiple de Crédito (RECA 1654-999-037863/09-01070-0526, tabla de comisiones, carátula, portada de tarjeta) y Servicios Digitales (contrato y carátula). Muestra el correo del prospecto y el mensaje de envío. Guarda en OnBase al firmar.</t>
  </si>
  <si>
    <t>Pantalla indica 'leer y firmar T&amp;C'. Campo Contrato Múltiple: contrato múltiple crédito persona física (RECA 1654-999-037863/09-01070-0526), tabla comisiones, carátula, portada tarjeta. Campo Servicios Digitales: contrato y carátula. Muestra correo sin opción a modificar. Guardar en OnBase al firmar. Incluye criterios de HDU-TDC-R4-11 (desestimada, ya incluidos aquí).</t>
  </si>
  <si>
    <t>Apolo (Onboarding digital — BB16 Integración Expediente Digital)</t>
  </si>
  <si>
    <t>Gate contractual obligatorio. Sin aceptación y firma no puede completarse la contratación de TDC.</t>
  </si>
  <si>
    <t>Apolo / OnBase / Firma Electrónica</t>
  </si>
  <si>
    <t>Permitir lectura de documentos y avance a firma electrónica.</t>
  </si>
  <si>
    <t>El botón 'Leer Documentos' da acceso a los contratos como hipervínculos. El contrato de Servicios Digitales con carátula (nueva versión) debe visualizarse. Los documentos de lectura no contienen datos personalizados. Tras leer, el flujo avanza a firma electrónica.</t>
  </si>
  <si>
    <t>Botón 'Leer Documentos' muestra contratos como hipervínculos. Incluye contrato Servicios Digitales con nueva versión de carátula. Documentos de lectura sin datos personalizados (no interactivos). Tras lectura, avanza a firma electrónica. Dependencia: nueva carátula disponible.</t>
  </si>
  <si>
    <t>Prerrequisito de firma. Sin lectura habilitada no puede avanzarse a contratación.</t>
  </si>
  <si>
    <t>Mostrar información de activación de servicios digitales mediante popup.</t>
  </si>
  <si>
    <t>En la pantalla de Integración de Expediente Digital (versión app), un enlace '¿Cómo puedo activar los servicios digitales?' despliega un popup con contenido aprobado por Marketing, UX y Negocio. El usuario puede cerrar el popup y regresar al flujo sin perder avance.</t>
  </si>
  <si>
    <t>Link '¿Cómo puedo activar los servicios digitales?' en pantalla de expediente (solo versión app). Click → popup con contenido aprobado. Popup cierra sin perder progreso. Contenido aprobado por Marketing/UX/Negocio. Validar dependencia con HDU cambio de marca Fase 2.</t>
  </si>
  <si>
    <t>Facilita la activación de la tarjeta digital. Sin esto el cliente puede abandonar al no saber cómo activar.</t>
  </si>
  <si>
    <t>Integrar firma, alta de crédito, expediente digital y marcaje de visualización.</t>
  </si>
  <si>
    <t>La firma exitosa activa el alta del crédito en SmartVista y consolida el expediente digital en OnBase. Incluye asignación del producto, anexo de datos del crédito al expediente y marcaje de visualización de cada documento para trazabilidad.</t>
  </si>
  <si>
    <t>Firma exitosa activa alta de crédito en SmartVista. Asignación de producto TDC. Datos del crédito se anexan al expediente digital. Expediente se almacena en OnBase. Marcaje de cada documento visualizado para trazabilidad. Integración SmartVista + OnBase disponibles.</t>
  </si>
  <si>
    <t>Sistema / SmartVista / OnBase</t>
  </si>
  <si>
    <t>Gate de creación del producto en SV. Es el punto de unión entre Apolo y SmartVista para R4.</t>
  </si>
  <si>
    <t>Apolo / SmartVista / OnBase</t>
  </si>
  <si>
    <t>Aplicar KO automático cuando el prospecto usará dinero de otra persona.</t>
  </si>
  <si>
    <t>En el BB PLD, la pregunta '¿Pagarás tu tarjeta de crédito con tu dinero?' tiene dos rutas: 'Usaré mi dinero' → continúa a Validación SIC; 'Usaré dinero de otra persona' → KO automático con guardado en Yugabyte y TYP con mensaje de canalización a sucursal.</t>
  </si>
  <si>
    <t>Pregunta PLD: '¿Pagarás tu TDC con tu dinero?'. 'Usaré mi dinero' → continúa a SIC. 'Usaré dinero de otra persona' → KO guardado en Yugabyte, TYP con mensaje y botón de canalización. Esta HU reemplaza la HDU-TDC-R4-15 (desestimada).</t>
  </si>
  <si>
    <t>Apolo (Onboarding digital — BB8 PLD)</t>
  </si>
  <si>
    <t>Obligatorio LFPIORPI. Previene uso de TDC para lavado de dinero. Reemplaza HDU-15 (desestimada).</t>
  </si>
  <si>
    <t>Apolo / Yugabyte</t>
  </si>
  <si>
    <t>Validar formato del número celular en Preparación y Validación de Teléfono.</t>
  </si>
  <si>
    <t>El campo de teléfono muestra bandera México y lada +52 bloqueada. Admite exactamente 10 dígitos. Incluye reglas de secuencias idénticas y otras restricciones por definir. Aplica en BB1 Preparación y BB3 Validación de Teléfono.</t>
  </si>
  <si>
    <t>Campo con bandera México y lada +52 bloqueada. Exactamente 10 dígitos. Restricciones a definir: secuencias idénticas prohibidas, longitud mínima. Aplica en Preparación y Validación del Teléfono. Reglas de formato a confirmar con equipo.</t>
  </si>
  <si>
    <t>Apolo (Onboarding digital — BB1 Preparación / BB3 Validación Teléfono)</t>
  </si>
  <si>
    <t>Prerequisito del envío de OTP. Formato inválido impide continuar el flujo de onboarding.</t>
  </si>
  <si>
    <t>Validar titularidad del celular y disponibilidad por regla de 30 días.</t>
  </si>
  <si>
    <t>Tras cumplir el formato, al dar clic en Continuar el sistema valida si el número está vinculado a un cliente ya verificado. Si no ha sido verificado por otro cliente en los últimos 30 días, continúa a OTP. Si está vinculado y en ventana de 30 días, muestra error específico.</t>
  </si>
  <si>
    <t>Validación tras formato correcto. Al Continuar: verifica si el número está vinculado a cliente verificado. Si vinculado y dentro de 30 días → error/bloqueo con mensaje aprobado. Si no vinculado o fuera de 30 días → continúa a OTP. Regla de 30 días parametrizable.</t>
  </si>
  <si>
    <t>Apolo (Onboarding digital — BB3 Validación de Teléfono)</t>
  </si>
  <si>
    <t>Previene duplicidad de número celular entre clientes. Requisito de integridad de datos.</t>
  </si>
  <si>
    <t>Apolo / BD Clientes</t>
  </si>
  <si>
    <t>Cancelar vínculo previo del número cuando la originación concluye exitosamente.</t>
  </si>
  <si>
    <t>Al completar exitosamente la originación (crédito dado de alta en SmartVista y producto TDC formalizado), el sistema cancela cualquier vinculación previa del número celular con otro cliente, asociándolo definitivamente al nuevo titular.</t>
  </si>
  <si>
    <t>Aplica al concluir exitosamente la originación (crédito en SV + producto TDC formalizado). Cancela vinculación previa del número con cualquier cliente anterior. Asocia el número definitivamente al nuevo titular. Regla de vinculación previa disponible.</t>
  </si>
  <si>
    <t>Sistema / BD Clientes</t>
  </si>
  <si>
    <t>Integridad de datos post-originación. Sin esto, el número puede quedar asociado a dos clientes.</t>
  </si>
  <si>
    <t>Gestionar reglas del OTP para validación telefónica.</t>
  </si>
  <si>
    <t>El OTP de validación telefónica tiene vigencia de 10 minutos (parametrizable), hasta 3 reenvíos (4 mensajes en total), cada reenvío invalida el código anterior y reinicia el contador de espera de 1 minuto. Máximo 3 intentos de captura; al 4° se muestra TYP.</t>
  </si>
  <si>
    <t>OTP vigencia 10 minutos parametrizable. Hasta 3 reenvíos (4 mensajes totales). Cada reenvío invalida el código anterior y reinicia espera de 1 minuto. Máximo 3 intentos de captura. 4° intento: TYP con mensaje aprobado. Aplica en Validación Teléfono, Validación SIC y Retomar Solicitud.</t>
  </si>
  <si>
    <t>Apolo (Onboarding digital — BB3 Validación Teléfono / BB10 Validación SIC)</t>
  </si>
  <si>
    <t>Seguridad del canal. OTP mal configurado expone el flujo a fraude o abandono por expiración.</t>
  </si>
  <si>
    <t>Apolo / SMS Gateway / BD Parámetros</t>
  </si>
  <si>
    <t>Asegurar máscara de SMS BanCoppel en mensajes OTP.</t>
  </si>
  <si>
    <t>Los SMS de OTP deben enviarse con la máscara/remitente oficial BanCoppel (no un número genérico) y en español. Aplica a todos los códigos dinámicos del flujo de onboarding TDC R4.</t>
  </si>
  <si>
    <t>Máscara/remitente debe corresponder a BanCoppel. SMS en español (no inglés). Aplica a todos los OTPs del flujo TDC R4. Formato del mensaje bien definido. Dependencia del proveedor de SMS. Plantilla de mensaje validada por Negocio/Marketing.</t>
  </si>
  <si>
    <t>Impacta tasa de entrega y confianza. SMS con remitente desconocido aumenta abandonos y reportes de fraude.</t>
  </si>
  <si>
    <t>Asignar sucursal corporativa parametrizable a la TDC BanCoppel.</t>
  </si>
  <si>
    <t>La TDC BanCoppel se asigna a la sucursal corporativa 6700 por defecto, de forma dinámica y parametrizable. Negocio podrá modificar el número sin desarrollo. Aplica en el proceso de creación del producto en SmartVista vía Apolo.</t>
  </si>
  <si>
    <t>Asignar sucursal corporativa 6700 por defecto. Número parametrizable; Negocio puede modificar sin desarrollo. Asignación dinámica al generar la TDC. Aplica en Validación de Domicilio e Integración de Expediente Digital.</t>
  </si>
  <si>
    <t>Apolo (Onboarding digital — BB6 Domicilio / BB16 Expediente)</t>
  </si>
  <si>
    <t>SmartVista requiere sucursal asignada para crear el producto. Sin esto no puede darse de alta la TDC 4900.</t>
  </si>
  <si>
    <t>Apolo / SmartVista / BD Parámetros</t>
  </si>
  <si>
    <t xml:space="preserve">Layout único homologado para los 4 maquiladores. Campos alfanuméricos validados para rechazar caracteres no embosables. Cifrado PGP+HSM; vigencia de llaves validada antes de generar. Reproceso de archivo sin alterar números de tarjeta. Solo producto 4900 parametrizado en </t>
  </si>
  <si>
    <t>Stock semanal basado SOLO en existencias físicas (no en ruta/por fabricar). Filtro por Tipo de Sucursal. Detalle de lotes en proceso por producto/sucursal. Datos provienen de SV, ruptura con .</t>
  </si>
  <si>
    <t>Corrida batch 6:00 AM. Piso mínimo default 4 semanas, parametrizable por producto/sucursal . Semanas a dotar de 1 a N (hoy topado a 3). Redondeo a múltiplos de 250. Consumo sobre mes calendario completo, no ventana fija.</t>
  </si>
  <si>
    <t>Solicitud se detona solo si layout tiene datos completos . Anti-duplicidad: si existe solicitud en mismo layout se rechaza . Pre-asignación de proveedor por matriz de capacidades o manual. Correo diario ~30 destinatarios con número de lote.</t>
  </si>
  <si>
    <t>Solicitud manual usa layout único compartido con la automática. Dotación inicial garantizada ante apertura de sucursal nueva. Restricción: 1 lote/día/sucursal (proceso tarda 2-3 semanas). Funcionalidad demo confirmada en S1/S2.</t>
  </si>
  <si>
    <t>Flujo técnico: SVBO→OCG→Cargen→PGP→Connect Direct [Comentado en sesión]. Archivo cifrado con PGP del proveedor destino. Trazabilidad completa Orden→Lote→Tarjeta. Alertamiento y reproceso ante error de procesamiento en maquilador.</t>
  </si>
  <si>
    <t>Seguimiento de paquetería recolección→entrega, confirmación de recepción [DEF RF-01 Escenarios 5/6]. Consulta limitada al periodo máximo. Sin reposición proactiva ante vencimiento: cliente acude a sucursal.</t>
  </si>
  <si>
    <t>Recepción desde SIWEB; rechazo de lote incorrecto o de otra sucursal . Mensaje corregido 'tarjeta no existe' (hoy muestra erróneamente 'ya reportada'). Bloqueo con crédito vencido &gt;1 mes. Huella de Gerente obligatoria para cancelar dañadas. Gap: baja por daño solo si tarjeta asignada (candidato R4.5).</t>
  </si>
  <si>
    <t>Catálogo normativo único alineado a BANXICO. 17 comisiones 4900=esquema 8500. Solo cambia etiqueta, NO la contabilidad [RF-03 Acuerdo S3]. Límites: 40 chars EDC / 26 chars ticket. Mapeo nombre-actual→nombre-nuevo con ID de comisión.</t>
  </si>
  <si>
    <t>Nombres idénticos en SV, App, SIWEB, EDC . Verificación por punto de consulta. Auditoría BANXICO sin inconsistencias. Límites 40 EDC / 26 ticket. Depende de catálogo HDU-SMART-R4-09.</t>
  </si>
  <si>
    <t>88 reglas BPC divididas entre SV Frontend y Fraud Management [RF-06a Acuerdo S3]. Módulo 1: rechazo con código ISO (BIN desconocido ISO 14, robada ISO 43, extraviada ISO 41). MIT sin OTID: Regla 45 vs Whitelist + umbrales Regla 88. Sin afectación contable hasta batch cierre de día. Alerta 000916 por bloqueo temporal .</t>
  </si>
  <si>
    <t>Solución / Integración</t>
  </si>
  <si>
    <t>HDU-APP-R4-21</t>
  </si>
  <si>
    <t>Gestión de Tarjeta de Crédito Física - Canal Apolo</t>
  </si>
  <si>
    <t>HDU-APP-R4-22</t>
  </si>
  <si>
    <t>Gestión de Tarjeta de Crédito Física - Modelo Legado</t>
  </si>
  <si>
    <t>HDU-APP-R4-23</t>
  </si>
  <si>
    <t>Encendido y Apagado / Bloqueo TDC</t>
  </si>
  <si>
    <t>HDU-APP-R4-24</t>
  </si>
  <si>
    <t>Gestión de Tarjeta de Crédito Digital - Canal Apolo</t>
  </si>
  <si>
    <t>HDU-APP-R4-25</t>
  </si>
  <si>
    <t>Tarjetas asociadas Física y Digital</t>
  </si>
  <si>
    <t>PRIORIDAD E IMPACTO</t>
  </si>
  <si>
    <t>Prioridad MoSCoW</t>
  </si>
  <si>
    <t>Impacto Solución</t>
  </si>
  <si>
    <t># Integraciones</t>
  </si>
  <si>
    <t>Fecha Inicio</t>
  </si>
  <si>
    <t>Fecha Fin</t>
  </si>
  <si>
    <t>Funcionalidad / BB</t>
  </si>
  <si>
    <t>HU Adicional S12 / Actualización de pago mínimo, PPNGI y saldo tras pago</t>
  </si>
  <si>
    <t>Oferta de Producto / Prueba de Vida / Solicitud de Servicios Digitales / Validación de Correo / Integración Expediente Digital / Bienvenida</t>
  </si>
  <si>
    <t>Preparación / Oferta de Producto / Bienvenida</t>
  </si>
  <si>
    <t>Perfilamiento / Listas Negras PLD / Name Matching</t>
  </si>
  <si>
    <t>PLD / PEP / Name Matching / Paramétrico</t>
  </si>
  <si>
    <t>Validación del Teléfono</t>
  </si>
  <si>
    <t>Validación de Teléfono / Validación SIC / Retomar Solicitud</t>
  </si>
  <si>
    <t>Validación de Domicilio / Integración de Expediente Digital</t>
  </si>
  <si>
    <t>Solicitud de Maquila automatizada</t>
  </si>
  <si>
    <t xml:space="preserve">Solicitud de Maquila automatizada </t>
  </si>
  <si>
    <t>Homologación de conceptos de comisiones</t>
  </si>
  <si>
    <t xml:space="preserve">Homologación de conceptos de comisiones </t>
  </si>
  <si>
    <t>Reglas del autorizador (88 reglas)</t>
  </si>
  <si>
    <t>Nueva regla de limitar saldo a favor</t>
  </si>
  <si>
    <t xml:space="preserve">Nueva regla de limitar saldo a favor </t>
  </si>
  <si>
    <t>Pagos anticipados y Liquidaciones</t>
  </si>
  <si>
    <t xml:space="preserve">Pagos anticipados y Liquidaciones </t>
  </si>
  <si>
    <t>Cancelación de Compras Diferidas</t>
  </si>
  <si>
    <t>Visualización del Módulo TDC en el home</t>
  </si>
  <si>
    <t>Submódulo tarjeta física y digital</t>
  </si>
  <si>
    <t>Visualización de transacciones en detalle</t>
  </si>
  <si>
    <t xml:space="preserve">Bloqueo temporal y Desbloqueo desde APP </t>
  </si>
  <si>
    <t>Eliminación y generación de tarjeta digital</t>
  </si>
  <si>
    <t>Alta del producto 4900 en el IVR</t>
  </si>
  <si>
    <t>Identificación de clientes Apolo en CAT</t>
  </si>
  <si>
    <t>Bloqueo de tarjeta física y digital desde CAT</t>
  </si>
  <si>
    <t>Funcionalidad / Building Block</t>
  </si>
  <si>
    <t>(blank)</t>
  </si>
  <si>
    <t>DISPOSICIÓN DE EFECTIVO - APP</t>
  </si>
  <si>
    <t>DIFERIMIENTO - COMPRAS DE MESES CON INTERESES (MCI)</t>
  </si>
  <si>
    <t>Inventario de HUs — Programa Unity / R4</t>
  </si>
  <si>
    <t>Definición de criterios</t>
  </si>
  <si>
    <t>Must</t>
  </si>
  <si>
    <t>Should</t>
  </si>
  <si>
    <t>Could</t>
  </si>
  <si>
    <t>Won't</t>
  </si>
  <si>
    <t>Complejidad técnica</t>
  </si>
  <si>
    <t xml:space="preserve">Tipo de HU Solución / Integración </t>
  </si>
  <si>
    <t>Solución</t>
  </si>
  <si>
    <t xml:space="preserve">Integración </t>
  </si>
  <si>
    <t xml:space="preserve">Solución e integración </t>
  </si>
  <si>
    <t>Configuración</t>
  </si>
  <si>
    <t>Desarrollo + Configuración</t>
  </si>
  <si>
    <t>No Aplica</t>
  </si>
  <si>
    <t>La HU es de integración pura, por lo que el impacto de la solución no aplica como categoría de clasificación.</t>
  </si>
  <si>
    <t>Perfilamiento LISTAS NEGRAS PLD / Name Matching</t>
  </si>
  <si>
    <t>Track</t>
  </si>
  <si>
    <t>Funcionalidad no detectada en plan de trabajo</t>
  </si>
  <si>
    <t>Solo 1 HU?</t>
  </si>
  <si>
    <t>Sin HU</t>
  </si>
  <si>
    <t>Pendiente HUs</t>
  </si>
  <si>
    <t>App</t>
  </si>
  <si>
    <t>SmartVista/App</t>
  </si>
  <si>
    <t># de Criterios de aceptación</t>
  </si>
  <si>
    <t>Score Ponderado</t>
  </si>
  <si>
    <t>Complejidad Total</t>
  </si>
  <si>
    <t>MEDICIÓN DE COMPLEJIDAD</t>
  </si>
  <si>
    <r>
      <t xml:space="preserve">Implementación </t>
    </r>
    <r>
      <rPr>
        <sz val="9"/>
        <color theme="1"/>
        <rFont val="Calibri"/>
        <family val="2"/>
        <scheme val="minor"/>
      </rPr>
      <t>(construcción, pruebas unitarias, y pruebas Product Test)</t>
    </r>
  </si>
  <si>
    <r>
      <t xml:space="preserve">La historia es absolutamente necesaria para que R4 pueda salir a producción y cumplir sus objetivos. Si esta Historia no se implementa:
 - El release no puede desplegarse.
 - Se incumple un requisito regulatorio.
 - Se genera un riesgo operativo crítico.
 - El cliente no puede utilizar el producto.
 - Se rompe un proceso end-to-end imprescindible
</t>
    </r>
    <r>
      <rPr>
        <b/>
        <sz val="9"/>
        <color rgb="FF0D1B2A"/>
        <rFont val="Arial"/>
        <family val="2"/>
      </rPr>
      <t>Pregunta clave --&gt;</t>
    </r>
    <r>
      <rPr>
        <sz val="9"/>
        <color rgb="FF0D1B2A"/>
        <rFont val="Arial"/>
        <family val="2"/>
      </rPr>
      <t xml:space="preserve"> ¿Cancelaríamos o retrasaríamos R4 si esta historia no estuviera disponible? Si la respuesta es "Sí", probablemente sea un MUST.
</t>
    </r>
    <r>
      <rPr>
        <u/>
        <sz val="9"/>
        <color rgb="FF0D1B2A"/>
        <rFont val="Arial"/>
        <family val="2"/>
      </rPr>
      <t>Ejemplos</t>
    </r>
    <r>
      <rPr>
        <sz val="9"/>
        <color rgb="FF0D1B2A"/>
        <rFont val="Arial"/>
        <family val="2"/>
      </rPr>
      <t>:Alta de tarjeta de crédito clásica física para nuevos clientes desde canales digitales, creación de cuenta crédito en Apolo, generación y sincronización del contrato de crédito, Interfaces obligatorias con SmartVista para creación de tarjeta, validaciones regulatorias de KYC requeridas para la contratación, contabilización obligatoria de la apertura de producto, Servicios críticos necesarios para autorización de transacciones.</t>
    </r>
  </si>
  <si>
    <r>
      <t xml:space="preserve">La historia aporta mucho valor al negocio, pero el release podría salir sin ella mediante una solución temporal o con ciertas restricciones operativas. No compromete la viabilidad del Go-Live. Debe estar en R4 si la capacidad lo permite; si no, va a R4.1
</t>
    </r>
    <r>
      <rPr>
        <b/>
        <sz val="9"/>
        <color rgb="FF0D1B2A"/>
        <rFont val="Arial"/>
        <family val="2"/>
      </rPr>
      <t>Pregunta clave --&gt;</t>
    </r>
    <r>
      <rPr>
        <sz val="9"/>
        <color rgb="FF0D1B2A"/>
        <rFont val="Arial"/>
        <family val="2"/>
      </rPr>
      <t xml:space="preserve"> ¿Podemos salir a producción sin esta historia durante algunas semanas o meses, aunque genere incomodidades o trabajo manual? Si la respuesta es "Sí", probablemente sea un SHOULD.
</t>
    </r>
    <r>
      <rPr>
        <u/>
        <sz val="9"/>
        <color rgb="FF0D1B2A"/>
        <rFont val="Arial"/>
        <family val="2"/>
      </rPr>
      <t>Ejemplos</t>
    </r>
    <r>
      <rPr>
        <sz val="9"/>
        <color rgb="FF0D1B2A"/>
        <rFont val="Arial"/>
        <family val="2"/>
      </rPr>
      <t>: Mejoras de experiencia de usuario en la solicitud, Notificaciones push adicionales, Consultas ampliadas de estatus de tarjeta., Automatización parcial de reportes internos., Dashboard operativo para monitoreo del proceso, Automatización de conciliaciones no críticas</t>
    </r>
  </si>
  <si>
    <r>
      <t xml:space="preserve">Historias deseables que aportan valor incremental, pero cuyo impacto es limitado. Si no llegan a R4, prácticamente no afectan los objetivos del release.
</t>
    </r>
    <r>
      <rPr>
        <b/>
        <sz val="9"/>
        <color rgb="FF0D1B2A"/>
        <rFont val="Arial"/>
        <family val="2"/>
      </rPr>
      <t>Pregunta clave --&gt;</t>
    </r>
    <r>
      <rPr>
        <sz val="9"/>
        <color rgb="FF0D1B2A"/>
        <rFont val="Arial"/>
        <family val="2"/>
      </rPr>
      <t xml:space="preserve"> ¿El negocio seguiría funcionando prácticamente igual si esta historia se implementa después del Go-Live? Si la respuesta es "Sí", probablemente sea un COULD.
</t>
    </r>
    <r>
      <rPr>
        <u/>
        <sz val="9"/>
        <color rgb="FF0D1B2A"/>
        <rFont val="Arial"/>
        <family val="2"/>
      </rPr>
      <t>Ejemplos</t>
    </r>
    <r>
      <rPr>
        <sz val="9"/>
        <color rgb="FF0D1B2A"/>
        <rFont val="Arial"/>
        <family val="2"/>
      </rPr>
      <t>: nuevos filtros de búsqueda, mejoras estéticas de pantalla, mensajería enriquecida al cliente, reportes complementarios, métricas avanzadas de monitoreo, funcionalidades de convivencia para usuarios internos</t>
    </r>
  </si>
  <si>
    <r>
      <t xml:space="preserve">Historias explícitamente excluidas de R4/R4.1. No significa que sean malas ideas, significa que no forman parte del alcance comprometido para este release.
</t>
    </r>
    <r>
      <rPr>
        <b/>
        <sz val="9"/>
        <color rgb="FF0D1B2A"/>
        <rFont val="Arial"/>
        <family val="2"/>
      </rPr>
      <t>Pregunta clave --&gt;</t>
    </r>
    <r>
      <rPr>
        <sz val="9"/>
        <color rgb="FF0D1B2A"/>
        <rFont val="Arial"/>
        <family val="2"/>
      </rPr>
      <t xml:space="preserve"> ¿Estamos de acuerdo en que esta historia se moverá a un release futuro?
Ejemplos: funcionalidades previstas para R5 o posteriores, mejoras arquitectónicas no necesarias para R4, automatizaciones futuras, capacidades avanzadas que no afectan la expansión actual de TDC Física.</t>
    </r>
  </si>
  <si>
    <t>DESCRIPCIÓN</t>
  </si>
  <si>
    <t>PESO</t>
  </si>
  <si>
    <t>Criterios de Aceptación (CA)</t>
  </si>
  <si>
    <t>Pantallas Asociadas (PA)</t>
  </si>
  <si>
    <r>
      <t xml:space="preserve">Los cambios necesarios se realizan exclusivamente dentro de una o varias aplicaciones o plataformas, sin necesidad de crear nuevas integraciones ni modificar integraciones existentes.
La historia puede consumir información procedente de otras aplicaciones siempre que las interfaces existentes puedan reutilizarse sin cambios.
</t>
    </r>
    <r>
      <rPr>
        <b/>
        <sz val="9"/>
        <color rgb="FF0D1B2A"/>
        <rFont val="Arial"/>
        <family val="2"/>
      </rPr>
      <t xml:space="preserve">Pregunta guia--&gt; </t>
    </r>
    <r>
      <rPr>
        <sz val="9"/>
        <color rgb="FF0D1B2A"/>
        <rFont val="Arial"/>
        <family val="2"/>
      </rPr>
      <t xml:space="preserve">¿La historia puede implementarse sin crear ni modificar ninguna interfaz existente? Si la respuesta es Sí, la HU debe clasificarse como Solución.
</t>
    </r>
    <r>
      <rPr>
        <u/>
        <sz val="9"/>
        <color rgb="FF0D1B2A"/>
        <rFont val="Arial"/>
        <family val="2"/>
      </rPr>
      <t>Ejemplo 1</t>
    </r>
    <r>
      <rPr>
        <sz val="9"/>
        <color rgb="FF0D1B2A"/>
        <rFont val="Arial"/>
        <family val="2"/>
      </rPr>
      <t xml:space="preserve">: Nueva pantalla para visualizar información de una tarjeta utilizando APIs ya existentes (Motivo: existe desarrollo funcional, pero ninguna integración requiere cambios)
</t>
    </r>
    <r>
      <rPr>
        <u/>
        <sz val="9"/>
        <color rgb="FF0D1B2A"/>
        <rFont val="Arial"/>
        <family val="2"/>
      </rPr>
      <t>Ejemplo 2</t>
    </r>
    <r>
      <rPr>
        <sz val="9"/>
        <color rgb="FF0D1B2A"/>
        <rFont val="Arial"/>
        <family val="2"/>
      </rPr>
      <t xml:space="preserve">: Nueva regla para determinar la elegibilidad de clientes para una Tarjeta de Crédito (Motivo: el cambio ocurre dentro del motor de negocio)
</t>
    </r>
    <r>
      <rPr>
        <u/>
        <sz val="9"/>
        <color rgb="FF0D1B2A"/>
        <rFont val="Arial"/>
        <family val="2"/>
      </rPr>
      <t>Ejemplo 3</t>
    </r>
    <r>
      <rPr>
        <sz val="9"/>
        <color rgb="FF0D1B2A"/>
        <rFont val="Arial"/>
        <family val="2"/>
      </rPr>
      <t>: Nuevo dashboard operativo utilizando información ya disponible en la plataforma.(Motivo: no se crean ni modifican interfaces)</t>
    </r>
  </si>
  <si>
    <r>
      <t xml:space="preserve">El objetivo principal es crear una nueva integración o modificar una integración existente entre sistemas — vía API, Batch, Evento, Archivo, MQ, SOAP o REST — . El valor de la historia reside en habilitar o modificar el intercambio de información entre aplicaciones.
</t>
    </r>
    <r>
      <rPr>
        <b/>
        <sz val="9"/>
        <color rgb="FF0D1B2A"/>
        <rFont val="Arial"/>
        <family val="2"/>
      </rPr>
      <t>Importante</t>
    </r>
    <r>
      <rPr>
        <sz val="9"/>
        <color rgb="FF0D1B2A"/>
        <rFont val="Arial"/>
        <family val="2"/>
      </rPr>
      <t xml:space="preserve">: La simple utilización de una integración existente NO convierte una HU en Integración. Para ser considerada Integración debe existir: una nueva integración o una modificación de una interfaz existente
</t>
    </r>
    <r>
      <rPr>
        <b/>
        <sz val="9"/>
        <color rgb="FF0D1B2A"/>
        <rFont val="Arial"/>
        <family val="2"/>
      </rPr>
      <t>Pregunta guia--&gt;</t>
    </r>
    <r>
      <rPr>
        <sz val="9"/>
        <color rgb="FF0D1B2A"/>
        <rFont val="Arial"/>
        <family val="2"/>
      </rPr>
      <t xml:space="preserve"> ¿La historia requiere crear una nueva integración o modificar una integración existente? Si la respuesta es Sí y no existen cambios funcionales relevantes, la HU debe clasificarse como Integración
Ejemplo 1: Nueva API entre Apolo y SmartVista para creación de tarjetas
Ejemplo 2: Modificación de una interfaz existente para incorporar nuevos atributos de la Tarjeta de Crédito Clásica Física.
Ejemplo 3: Nuevo archivo batch diario para enviar movimientos a Contabilidad.</t>
    </r>
  </si>
  <si>
    <t>Componentes existentes reutilizables &gt;80%</t>
  </si>
  <si>
    <t>Calificación Reusabilidad</t>
  </si>
  <si>
    <t>Fecha de última modificación</t>
  </si>
  <si>
    <t>1. FACTORES DE MEDICIÓN, DESCRIPCIÓN Y PONDERACIÓN</t>
  </si>
  <si>
    <t>FACTOR</t>
  </si>
  <si>
    <t>BAJA  →  Score 1</t>
  </si>
  <si>
    <t>MEDIA  →  Score 2</t>
  </si>
  <si>
    <t>ALTA  →  Score 3</t>
  </si>
  <si>
    <t>Componentes existentes
reutilizables &gt; 80%</t>
  </si>
  <si>
    <t>Reutilización parcial
30 – 70%</t>
  </si>
  <si>
    <t>2. FÓRMULA DEL SCORE PONDERADO</t>
  </si>
  <si>
    <t>Rango mínimo: 1.00  (todos los factores en Baja)     |     Rango máximo: 3.00  (todos los factores en Alta)     |     Cada factor puntúa: Baja=1  /  Media=2  /  Alta=3</t>
  </si>
  <si>
    <t>SCORE PONDERADO</t>
  </si>
  <si>
    <t>COMPLEJIDAD TOTAL</t>
  </si>
  <si>
    <t>1.00  –  1.69</t>
  </si>
  <si>
    <t>BAJA</t>
  </si>
  <si>
    <t>1.70  –  2.29</t>
  </si>
  <si>
    <t>MEDIA</t>
  </si>
  <si>
    <t>2.30  –  3.00</t>
  </si>
  <si>
    <t>ALTA</t>
  </si>
  <si>
    <t>⚠  HUs con Complejidad Total = Alta + MoSCoW = Must son candidatas prioritarias a ruta crítica del Roadmap Integral R4. El Score es un indicador relativo — no reemplaza la estimación de esfuerzo en puntos de historia o días-persona.</t>
  </si>
  <si>
    <t>Impacto de la solución requerido en la plataforma: Caja, Configuración = parametrización | Desarrollo = código nuevo | Des+Config = ambos.</t>
  </si>
  <si>
    <t>Desarrollo o
Des+Config</t>
  </si>
  <si>
    <t xml:space="preserve">Configuración
</t>
  </si>
  <si>
    <t xml:space="preserve">Caja
</t>
  </si>
  <si>
    <t>Porcentaje de componentes, servicios o flujos existentes que la HU puede aprovechar sin desarrollo nuevo.</t>
  </si>
  <si>
    <t xml:space="preserve">LEYENDA DE MEDICIÓN DE COMPLEJIDAD — HUs R4 </t>
  </si>
  <si>
    <t xml:space="preserve">3. SCORE PONDERADO </t>
  </si>
  <si>
    <t>No hay integración</t>
  </si>
  <si>
    <t>3 ó más</t>
  </si>
  <si>
    <t>1 a 2 integraciones</t>
  </si>
  <si>
    <t>Reutilización
&lt; 20%</t>
  </si>
  <si>
    <t>Reusabilidad de solución</t>
  </si>
  <si>
    <t>Número de integraciones entre sistemas — tipo API, Batch, Evento, Archivo, MQ, SOAP o REST.</t>
  </si>
  <si>
    <t>Calificación de Integraciones</t>
  </si>
  <si>
    <t>Calificación Pantallas Asociadas</t>
  </si>
  <si>
    <t>Calificación Criterios de Aceptación</t>
  </si>
  <si>
    <t>Score = (# de Integraciones × 30%) + (Impacto Solución × 25%) + (Reusabilidad de solución × 20%) + (CA × 15%) + (PA × 10%)</t>
  </si>
  <si>
    <t>Requiere simultáneamente:
1) Cambios funcionales dentro de una aplicación.
2) Creación de nuevas integraciones o modificaciones de integraciones existentes.
Pregunta guia--&gt; ¿La funcionalidad requiere cambios en la experiencia o proceso de negocio y además intercambio de información entre sistemas? Si la respuesta es sí, estamos ante una HU de Solución + Integración.</t>
  </si>
  <si>
    <t>La funcionalidad requerida ya está disponible y puede utilizarse sin realizar configuraciones relevantes ni desarrollos adicionales para R4.Esto incluye dos escenarios:
-Funcionalidad estándar de la plataforma: la capacidad ya existe de forma nativa en la solución.
-Funcionalidad ya desarrollada en releases previos:Aunque originalmente requirió desarrollo, dicho desarrollo ya existe y puede reutilizarse en R4 sin cambios adicionales</t>
  </si>
  <si>
    <r>
      <t xml:space="preserve">La funcionalidad existe en la plataforma, pero requiere parametrización o ajustes de configuración para adaptarla a las necesidades de R4. No es necesario desarrollar software nuevo, lo que cambia son los parámetros, reglas o datos maestros
</t>
    </r>
    <r>
      <rPr>
        <u/>
        <sz val="9"/>
        <color rgb="FF0D1B2A"/>
        <rFont val="Arial"/>
        <family val="2"/>
      </rPr>
      <t>Ejemplos</t>
    </r>
    <r>
      <rPr>
        <sz val="9"/>
        <color rgb="FF0D1B2A"/>
        <rFont val="Arial"/>
        <family val="2"/>
      </rPr>
      <t>: parametrización de productos, configuración de tarifas/límites/perfiles/catálogos, configuración de reglas ya soportadas por la plataforma</t>
    </r>
  </si>
  <si>
    <t>Nuevo Desarrollo &lt;20%</t>
  </si>
  <si>
    <t xml:space="preserve">Se requiere construir capacidades nuevas que actualmente no existen en la plataforma y que no pueden resolverse mediante configuración.
La plataforma necesita código nuevo para satisfacer el requerimiento.
</t>
  </si>
  <si>
    <t>Una Historia de Usuario se clasifica como Desarrollo + Configuración cuando requiere simultáneamente:
 - Construcción de nuevas capacidades.
 - Parametrización de funcionalidades.
 - Configuración de productos o reglas.
 - Ajustes de la solución para habilitar el funcionamiento final.</t>
  </si>
  <si>
    <t>Basado en reglas que involucran número de integraciones, impacto y reusabilidad de la solución, número de pantallas y criterios de aceptación de la solución.
Ver pestaña "Scoring Complejidad" donde se describe la lógica de estas reglas</t>
  </si>
  <si>
    <t># de Pantallas (nuevas o modificadas)</t>
  </si>
  <si>
    <t>Nº de pantallas o vistas UI impactadas (nuevas o modificadas) por la HU.</t>
  </si>
  <si>
    <t xml:space="preserve">Nº de criterios de aceptación documentados en la HU. </t>
  </si>
  <si>
    <t>Reusabilidad de Solución</t>
  </si>
  <si>
    <t>06/07/206</t>
  </si>
  <si>
    <t>20/07/206</t>
  </si>
  <si>
    <t>21/07/206</t>
  </si>
  <si>
    <t>04/09/206</t>
  </si>
  <si>
    <t>17/08/206</t>
  </si>
  <si>
    <t>30/10/206</t>
  </si>
  <si>
    <t>Integración</t>
  </si>
  <si>
    <t>Reutilización parcial 30-70%</t>
  </si>
  <si>
    <t>Solución e Integración</t>
  </si>
  <si>
    <t>Wont</t>
  </si>
  <si>
    <t>App, SIWEB,SPEI</t>
  </si>
  <si>
    <t>No aplica diseño</t>
  </si>
  <si>
    <t>Negocio ya ha enviado correo confirmando que puede no considerarse para release 4. No aplica diseño</t>
  </si>
  <si>
    <t>1 criterio</t>
  </si>
  <si>
    <t>2 – 3 criterios</t>
  </si>
  <si>
    <t>&gt; 3 criterios</t>
  </si>
  <si>
    <t>Sin pantallas</t>
  </si>
  <si>
    <t>1 – 2 pantallas</t>
  </si>
  <si>
    <t>&gt; 2 pantallas</t>
  </si>
  <si>
    <t>Considerar desarrollo E2E para que SmartVista envíe la notificación al resto de los canales</t>
  </si>
  <si>
    <t>SMART-4219</t>
  </si>
  <si>
    <t>SMART-3964</t>
  </si>
  <si>
    <t>SMART-4226</t>
  </si>
  <si>
    <r>
      <t xml:space="preserve">Diseño </t>
    </r>
    <r>
      <rPr>
        <sz val="9"/>
        <color theme="1"/>
        <rFont val="Calibri"/>
        <family val="2"/>
        <scheme val="minor"/>
      </rPr>
      <t>(DTM, DTC , certificaciones Diagramas de flujo)</t>
    </r>
  </si>
  <si>
    <t>29/06/206</t>
  </si>
  <si>
    <t>HU Prioridad 1
Diseño: Diagramas de flujo de solución.
Se utilizaran integraciones actuales</t>
  </si>
  <si>
    <r>
      <t xml:space="preserve">Analisis </t>
    </r>
    <r>
      <rPr>
        <sz val="9"/>
        <color theme="1"/>
        <rFont val="Calibri"/>
        <family val="2"/>
        <scheme val="minor"/>
      </rPr>
      <t>(DEF, Mesas Trabajo, Refinamiento, VoBo)</t>
    </r>
  </si>
  <si>
    <t>Convivencia en Home de Cuentas TDC F&amp;D</t>
  </si>
  <si>
    <t>Encendido y Apagado TDC Física y Digital</t>
  </si>
  <si>
    <t>Encendido, Apagado y Bloqueo Operativo - Tarjeta de Crédito Digital (Originación Apolo)</t>
  </si>
  <si>
    <t>Encendido, Apagado y Bloqueo Operativo - Tarjeta de Crédito Física (Originación Apolo)</t>
  </si>
  <si>
    <t>Encendido, Apagado y Bloqueo Operativo - Tarjeta de Crédito Física (Originación Legado)</t>
  </si>
  <si>
    <t>14/08/206</t>
  </si>
  <si>
    <t>SMART-3963</t>
  </si>
  <si>
    <t>Tarjetas Asociadas Física y Digital</t>
  </si>
  <si>
    <t>SMART-3966</t>
  </si>
  <si>
    <t>Activación de TDC Digital</t>
  </si>
  <si>
    <t>SMART-3962</t>
  </si>
  <si>
    <t>Detalle de crédito convivencia TDC F&amp;D</t>
  </si>
  <si>
    <t>Criterios de aceptación con posible actualización
Fecha tentativa de implementación por confirmar por impacto en retraso de HUs anteriores</t>
  </si>
  <si>
    <t>Fecha tentativa de implementación por confirmar por impacto en retraso de HUs anteriores</t>
  </si>
  <si>
    <t>Automatización de Maquila</t>
  </si>
  <si>
    <t>Homologación omnicanal de comisiones</t>
  </si>
  <si>
    <t>Control de saldo a favor</t>
  </si>
  <si>
    <t>Autoservicio TDC en IVR</t>
  </si>
  <si>
    <t>Identificación y autenticación en ICCAT</t>
  </si>
  <si>
    <t>Gestión de tarjetas desde CAT</t>
  </si>
  <si>
    <t>Operación de compras diferidas en sucursal</t>
  </si>
  <si>
    <t>Control de saldo a favor en caja</t>
  </si>
  <si>
    <t>PTCSF-6267</t>
  </si>
  <si>
    <t>Actualizar operaciones TDC Digital en una misma sesión</t>
  </si>
  <si>
    <t xml:space="preserve">Visualización y aplicación de montos de pago en Línea TDC </t>
  </si>
  <si>
    <t>SMART-4182</t>
  </si>
  <si>
    <t>Gestión del campo "Otra cantidad" basado en el límite de saldo a favor</t>
  </si>
  <si>
    <t>SMART-4183</t>
  </si>
  <si>
    <t>Movimientos Convivencia TDC F&amp;D</t>
  </si>
  <si>
    <t>SMART-4176</t>
  </si>
  <si>
    <t>Detalle de Movimientos Convivencia TDC F&amp;D</t>
  </si>
  <si>
    <t>SMART-4180</t>
  </si>
  <si>
    <t>SMART-4278</t>
  </si>
  <si>
    <t>SMART-4105</t>
  </si>
  <si>
    <t>Ramsés clasificó esta HU como SHOULD dado que no es bloqueante para la operación principal. Es candidata a diferirse al R4.1 si hay presión de tiempos en la implementación.</t>
  </si>
  <si>
    <t>Integraciones por revisar en siguiente sesión con equipo de SMARTVISTA y APIFICACIÓN - Daniela Viridiana Ramirez Perez (Coppel), Armando Garcia y DTMs
Dependencia en fechas de diseño- por confirmar si Appwhere estará elaborando DTMs
Dependencia en fechas de implementación de DTMs
Prompt existe para legado pero no para SMARTVISTA- lo que se tiene que hacer son las APIs para el consumo de SMARTVISTA
10 semanas de implementación de la solución a partir de la entrega de DTMs y APIs</t>
  </si>
  <si>
    <t>Notificación activación o elimnación de Tarjeta Digital BanCoppel</t>
  </si>
  <si>
    <t>Eliminación de TDC Digital</t>
  </si>
  <si>
    <t>Límite de saldo a favor para pago de TDC en la aplicación móvil</t>
  </si>
  <si>
    <t>Dependencia DTMs</t>
  </si>
  <si>
    <t>Fechas de implementación dependientes de proceso de contratación del proveedor nuevo (15 de Septiembre); Onboarding y habilitación de proveedor aproximado de 4 semanas. Pendiente revisar proveedor
Fecha de fin de análisis pendiente de validar por Ramses Santos; Fechas de diseño e implementación dependientes de cierre de análisis y contratación de proveedor
Consulta de clientes y cuentas - integraciones
Considerar en etapas de diseño - certificación de arquitectura
Fechas DTMS/ DTCs Appwhere - Alfredo</t>
  </si>
  <si>
    <t>Fechas DTMS/ DTCs Appwhere - Alfredo</t>
  </si>
  <si>
    <t>Se esta validando con negocio- el tema normativo relacionado con la reutilización 
Fechas DTMS/ DTCs Appwhere - Alfredo</t>
  </si>
  <si>
    <t>05/082026</t>
  </si>
  <si>
    <t>Cambio a nivel de headers. 
HU que se dejo como backlog en R3- Finalizo en el R3
Análisis y diseño ya completado</t>
  </si>
  <si>
    <t>Completado en R3</t>
  </si>
  <si>
    <t xml:space="preserve">Utiliza la integración de API CAMBIOS en detalle de TDC Rec_retrieveCreditCardStatement: Misma API que SMART-3962
Fechas tentativas de implementación </t>
  </si>
  <si>
    <t xml:space="preserve">Fechas tentativas de implementación </t>
  </si>
  <si>
    <t xml:space="preserve">ID Pendiente en Jira
Utiliza la integración de API CAMBIOS en detalle de TDC Rec_retrieveCreditCardStatement: Misma API que SMART-3962
Fechas tentativas de implementación </t>
  </si>
  <si>
    <t>Historia de usuario considerada en R4.5 - alineado con negocio
De momento es una integración pero podría haber modificación en 2 APIs
Criterios de aceptación en revisión</t>
  </si>
  <si>
    <t>Notificación de activación Tarjeta Digital BanCoppel</t>
  </si>
  <si>
    <t>La notifiación de eliminación se va a R4.5
ID de Jira para notifiación de activivación pendiente
Pendiente validación de fechas con equipo de API-SAID</t>
  </si>
  <si>
    <t>Criterios de aceptación con posible actualización
Historia de usuario considerada en R4.5 - alineado con negocio
Validar reutilización de reusabilidad- dependencia en pantallas</t>
  </si>
  <si>
    <t>Pendiente de definición de Sprint</t>
  </si>
  <si>
    <t xml:space="preserve">Las trabaja SmartVista no requieren pruebas integrales porque hasta el siguiente R se liberan
Criterio de aceptación tener la transacción en SMARTVISTA
</t>
  </si>
  <si>
    <t>Certificación de layouts y llaves de PGP- Diseño
Con tiempos controlados de desarrollo de la HU
Considerar 15 días menos de implementación como supuesto de reducción de alcance a un solo proveedor (proveedor prioritario) de maquila.
Considerar que Pruebas de maquila son independientes y no van por la ruta crítica</t>
  </si>
  <si>
    <t>Considerar 15 días menos de implementación como supuesto de reducción de alcance a un solo proveedor (proveedor prioritario) de maquila.
Considerar que Pruebas de maquila son independientes y no van por la ruta crítica</t>
  </si>
  <si>
    <t>Mayor complejidad para llegar a tiempo en fin de análisis
Considerar 15 días menos de implementación como supuesto de reducción de alcance a un solo proveedor (proveedor prioritario) de maquila.
Considerar que Pruebas de maquila son independientes y no van por la ruta crítica</t>
  </si>
  <si>
    <t>Con tiempos controlados de desarrollo de la HU. Complejidad posterior podría estar en tiempos de llaves
Integraciones archivo se baja a on premise y tarea programada que se manda a proveedor a través del canal seguro
Considerar 15 días menos de implementación como supuesto de reducción de alcance a un solo proveedor (proveedor prioritario) de maquila.
Considerar que Pruebas de maquila son independientes y no van por la ruta crítica</t>
  </si>
  <si>
    <t>Disposición de efectivo - APP</t>
  </si>
  <si>
    <t>Pagos anticipados y Liquidaciones de compras diferidas</t>
  </si>
  <si>
    <t>Pantalla "Detalle de tu tarjeta de crédito" accesible desde el home de cuentas. Muestra información de crédito utilizado, fecha de corte, crédito disponible, crédito total, botonera dinámica y movimientos de los últimos 30 días. El comportamiento visual de la sección "Crédito utilizado" cambia dinámicamente según el estado de pago del cliente.</t>
  </si>
  <si>
    <t>1. Cuenta corriente: aplica cuando fecha actual es previa a fecha de corte. 2. Pago para no generar intereses: periodo posterior a corte, antes de fecha límite de pago. 3. Pago realizado: cliente pagó a tiempo y antes de fecha límite. 4. Saldo a favor: pago superior al total adeudado — saldo positivo se aplica a futuras compras. 5. Pago vencido: genera intereses moratorios al 5.5% mensual, bloquea la tarjeta y afecta historial en buró.</t>
  </si>
  <si>
    <t>Cliente BanCoppel con TDC Física y/o Digital activa</t>
  </si>
  <si>
    <t>Pantalla "Tarjeta física" accesible desde "Mis tarjetas". Muestra datos de la TDC física originada por canal Apolo: número de tarjeta, CLABE, fecha de vencimiento, estado (activa/bloqueada), switch encendido/apagado y restricción de CVV dinámico (no aplica para plásticos físicos Apolo).</t>
  </si>
  <si>
    <t>1. Switch de estado: al alternarlo activa el flujo de encendido/apagado de TDC Física y Digital (ver SMART-3965). 2. CVV dinámico NO aplica para plásticos físicos del canal Apolo — al pie de pantalla solo se muestra texto fijo, sin botón de generación. 3. Número de tarjeta: 16 dígitos, copiable al portapapeles. 4. CLABE: 18 dígitos, copiable al portapapeles. 5. Bloqueo operativo se indica con ícono de prohibición en amarillo; bloqueo temporal con ícono de apagado gris.</t>
  </si>
  <si>
    <t>Cliente BanCoppel con tarjeta de crédito física del canal Apolo</t>
  </si>
  <si>
    <t>Pantalla "Mis tarjetas asociadas" accesible desde el home de cuentas o desde el detalle de TDC. Muestra en un solo módulo la TDC Física y la TDC Digital del cliente con su estatus individual, permitiendo navegar al detalle de gestión de cada una mediante chevron de acción.</t>
  </si>
  <si>
    <t>Flujo de encendido/apagado de TDC Física y/o Digital activado desde el switch en Gestión de TDC Digital. Presenta diálogo de confirmación con implicaciones del apagado y actualiza el ícono de estado en home de cuentas y en "Mis tarjetas" según la combinación activa del cliente.</t>
  </si>
  <si>
    <t>Flujo de encendido/apagado de TDC Física y/o Digital activado desde el switch en Gestión de Tarjeta Física. Presenta diálogo de confirmación con implicaciones del apagado y actualiza el ícono de estado en home de cuentas y en "Mis tarjetas" según la combinación activa del cliente.</t>
  </si>
  <si>
    <t>Flujo de encendido/apagado de TDC Física y/o Digital activado desde el switch en Gestión de Tarjeta Física. Presenta diálogo de confirmación con implicaciones del apagado y actualiza el ícono de estado en home de cuentas y en "Mis tarjetas" según la combinación activa del cliente. (Legado)</t>
  </si>
  <si>
    <t>1. Si el cliente solo tiene TDC Física activa, esa es la que usa para acceder al detalle. 2. Si el cliente solo tiene TDC Digital activa, esa es la que usa. 3. Cada tarjeta muestra su propio indicador de estatus (Activa / Apagada / Inactiva / Bloqueada por Fraude / Bloqueo operativo). 4. TDC Digital bloqueada por fraude redirige al mapa de sucursales. 5. TDC Digital Inactiva muestra badge "Nuevo" y botón de activación.</t>
  </si>
  <si>
    <t>1. El encendido/apagado refleja el estado en home de cuentas de acuerdo a la combinación de tarjetas activa al momento. 2. Al apagar: pagos automáticos (domiciliaciones) continúan procesándose. 3. Al apagar: la tarjeta no puede usarse para compras ni retiros. 4. El cliente puede reencender la tarjeta en cualquier momento.</t>
  </si>
  <si>
    <t>Cliente BanCoppel con TDC Física y/o Digital</t>
  </si>
  <si>
    <t>Cliente BanCoppel con TDC Digital</t>
  </si>
  <si>
    <t>Cliente BanCoppel con TDC Física</t>
  </si>
  <si>
    <t>Flujo de activación de TDC Digital desde "Mis tarjetas asociadas". Al detectar una TDC Digital en estado "disponible para activar", muestra un toaster con CTA "Activar ahora" que invoca el flujo de Token Digital. Una vez activada exitosamente, la tarjeta se refleja como activa en "Mis tarjetas" y en el home de cuentas.</t>
  </si>
  <si>
    <t>1. El card de activación solo se muestra si existe TDC Digital en estado "disponible para activar" (empty state). 2. La activación requiere validación mediante flujo de Token Digital. 3. Si el flujo de Token Digital falla (error, timeout o cancelación), la TDC Digital no se activa y el estado de la pantalla no cambia. 4. Al cancelar ("Activar en otro momento"), el toaster se oculta pero el card de activación con badge "nueva" permanece visible. 5. Activación exitosa: TDC Digital visible como activa en "Mis tarjetas" y en home de cuentas.</t>
  </si>
  <si>
    <t>Cliente BanCoppel con TDC Digital disponible para activar</t>
  </si>
  <si>
    <t>Envío automático de correo electrónico de confirmación al cliente tras completar exitosamente el flujo de activación de su TDC Digital. Incluye template diferenciado por evento: "Tarjeta de crédito digital activada", con detalle de la operación.</t>
  </si>
  <si>
    <t>1. El correo se dispara únicamente tras completar exitosamente el flujo de activación. 2. Asunto de activación: "Activación App BanCoppel". 3. El cuerpo del correo incluye: nombre del cliente, nombre de la tarjeta, canal (App BanCoppel), folio, fecha y hora de la operación.</t>
  </si>
  <si>
    <t xml:space="preserve">Cliente BanCoppel con TDC Digital </t>
  </si>
  <si>
    <t>Sección "Movimientos del periodo actual" dentro de la pantalla "Detalle de tu tarjeta de crédito". Muestra el historial de movimientos de la TDC Física y/o Digital del cliente desde el día de consulta hasta 30 días posteriores, con nombre, fecha y monto de cada transacción.</t>
  </si>
  <si>
    <t>1. Movimientos del periodo: desde el día de la consulta hasta 30 días posteriores. 2. Cargos se muestran con signo negativo; abonos con signo positivo. 3. Movimientos en retención muestran badge amarillo con leyenda "En proceso". 4. Si no hay movimientos en el periodo, se muestra leyenda "Sin movimientos".</t>
  </si>
  <si>
    <t>Pantalla "Detalle del movimiento" accesible al hacer tap sobre cualquier movimiento desde el historial de la TDC. Muestra el desglose completo de la transacción: monto, concepto, fecha, referencia, saldo y leyenda de aclaración. Incluye botón para compartir el detalle como imagen.</t>
  </si>
  <si>
    <t>1. Cargos se muestran con signo negativo; abonos con signo positivo. 2. Movimiento con saldo retenido mantiene la misma estructura de pantalla que movimiento normal. 3. La leyenda de aclaración indica el número 55 9500 0002 y el plazo de 90 días para solicitarla. 4. El botón compartir exporta el detalle en formato imagen.</t>
  </si>
  <si>
    <t>Actualización en tiempo real de los campos de pago (pago mínimo, pago para no generar intereses y saldo a la fecha) en la pantalla "Detalle de TDC" tras realizar uno o más pagos desde la app. Los montos se recalculan y reflejan inmediatamente al completarse el pago.</t>
  </si>
  <si>
    <t>1. El crédito debe haber pasado por proceso de corte para que apliquen los montos de pago. 2. Los montos (pago mínimo, pago para no generar intereses, saldo a la fecha) se actualizan en tiempo real tras cada pago. 3. Saldo a favor: se muestra con valor negativo en "Saldo a la fecha". 4. El monto a favor no debe rebasar $15,000 cuando la línea de crédito es ≤ $24,999; ni el 20% del crédito cuando la línea rebasa $25,000.</t>
  </si>
  <si>
    <t>Cliente BanCoppel con TDC activa</t>
  </si>
  <si>
    <t>Pantalla "Tarjeta digital" accesible desde "Mis tarjetas". Permite al cliente visualizar datos de su TDC Digital (número, CLABE, vencimiento), controlar el encendido/apagado mediante switch y generar un CVV dinámico con temporizador de expiración. El botón "Eliminar tarjeta digital" está excluido en esta primera liberación por dependencia de servicio backend.</t>
  </si>
  <si>
    <t>1. CVV dinámico requiere: tarjeta activa + geolocalización del dispositivo habilitada + bandera firebase show_generate_cvv = true. 2. Botón "Generar CVV" inhabilitado (gris) si la tarjeta tiene bloqueo temporal u operativo, o si ya hay un CVV visible con temporizador corriendo. 3. Al expirar el temporizador (0:00), el código se oculta y se rehabilita el botón. 4. Sin geolocalización activa: alerta diferenciada por SO (iOS: ID:000264 / Android: ID:000257). 5. Fallo en servicio CVV: alerta con ID:000031.</t>
  </si>
  <si>
    <t>App — canal Apolo</t>
  </si>
  <si>
    <t>Cliente BanCoppel con TDC Digital originada por canal Apolo</t>
  </si>
  <si>
    <t>Pantalla "Tarjeta física" accesible desde el Dashboard para clientes con TDC Física originada en Legado. Permite visualizar datos de la tarjeta (número, CLABE, vencimiento), controlar encendido/apagado mediante switch y generar CVV dinámico con temporizador. Equivalente funcional de SMART-4219 pero para el canal Legado.</t>
  </si>
  <si>
    <t>1. CVV dinámico aplica también a TDC Física Legado con las mismas condiciones: geolocalización activa + bandera show_generate_cvv = true. 2. Botón "Generar CVV" inhabilitado con bloqueo temporal u operativo. 3. Nombre de la tarjeta se toma dinámicamente de la base de datos (ej: "TARJETA DE CREDITO BANCOPPEL ORO"). 4. Switch activa flujo SMART-3965 (Encendido/Apagado)</t>
  </si>
  <si>
    <t>App BanCoppel — canal Legado</t>
  </si>
  <si>
    <t>Cliente productivo BanCoppel con TDC Física Legado</t>
  </si>
  <si>
    <t>Flujo de eliminación de TDC Digital desde la pantalla "Gestión de Tarjeta Digital". El cliente desliza un slider para confirmar la eliminación mediante Token Digital. Al completarse exitosamente, se elimina la tarjeta, se envía correo de comprobante y se habilita automáticamente una nueva TDC Digital para activar.</t>
  </si>
  <si>
    <t>1. Solo aplica a TDC Digital — no es posible eliminar una TDC Física desde este módulo. 2. Límite de 2 eliminaciones de TDC Digital por mes; al alcanzarlo, la operación no procede. 3. Si la TDC Digital tiene domiciliaciones o pagos automáticos, la app debe validarlo antes de proceder. 4. La confirmación requiere completar el flujo de Token Digital (slider); si falla, la tarjeta no se elimina. 5. Tras eliminación exitosa: se disponibiliza automáticamente una nueva TDC Digital para activar.</t>
  </si>
  <si>
    <t>Cliente BanCoppel con TDC Digital activa</t>
  </si>
  <si>
    <t>SMART-4531</t>
  </si>
  <si>
    <t>Card de TDC en el Home de Cuentas de la App BanCoppel que muestra dinámicamente la convivencia entre TDC Física y Digital. El card adapta su apariencia (color, íconos, datos mostrados) según el estado y combinación de tarjetas activas del cliente en ese momento. Al hacer tap navega al detalle de la TDC (SMART-3962).</t>
  </si>
  <si>
    <t>1. Aplica para TDC con BIN 42680711, número de producto 4900, o migradas a SmartVista. 2. El card muestra el estado de convivencia F&amp;D en la esquina inferior derecha mediante íconos: círculo amarillo = activa, ícono apagado = bloqueo temporal/operativo, ícono bloqueo = inactiva. 3. Card azul cuando al menos una tarjeta está activa/encendida; card gris cuando ambas están apagadas o inactivas. 4. Solo digital encendida: muestra últimos 4 dígitos enmascarados y vigencia de la TDC Digital. 5. Solo física encendida o apagada: muestra últimos 4 dígitos enmascarados y vigencia de la TDC Física.</t>
  </si>
  <si>
    <t>Cliente BanCoppel con al menos una TDC activa (Física o Digital)</t>
  </si>
  <si>
    <t>ID pendiente, pendiente de creación en JIRA - ID funcionalidad en relación 3965
Fechas de implementación impactado por las dependencias de definiciones de UX, ambientes de ambiente de desarrollo, sin enrolamiento semana y media de las 3 primeras Hus (4219,3964,4226)</t>
  </si>
  <si>
    <r>
      <t xml:space="preserve">ID pendiente, pendiente de creación en JIRA  / ID funcionalidad en relación 3965
Fechas de implementación impactado por las dependencias de definiciones de UX, ambientes de ambiente de desarrollo, sin enrolamiento semana y media de las 3 primeras Hus (4219,3964,4226)
</t>
    </r>
    <r>
      <rPr>
        <b/>
        <sz val="9"/>
        <color rgb="FF000000"/>
        <rFont val="Arial"/>
        <family val="2"/>
      </rPr>
      <t>Pendiente de fechas de implementación - Guissel Gomez</t>
    </r>
  </si>
  <si>
    <r>
      <t xml:space="preserve">ID pendiente, pendiente de creación en JIRA  / ID funcionalidad en relación 3965
Criterios de aceptacion pendientes por dependencia de UX
Fechas de implementación impactado por las dependencias de definiciones de UX, ambientes de ambiente de desarrollo, sin enrolamiento semana y media de las 3 primeras Hus (4219,3964,4226)
</t>
    </r>
    <r>
      <rPr>
        <b/>
        <sz val="9"/>
        <color rgb="FF000000"/>
        <rFont val="Arial"/>
        <family val="2"/>
      </rPr>
      <t xml:space="preserve">Pendiente de fechas de implementación - Guissel Gomez
</t>
    </r>
  </si>
  <si>
    <t xml:space="preserve">No aplica diseño.  3 integraciones consideradas en el alcance de pruebas de regresión pero no como nuevo desarrollo porque ya vienen de releases anteriores- </t>
  </si>
  <si>
    <t>Validación en la App Móvil que impide realizar un pago de TDC cuando el monto resultante generaría un saldo a favor que excede los límites permitidos, mostrando una alerta al cliente y bloqueando la transacción.</t>
  </si>
  <si>
    <t>1. Línea de crédito ≤ $24,999: el saldo a favor no puede rebasar $15,000. 2. Línea de crédito ≥ $25,000: el saldo a favor no puede rebasar el 20% del crédito total. 3. Si el pago excede el límite: la app bloquea la transacción y muestra alerta al cliente.</t>
  </si>
  <si>
    <t>Corrección técnica en la App Móvil para permitir realizar más de un pago de TDC dentro de la misma sesión activa.Actualmente el segundo intento de pago en la misma sesión falla con error HTTP 500.</t>
  </si>
  <si>
    <t>1.El cliente debe poder realizar múltiples pagos de TDC en una misma sesión activa sin restricción de frecuencia por sesión.</t>
  </si>
  <si>
    <t>HDU-SMART-R4-22</t>
  </si>
  <si>
    <t>Mensaje homologado exacto al rechazar pagos/depósitos por límite de saldo a favor: 'No se puede completar la transacción.' Aplica en App, SIWEB, ATM, BPI y SPEI/corresponsales.</t>
  </si>
  <si>
    <r>
      <t xml:space="preserve">Solicitudes de normatividad; Una integración por canal App, SIWEB, EDC, Smartvista
</t>
    </r>
    <r>
      <rPr>
        <b/>
        <sz val="9"/>
        <color rgb="FF000000"/>
        <rFont val="Arial"/>
        <family val="2"/>
      </rPr>
      <t>Pendiente verificación de fechas de DTM- equipo APIFICACIÓN</t>
    </r>
  </si>
  <si>
    <r>
      <t xml:space="preserve">Solicitudes de normatividad.
Se parte de una base de APIs existentes en los canales SIWEB y App; IVR y CAT no requieren la homologación
</t>
    </r>
    <r>
      <rPr>
        <b/>
        <sz val="9"/>
        <color rgb="FF000000"/>
        <rFont val="Arial"/>
        <family val="2"/>
      </rPr>
      <t xml:space="preserve">Pendiente verificación de fechas de Diseño (DTMs) e implementación - equipo APIFICACIÓN  (Juan Carlos Valenzuela y Oscar Melo) asignados como responsables 7-Agosto
</t>
    </r>
    <r>
      <rPr>
        <sz val="9"/>
        <color rgb="FF000000"/>
        <rFont val="Arial"/>
        <family val="2"/>
      </rPr>
      <t>Dependencia para generar DTMs insumos: Catalogo de reglas de negocio, errores, dependencias, diagrama funcional</t>
    </r>
  </si>
  <si>
    <t>Diferemiento de compra a MCI</t>
  </si>
  <si>
    <t xml:space="preserve">Análisis y pruebas de comfort de las 88 reglas se trabaja en ciclos; Depende de ventana de pruebas con Eglobal , quien ejecuta esas reglas de confort y los resultados se comparten con negocio. Punto pendiente: seguimiento proceso de pruebas de Eglobal ; 
Dependencia con BPC para desarrollo y configuración de nuevas reglas, con fechas mostradas en las columnas de Implementación
No aplica diseño porque BPC es el que hace el desarrollo y configuración, no SmartVista. 
</t>
  </si>
  <si>
    <t xml:space="preserve">Prospecto no esta considerado en el alcance de R4 - pendiente validar </t>
  </si>
  <si>
    <t>Marcaje digital para métricas de funnel</t>
  </si>
  <si>
    <t>Should informativo, valor de experiencia hacia el cliente como negocio</t>
  </si>
  <si>
    <t>* Revisión de # de pantallas - Cecilia De Leon Modyo
* Validar reusabilidad con Modyo</t>
  </si>
  <si>
    <t>Should porque no rompen el flujo del onboarding
No aplica diseño porque son cambios sencillos que no necesitan requerimientos técnicos</t>
  </si>
  <si>
    <t>Es Must porque es un tema legal
No aplica diseño porque son cambios sencillos que no necesitan requerimientos técnicos</t>
  </si>
  <si>
    <r>
      <t xml:space="preserve">*Validar pantallas asociadas con Modyo
*Son cambios en front sencillos por eso no aplica diseño
</t>
    </r>
    <r>
      <rPr>
        <b/>
        <sz val="9"/>
        <color rgb="FF000000"/>
        <rFont val="Arial"/>
        <family val="2"/>
      </rPr>
      <t>*Fechas propuestas por Modyo. Pendiente validar fechas de implementación con Modyo</t>
    </r>
  </si>
  <si>
    <r>
      <t xml:space="preserve">*Validar pantallas asociadas con Modyo
*Son cambios en front sencillos por eso no aplica diseño
</t>
    </r>
    <r>
      <rPr>
        <b/>
        <sz val="9"/>
        <color rgb="FF000000"/>
        <rFont val="Arial"/>
        <family val="2"/>
      </rPr>
      <t>*Fechas propuestas por Modyo.Pendiente validar fechas de implementación con Modyo</t>
    </r>
  </si>
  <si>
    <t>Va al servicio de name matching- cambio de back
*Detalle de integración por validar con equipo de API (Oscar Melo)</t>
  </si>
  <si>
    <t>Ya existe el servicio, simplemente es agregar la integración</t>
  </si>
  <si>
    <t>*Validar con Oscar Melo número de integraciones</t>
  </si>
  <si>
    <t>Por validar</t>
  </si>
  <si>
    <t>Pendiente</t>
  </si>
  <si>
    <t>Should- pendiente por validar si es regulatorio. Información de perfilamiento
*Pediente validar # de integraciones con Oscar Melo</t>
  </si>
  <si>
    <t>*Ya existe, solo se esta modificando sobre una integración existente</t>
  </si>
  <si>
    <t>Should porque es marcación digital
* Validar pantallas con Modyo
*Pendiente validar con Modyo y UX/UI</t>
  </si>
  <si>
    <t>SmartVista procesa y autoriza solicitudes de disposición de efectivo desde App BanCoppel, aplica comisión e IVA según producto, y refleja el movimiento en el saldo de la TDC transfiriendo el monto a la cuenta de captación vinculada.</t>
  </si>
  <si>
    <t>1. Tener la transacción en SMART VISTA</t>
  </si>
  <si>
    <t xml:space="preserve">
Dependencia de APIs con SIWEB para pruebas integrales - DTMs son dependencia de SIWEB, Smart Vista solo disponibiliza
No aplica diseño porque directamente lo implementa BPC con los requerimientos.</t>
  </si>
  <si>
    <t xml:space="preserve">Reutilización de APIs de R4-19 , validar con los DTMs que se generen para entender reutilización.
Dependencia de APIs con SIWEB para pruebas integrales - DTMs son dependencia de SIWEB, Smart Vista solo disponibiliza
No aplica diseño porque directamente lo implementa BPC con los requerimientos. </t>
  </si>
  <si>
    <t>Reutilización de APIs de R4-19 , validar con los DTMs que se generen para entender reutilización.
Dependencia de APIs con SIWEB para pruebas integrales - DTMs son dependencia de SIWEB, Smart Vista solo disponibiliza
No aplica diseño porque directamente lo implementa BPC con los requerimientos.</t>
  </si>
  <si>
    <t>SMART-4280</t>
  </si>
  <si>
    <t>No impacta desde la perspectiva operativa pero es muy relevante desde el punto de vista comercial
Análisis extenso en fechas por impacto en contabilidad y revisiones financieras.
No aplica diseño porque directamente lo implementa BPC con los requerimientos. Fecha 27 de noviembre es la más pesimista y se podría acortar
Las trabaja SmartVista no requieren pruebas integrales porque hasta el siguiente R se libera conexión con canales</t>
  </si>
  <si>
    <t>No impacta desde la perspectiva operativa pero es muy relevante desde el punto de vista comercial
Análisis extenso en fechas por impacto en contabilidad y revisiones financieras.
No aplica diseño porque directamente lo implementa BPC con los requerimientos. Fecha 27 de noviembre es la más pesimista y se podría acortar
Las trabaja SmartVista no requieren pruebas integrales porque hasta el siguiente R se libera   conexión con canales</t>
  </si>
  <si>
    <t>Fecha Fin+J1:ABW1:AB2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</si>
</sst>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0">
    <font>
      <sz val="11"/>
      <color theme="1"/>
      <name val="Calibri"/>
      <family val="2"/>
      <charset val="1"/>
    </font>
    <font>
      <b/>
      <sz val="9"/>
      <color rgb="FFFFFFFF"/>
      <name val="Arial"/>
      <charset val="1"/>
    </font>
    <font>
      <b/>
      <sz val="8"/>
      <color rgb="FFFFFFFF"/>
      <name val="Arial"/>
      <charset val="1"/>
    </font>
    <font>
      <sz val="8"/>
      <color rgb="FF000000"/>
      <name val="Arial"/>
      <charset val="1"/>
    </font>
    <font>
      <b/>
      <sz val="8"/>
      <color rgb="FFC8102E"/>
      <name val="Arial"/>
      <charset val="1"/>
    </font>
    <font>
      <b/>
      <sz val="8"/>
      <color rgb="FF1A1A2E"/>
      <name val="Arial"/>
      <charset val="1"/>
    </font>
    <font>
      <b/>
      <sz val="8"/>
      <color rgb="FF7D6608"/>
      <name val="Arial"/>
      <charset val="1"/>
    </font>
    <font>
      <b/>
      <sz val="8"/>
      <color rgb="FF1E8449"/>
      <name val="Arial"/>
      <charset val="1"/>
    </font>
    <font>
      <sz val="11"/>
      <color rgb="FF000000"/>
      <name val="Calibri"/>
      <scheme val="minor"/>
    </font>
    <font>
      <b/>
      <sz val="11"/>
      <color theme="1"/>
      <name val="Helvetica Neue"/>
    </font>
    <font>
      <sz val="11"/>
      <color rgb="FF1155CC"/>
      <name val="Helvetica Neue"/>
    </font>
    <font>
      <sz val="11"/>
      <color theme="1"/>
      <name val="Calibri"/>
    </font>
    <font>
      <sz val="11"/>
      <color theme="1"/>
      <name val="Helvetica Neue"/>
    </font>
    <font>
      <sz val="11"/>
      <name val="Carlito"/>
    </font>
    <font>
      <sz val="10"/>
      <color rgb="FFFFFFFF"/>
      <name val="Carlito"/>
    </font>
    <font>
      <b/>
      <sz val="10"/>
      <color rgb="FFFFFFFF"/>
      <name val="Carlito"/>
    </font>
    <font>
      <b/>
      <sz val="11"/>
      <color rgb="FFFFFFFF"/>
      <name val="Carlito"/>
    </font>
    <font>
      <sz val="9"/>
      <color rgb="FF1F2937"/>
      <name val="Carlito"/>
    </font>
    <font>
      <b/>
      <sz val="9"/>
      <color rgb="FF1F2937"/>
      <name val="Carlito"/>
    </font>
    <font>
      <u/>
      <sz val="9"/>
      <color rgb="FF467886"/>
      <name val="Carlito"/>
    </font>
    <font>
      <u/>
      <sz val="9"/>
      <color rgb="FF1F1F1F"/>
      <name val="Carlito"/>
    </font>
    <font>
      <sz val="9"/>
      <color rgb="FF980000"/>
      <name val="Carlito"/>
    </font>
    <font>
      <b/>
      <sz val="9"/>
      <color rgb="FF980000"/>
      <name val="Carlito"/>
    </font>
    <font>
      <sz val="9"/>
      <color theme="1"/>
      <name val="Carlito"/>
    </font>
    <font>
      <b/>
      <sz val="9"/>
      <color theme="1"/>
      <name val="Carlito"/>
    </font>
    <font>
      <sz val="9"/>
      <color rgb="FF0000FF"/>
      <name val="Carlito"/>
    </font>
    <font>
      <b/>
      <sz val="9"/>
      <color rgb="FF0000FF"/>
      <name val="Carlito"/>
    </font>
    <font>
      <b/>
      <sz val="9"/>
      <color rgb="FFFF0000"/>
      <name val="Carlito"/>
    </font>
    <font>
      <sz val="11"/>
      <color theme="1"/>
      <name val="Carlito"/>
    </font>
    <font>
      <sz val="11"/>
      <color rgb="FFFF0000"/>
      <name val="Carlito"/>
    </font>
    <font>
      <b/>
      <sz val="11"/>
      <color rgb="FFFF0000"/>
      <name val="Carlito"/>
    </font>
    <font>
      <b/>
      <sz val="11"/>
      <color theme="1"/>
      <name val="Carlito"/>
    </font>
    <font>
      <sz val="11"/>
      <color rgb="FF000000"/>
      <name val="Carlito"/>
    </font>
    <font>
      <b/>
      <sz val="11"/>
      <color rgb="FF000000"/>
      <name val="Carlito"/>
    </font>
    <font>
      <b/>
      <sz val="8"/>
      <color theme="0"/>
      <name val="Arial"/>
      <family val="2"/>
    </font>
    <font>
      <b/>
      <sz val="8"/>
      <color rgb="FFFFFFFF"/>
      <name val="Arial"/>
      <family val="2"/>
    </font>
    <font>
      <i/>
      <sz val="8"/>
      <name val="Arial"/>
      <family val="2"/>
    </font>
    <font>
      <sz val="8"/>
      <name val="Arial"/>
      <family val="2"/>
    </font>
    <font>
      <b/>
      <sz val="26"/>
      <color theme="3"/>
      <name val="Arial"/>
      <family val="2"/>
    </font>
    <font>
      <b/>
      <sz val="11"/>
      <color rgb="FFFFFFFF"/>
      <name val="Arial"/>
      <family val="2"/>
    </font>
    <font>
      <b/>
      <sz val="9"/>
      <color rgb="FF0D1B2A"/>
      <name val="Arial"/>
      <family val="2"/>
    </font>
    <font>
      <sz val="9"/>
      <color rgb="FF0D1B2A"/>
      <name val="Arial"/>
      <family val="2"/>
    </font>
    <font>
      <b/>
      <sz val="9"/>
      <color theme="1"/>
      <name val="Arial"/>
      <family val="2"/>
    </font>
    <font>
      <sz val="11"/>
      <color theme="1"/>
      <name val="Arial"/>
      <family val="2"/>
    </font>
    <font>
      <b/>
      <sz val="11"/>
      <color theme="1"/>
      <name val="Arial"/>
      <family val="2"/>
    </font>
    <font>
      <sz val="11"/>
      <color theme="1"/>
      <name val="Calibri"/>
      <family val="2"/>
    </font>
    <font>
      <b/>
      <sz val="9"/>
      <color rgb="FFFFFFFF"/>
      <name val="Arial"/>
      <family val="2"/>
    </font>
    <font>
      <b/>
      <sz val="9"/>
      <color theme="1"/>
      <name val="Calibri"/>
      <family val="2"/>
      <scheme val="minor"/>
    </font>
    <font>
      <sz val="9"/>
      <color theme="1"/>
      <name val="Calibri"/>
      <family val="2"/>
      <scheme val="minor"/>
    </font>
    <font>
      <sz val="9"/>
      <color theme="1"/>
      <name val="Calibri"/>
      <family val="2"/>
      <charset val="1"/>
    </font>
    <font>
      <b/>
      <sz val="9"/>
      <color theme="0"/>
      <name val="Arial"/>
      <family val="2"/>
    </font>
    <font>
      <sz val="9"/>
      <color rgb="FF000000"/>
      <name val="Arial"/>
      <family val="2"/>
    </font>
    <font>
      <u/>
      <sz val="9"/>
      <color rgb="FF0D1B2A"/>
      <name val="Arial"/>
      <family val="2"/>
    </font>
    <font>
      <b/>
      <sz val="9"/>
      <color theme="0"/>
      <name val="Calibri"/>
      <family val="2"/>
    </font>
    <font>
      <b/>
      <sz val="10"/>
      <color rgb="FFFFFFFF"/>
      <name val="Arial"/>
      <family val="2"/>
    </font>
    <font>
      <i/>
      <sz val="9"/>
      <color rgb="FF000000"/>
      <name val="Arial"/>
      <family val="2"/>
    </font>
    <font>
      <b/>
      <sz val="9"/>
      <color rgb="FF000000"/>
      <name val="Arial"/>
      <family val="2"/>
    </font>
    <font>
      <b/>
      <sz val="10"/>
      <color rgb="FF000000"/>
      <name val="Arial"/>
      <family val="2"/>
    </font>
    <font>
      <b/>
      <sz val="11"/>
      <color rgb="FF922B21"/>
      <name val="Arial"/>
      <family val="2"/>
    </font>
    <font>
      <b/>
      <sz val="11"/>
      <color rgb="FF00B050"/>
      <name val="Arial"/>
      <family val="2"/>
    </font>
    <font>
      <b/>
      <sz val="11"/>
      <color rgb="FFFFC000"/>
      <name val="Arial"/>
      <family val="2"/>
    </font>
    <font>
      <b/>
      <sz val="9"/>
      <color rgb="FFFFFFFF"/>
      <name val="Arial"/>
    </font>
    <font>
      <b/>
      <sz val="9"/>
      <color theme="1"/>
      <name val="Calibri"/>
      <family val="2"/>
      <charset val="1"/>
    </font>
    <font>
      <sz val="9"/>
      <color rgb="FF1A1A2E"/>
      <name val="Arial"/>
      <family val="2"/>
    </font>
    <font>
      <sz val="9"/>
      <color rgb="FFFF0000"/>
      <name val="Arial"/>
      <family val="2"/>
    </font>
    <font>
      <sz val="9"/>
      <color theme="1"/>
      <name val="Arial"/>
      <family val="2"/>
    </font>
    <font>
      <sz val="9"/>
      <color rgb="FFFFFFFF"/>
      <name val="Arial"/>
      <family val="2"/>
    </font>
    <font>
      <sz val="9"/>
      <color rgb="FF1A1A2E"/>
      <name val="Arial"/>
    </font>
    <font>
      <sz val="9"/>
      <color rgb="FF000000"/>
      <name val="Arial"/>
    </font>
    <font>
      <sz val="11"/>
      <color theme="1"/>
      <name val="Calibri"/>
      <family val="2"/>
      <charset val="1"/>
    </font>
  </fonts>
  <fills count="54">
    <fill>
      <patternFill patternType="none"/>
    </fill>
    <fill>
      <patternFill patternType="gray125"/>
    </fill>
    <fill>
      <patternFill patternType="solid">
        <fgColor rgb="FF1A1A2E"/>
        <bgColor rgb="FF003300"/>
      </patternFill>
    </fill>
    <fill>
      <patternFill patternType="solid">
        <fgColor rgb="FF0E4F8B"/>
        <bgColor rgb="FF0066CC"/>
      </patternFill>
    </fill>
    <fill>
      <patternFill patternType="solid">
        <fgColor rgb="FFF7F3FF"/>
        <bgColor rgb="FFEBF5FB"/>
      </patternFill>
    </fill>
    <fill>
      <patternFill patternType="solid">
        <fgColor rgb="FFFFFFFF"/>
        <bgColor rgb="FFFEF9E7"/>
      </patternFill>
    </fill>
    <fill>
      <patternFill patternType="solid">
        <fgColor theme="4"/>
        <bgColor rgb="FF993300"/>
      </patternFill>
    </fill>
    <fill>
      <patternFill patternType="solid">
        <fgColor rgb="FFFFC000"/>
        <bgColor rgb="FF333399"/>
      </patternFill>
    </fill>
    <fill>
      <patternFill patternType="solid">
        <fgColor rgb="FFFFFF00"/>
        <bgColor rgb="FFEBF5FB"/>
      </patternFill>
    </fill>
    <fill>
      <patternFill patternType="solid">
        <fgColor rgb="FFFFFF00"/>
        <bgColor rgb="FFFEF9E7"/>
      </patternFill>
    </fill>
    <fill>
      <patternFill patternType="solid">
        <fgColor theme="0" tint="-4.9989318521683403E-2"/>
        <bgColor rgb="FFEBF5FB"/>
      </patternFill>
    </fill>
    <fill>
      <patternFill patternType="solid">
        <fgColor theme="0" tint="-4.9989318521683403E-2"/>
        <bgColor rgb="FFD5F5E3"/>
      </patternFill>
    </fill>
    <fill>
      <patternFill patternType="solid">
        <fgColor rgb="FFFFFFFF"/>
        <bgColor rgb="FFFFFFFF"/>
      </patternFill>
    </fill>
    <fill>
      <patternFill patternType="solid">
        <fgColor rgb="FF156082"/>
        <bgColor rgb="FF156082"/>
      </patternFill>
    </fill>
    <fill>
      <patternFill patternType="solid">
        <fgColor rgb="FFC1E4F5"/>
        <bgColor rgb="FFC1E4F5"/>
      </patternFill>
    </fill>
    <fill>
      <patternFill patternType="solid">
        <fgColor rgb="FFB7B7B7"/>
        <bgColor rgb="FFB7B7B7"/>
      </patternFill>
    </fill>
    <fill>
      <patternFill patternType="solid">
        <fgColor rgb="FFFFCB00"/>
        <bgColor rgb="FFFFCB00"/>
      </patternFill>
    </fill>
    <fill>
      <patternFill patternType="solid">
        <fgColor rgb="FFD9D9D9"/>
        <bgColor rgb="FFD9D9D9"/>
      </patternFill>
    </fill>
    <fill>
      <patternFill patternType="solid">
        <fgColor theme="4"/>
        <bgColor theme="4"/>
      </patternFill>
    </fill>
    <fill>
      <patternFill patternType="solid">
        <fgColor rgb="FF93C47D"/>
        <bgColor rgb="FF93C47D"/>
      </patternFill>
    </fill>
    <fill>
      <patternFill patternType="solid">
        <fgColor rgb="FFEA9999"/>
        <bgColor rgb="FFEA9999"/>
      </patternFill>
    </fill>
    <fill>
      <patternFill patternType="solid">
        <fgColor rgb="FFCCCCCC"/>
        <bgColor rgb="FFCCCCCC"/>
      </patternFill>
    </fill>
    <fill>
      <patternFill patternType="solid">
        <fgColor rgb="FFF3F3F3"/>
        <bgColor rgb="FFF3F3F3"/>
      </patternFill>
    </fill>
    <fill>
      <patternFill patternType="solid">
        <fgColor rgb="FFEFEFEF"/>
        <bgColor rgb="FFEFEFEF"/>
      </patternFill>
    </fill>
    <fill>
      <patternFill patternType="solid">
        <fgColor theme="0"/>
        <bgColor theme="0"/>
      </patternFill>
    </fill>
    <fill>
      <patternFill patternType="solid">
        <fgColor theme="4" tint="0.79998168889431442"/>
        <bgColor indexed="64"/>
      </patternFill>
    </fill>
    <fill>
      <patternFill patternType="solid">
        <fgColor rgb="FFF7F3FF"/>
        <bgColor rgb="FFFEF9E7"/>
      </patternFill>
    </fill>
    <fill>
      <patternFill patternType="solid">
        <fgColor rgb="FFE8F5E9"/>
        <bgColor rgb="FFD5F5E3"/>
      </patternFill>
    </fill>
    <fill>
      <patternFill patternType="solid">
        <fgColor rgb="FFD5EFDA"/>
        <bgColor rgb="FFD5F5E3"/>
      </patternFill>
    </fill>
    <fill>
      <patternFill patternType="solid">
        <fgColor theme="5" tint="0.79998168889431442"/>
        <bgColor rgb="FFFEF9E7"/>
      </patternFill>
    </fill>
    <fill>
      <patternFill patternType="solid">
        <fgColor theme="5" tint="0.79998168889431442"/>
        <bgColor indexed="64"/>
      </patternFill>
    </fill>
    <fill>
      <patternFill patternType="solid">
        <fgColor theme="5" tint="0.79998168889431442"/>
        <bgColor rgb="FFEBF5FB"/>
      </patternFill>
    </fill>
    <fill>
      <patternFill patternType="solid">
        <fgColor rgb="FF081754"/>
        <bgColor rgb="FF000080"/>
      </patternFill>
    </fill>
    <fill>
      <patternFill patternType="solid">
        <fgColor rgb="FFF0D224"/>
        <bgColor rgb="FFFFFF00"/>
      </patternFill>
    </fill>
    <fill>
      <patternFill patternType="solid">
        <fgColor rgb="FF081754"/>
        <bgColor rgb="FF2980B9"/>
      </patternFill>
    </fill>
    <fill>
      <patternFill patternType="solid">
        <fgColor rgb="FFF2F4F7"/>
        <bgColor rgb="FFFDECEA"/>
      </patternFill>
    </fill>
    <fill>
      <patternFill patternType="solid">
        <fgColor theme="3" tint="0.59999389629810485"/>
        <bgColor rgb="FF993300"/>
      </patternFill>
    </fill>
    <fill>
      <patternFill patternType="solid">
        <fgColor rgb="FF92D050"/>
        <bgColor rgb="FF993300"/>
      </patternFill>
    </fill>
    <fill>
      <patternFill patternType="solid">
        <fgColor theme="6" tint="0.39997558519241921"/>
        <bgColor rgb="FF993300"/>
      </patternFill>
    </fill>
    <fill>
      <patternFill patternType="solid">
        <fgColor theme="6" tint="-0.249977111117893"/>
        <bgColor rgb="FF993300"/>
      </patternFill>
    </fill>
    <fill>
      <patternFill patternType="solid">
        <fgColor theme="0" tint="-4.9989318521683403E-2"/>
        <bgColor rgb="FFE8F8F5"/>
      </patternFill>
    </fill>
    <fill>
      <patternFill patternType="solid">
        <fgColor theme="1"/>
        <bgColor indexed="64"/>
      </patternFill>
    </fill>
    <fill>
      <patternFill patternType="solid">
        <fgColor rgb="FFE2EFDA"/>
        <bgColor rgb="FFD5F5E3"/>
      </patternFill>
    </fill>
    <fill>
      <patternFill patternType="solid">
        <fgColor rgb="FFFFE5B4"/>
        <bgColor rgb="FFFDDEDE"/>
      </patternFill>
    </fill>
    <fill>
      <patternFill patternType="solid">
        <fgColor rgb="FFFFE0E0"/>
        <bgColor rgb="FFFDDEDE"/>
      </patternFill>
    </fill>
    <fill>
      <patternFill patternType="solid">
        <fgColor rgb="FFFFFFFF"/>
        <bgColor rgb="FFFFFCE6"/>
      </patternFill>
    </fill>
    <fill>
      <patternFill patternType="solid">
        <fgColor rgb="FFFFFCE6"/>
        <bgColor rgb="FFFEF9E7"/>
      </patternFill>
    </fill>
    <fill>
      <patternFill patternType="solid">
        <fgColor theme="1"/>
        <bgColor rgb="FF0066CC"/>
      </patternFill>
    </fill>
    <fill>
      <patternFill patternType="solid">
        <fgColor theme="1"/>
        <bgColor rgb="FFC3D69B"/>
      </patternFill>
    </fill>
    <fill>
      <patternFill patternType="solid">
        <fgColor theme="0" tint="-0.499984740745262"/>
        <bgColor rgb="FFC3D69B"/>
      </patternFill>
    </fill>
    <fill>
      <patternFill patternType="solid">
        <fgColor theme="0" tint="-4.9989318521683403E-2"/>
        <bgColor indexed="64"/>
      </patternFill>
    </fill>
    <fill>
      <patternFill patternType="solid">
        <fgColor theme="5" tint="0.79998168889431442"/>
        <bgColor rgb="FFD5F5E3"/>
      </patternFill>
    </fill>
    <fill>
      <patternFill patternType="solid">
        <fgColor theme="0"/>
        <bgColor rgb="FFD5F5E3"/>
      </patternFill>
    </fill>
    <fill>
      <patternFill patternType="solid">
        <fgColor theme="0" tint="-4.9989318521683403E-2"/>
        <bgColor rgb="FFFEF9E7"/>
      </patternFill>
    </fill>
  </fills>
  <borders count="29">
    <border>
      <left/>
      <right/>
      <top/>
      <bottom/>
      <diagonal/>
    </border>
    <border>
      <left style="thin">
        <color rgb="FFBDBDBD"/>
      </left>
      <right/>
      <top style="thin">
        <color rgb="FFBDBDBD"/>
      </top>
      <bottom style="thin">
        <color rgb="FFBDBDBD"/>
      </bottom>
      <diagonal/>
    </border>
    <border>
      <left style="thin">
        <color rgb="FFBDBDBD"/>
      </left>
      <right style="thin">
        <color rgb="FFBDBDBD"/>
      </right>
      <top style="thin">
        <color rgb="FFBDBDBD"/>
      </top>
      <bottom style="thin">
        <color rgb="FFBDBDBD"/>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theme="0"/>
      </left>
      <right style="thin">
        <color theme="0"/>
      </right>
      <top style="thin">
        <color theme="0"/>
      </top>
      <bottom style="thin">
        <color theme="0"/>
      </bottom>
      <diagonal/>
    </border>
    <border>
      <left style="thin">
        <color rgb="FFBDBDBD"/>
      </left>
      <right style="thin">
        <color rgb="FFBDBDBD"/>
      </right>
      <top/>
      <bottom style="thin">
        <color rgb="FFBDBDBD"/>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4" tint="0.399975585192419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C5CDD8"/>
      </left>
      <right/>
      <top style="thin">
        <color rgb="FFC5CDD8"/>
      </top>
      <bottom/>
      <diagonal/>
    </border>
    <border>
      <left style="thin">
        <color theme="0"/>
      </left>
      <right style="thin">
        <color theme="0"/>
      </right>
      <top/>
      <bottom/>
      <diagonal/>
    </border>
    <border>
      <left style="thin">
        <color theme="0"/>
      </left>
      <right/>
      <top/>
      <bottom/>
      <diagonal/>
    </border>
    <border>
      <left style="thin">
        <color rgb="FFB8B8B8"/>
      </left>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right/>
      <top style="thin">
        <color rgb="FFB8B8B8"/>
      </top>
      <bottom style="thin">
        <color rgb="FFB8B8B8"/>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3">
    <xf numFmtId="0" fontId="0" fillId="0" borderId="0"/>
    <xf numFmtId="0" fontId="8" fillId="0" borderId="0"/>
    <xf numFmtId="9" fontId="69" fillId="0" borderId="0" applyFont="0" applyFill="0" applyBorder="0" applyAlignment="0" applyProtection="0"/>
  </cellStyleXfs>
  <cellXfs count="248">
    <xf numFmtId="0" fontId="0" fillId="0" borderId="0" xfId="0"/>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2" xfId="0" applyFont="1" applyFill="1" applyBorder="1" applyAlignment="1">
      <alignment horizontal="left" vertical="top" wrapText="1"/>
    </xf>
    <xf numFmtId="0" fontId="4" fillId="5"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10" borderId="2" xfId="0" applyFont="1" applyFill="1" applyBorder="1" applyAlignment="1">
      <alignment horizontal="left" vertical="top" wrapText="1"/>
    </xf>
    <xf numFmtId="0" fontId="5" fillId="10"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3" fillId="11" borderId="2" xfId="0" applyFont="1" applyFill="1" applyBorder="1" applyAlignment="1">
      <alignment horizontal="left" vertical="top" wrapText="1"/>
    </xf>
    <xf numFmtId="0" fontId="6" fillId="11" borderId="2" xfId="0" applyFont="1" applyFill="1" applyBorder="1" applyAlignment="1">
      <alignment horizontal="center" vertical="center" wrapText="1"/>
    </xf>
    <xf numFmtId="0" fontId="5" fillId="11" borderId="2"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top" wrapText="1"/>
    </xf>
    <xf numFmtId="0" fontId="4" fillId="0" borderId="2" xfId="0" applyFont="1" applyBorder="1" applyAlignment="1">
      <alignment horizontal="center" vertical="center" wrapText="1"/>
    </xf>
    <xf numFmtId="0" fontId="5" fillId="0" borderId="2" xfId="0" applyFont="1" applyBorder="1" applyAlignment="1">
      <alignment horizontal="center" vertical="center" wrapText="1"/>
    </xf>
    <xf numFmtId="0" fontId="9" fillId="0" borderId="0" xfId="1" applyFont="1" applyAlignment="1">
      <alignment horizontal="right" wrapText="1"/>
    </xf>
    <xf numFmtId="0" fontId="8" fillId="0" borderId="0" xfId="1"/>
    <xf numFmtId="49" fontId="11" fillId="12" borderId="0" xfId="1" applyNumberFormat="1" applyFont="1" applyFill="1"/>
    <xf numFmtId="0" fontId="12" fillId="0" borderId="4" xfId="1" applyFont="1" applyBorder="1" applyAlignment="1">
      <alignment horizontal="left" vertical="center" wrapText="1"/>
    </xf>
    <xf numFmtId="0" fontId="12" fillId="0" borderId="5" xfId="1" applyFont="1" applyBorder="1" applyAlignment="1">
      <alignment horizontal="left" vertical="center"/>
    </xf>
    <xf numFmtId="0" fontId="14" fillId="13" borderId="0" xfId="1" applyFont="1" applyFill="1" applyAlignment="1">
      <alignment horizontal="center" vertical="center" wrapText="1"/>
    </xf>
    <xf numFmtId="0" fontId="15" fillId="13" borderId="0" xfId="1" applyFont="1" applyFill="1" applyAlignment="1">
      <alignment horizontal="center" vertical="center" wrapText="1"/>
    </xf>
    <xf numFmtId="0" fontId="16" fillId="13" borderId="0" xfId="1" applyFont="1" applyFill="1" applyAlignment="1">
      <alignment horizontal="center" wrapText="1"/>
    </xf>
    <xf numFmtId="0" fontId="17" fillId="14" borderId="0" xfId="1" applyFont="1" applyFill="1" applyAlignment="1">
      <alignment vertical="top" wrapText="1"/>
    </xf>
    <xf numFmtId="0" fontId="18" fillId="14" borderId="0" xfId="1" applyFont="1" applyFill="1" applyAlignment="1">
      <alignment vertical="top" wrapText="1"/>
    </xf>
    <xf numFmtId="0" fontId="19" fillId="14" borderId="0" xfId="1" applyFont="1" applyFill="1" applyAlignment="1">
      <alignment vertical="top" wrapText="1"/>
    </xf>
    <xf numFmtId="0" fontId="17" fillId="12" borderId="0" xfId="1" applyFont="1" applyFill="1" applyAlignment="1">
      <alignment vertical="top" wrapText="1"/>
    </xf>
    <xf numFmtId="0" fontId="21" fillId="15" borderId="0" xfId="1" applyFont="1" applyFill="1" applyAlignment="1">
      <alignment vertical="top" wrapText="1"/>
    </xf>
    <xf numFmtId="0" fontId="22" fillId="15" borderId="0" xfId="1" applyFont="1" applyFill="1" applyAlignment="1">
      <alignment vertical="top" wrapText="1"/>
    </xf>
    <xf numFmtId="0" fontId="23" fillId="12" borderId="0" xfId="1" applyFont="1" applyFill="1" applyAlignment="1">
      <alignment vertical="top" wrapText="1"/>
    </xf>
    <xf numFmtId="0" fontId="24" fillId="12" borderId="0" xfId="1" applyFont="1" applyFill="1" applyAlignment="1">
      <alignment vertical="top" wrapText="1"/>
    </xf>
    <xf numFmtId="0" fontId="23" fillId="14" borderId="0" xfId="1" applyFont="1" applyFill="1" applyAlignment="1">
      <alignment vertical="top" wrapText="1"/>
    </xf>
    <xf numFmtId="0" fontId="25" fillId="16" borderId="0" xfId="1" applyFont="1" applyFill="1" applyAlignment="1">
      <alignment vertical="top" wrapText="1"/>
    </xf>
    <xf numFmtId="0" fontId="26" fillId="16" borderId="0" xfId="1" applyFont="1" applyFill="1" applyAlignment="1">
      <alignment vertical="top" wrapText="1"/>
    </xf>
    <xf numFmtId="0" fontId="21" fillId="17" borderId="0" xfId="1" applyFont="1" applyFill="1" applyAlignment="1">
      <alignment vertical="top" wrapText="1"/>
    </xf>
    <xf numFmtId="0" fontId="22" fillId="17" borderId="0" xfId="1" applyFont="1" applyFill="1" applyAlignment="1">
      <alignment vertical="top" wrapText="1"/>
    </xf>
    <xf numFmtId="0" fontId="16" fillId="13" borderId="0" xfId="1" applyFont="1" applyFill="1" applyAlignment="1">
      <alignment horizontal="center" vertical="top" wrapText="1"/>
    </xf>
    <xf numFmtId="0" fontId="16" fillId="18" borderId="0" xfId="1" applyFont="1" applyFill="1" applyAlignment="1">
      <alignment horizontal="center" vertical="top" wrapText="1"/>
    </xf>
    <xf numFmtId="0" fontId="28" fillId="0" borderId="0" xfId="1" applyFont="1" applyAlignment="1">
      <alignment vertical="top"/>
    </xf>
    <xf numFmtId="0" fontId="28" fillId="19" borderId="0" xfId="1" applyFont="1" applyFill="1" applyAlignment="1">
      <alignment vertical="top" wrapText="1"/>
    </xf>
    <xf numFmtId="0" fontId="28" fillId="19" borderId="0" xfId="1" applyFont="1" applyFill="1" applyAlignment="1">
      <alignment horizontal="center" vertical="top" wrapText="1"/>
    </xf>
    <xf numFmtId="0" fontId="28" fillId="20" borderId="0" xfId="1" applyFont="1" applyFill="1" applyAlignment="1">
      <alignment vertical="top" wrapText="1"/>
    </xf>
    <xf numFmtId="0" fontId="28" fillId="20" borderId="0" xfId="1" applyFont="1" applyFill="1" applyAlignment="1">
      <alignment horizontal="center" vertical="top" wrapText="1"/>
    </xf>
    <xf numFmtId="0" fontId="28" fillId="17" borderId="0" xfId="1" applyFont="1" applyFill="1" applyAlignment="1">
      <alignment vertical="top" wrapText="1"/>
    </xf>
    <xf numFmtId="0" fontId="28" fillId="17" borderId="0" xfId="1" applyFont="1" applyFill="1" applyAlignment="1">
      <alignment horizontal="center" vertical="top" wrapText="1"/>
    </xf>
    <xf numFmtId="0" fontId="29" fillId="21" borderId="0" xfId="1" applyFont="1" applyFill="1" applyAlignment="1">
      <alignment vertical="top" wrapText="1"/>
    </xf>
    <xf numFmtId="0" fontId="29" fillId="21" borderId="0" xfId="1" applyFont="1" applyFill="1" applyAlignment="1">
      <alignment horizontal="center" vertical="top" wrapText="1"/>
    </xf>
    <xf numFmtId="0" fontId="28" fillId="22" borderId="0" xfId="1" applyFont="1" applyFill="1" applyAlignment="1">
      <alignment vertical="top" wrapText="1"/>
    </xf>
    <xf numFmtId="0" fontId="28" fillId="22" borderId="0" xfId="1" applyFont="1" applyFill="1" applyAlignment="1">
      <alignment horizontal="center" vertical="top" wrapText="1"/>
    </xf>
    <xf numFmtId="0" fontId="28" fillId="23" borderId="0" xfId="1" applyFont="1" applyFill="1" applyAlignment="1">
      <alignment vertical="top" wrapText="1"/>
    </xf>
    <xf numFmtId="0" fontId="28" fillId="23" borderId="0" xfId="1" applyFont="1" applyFill="1" applyAlignment="1">
      <alignment horizontal="center" vertical="top" wrapText="1"/>
    </xf>
    <xf numFmtId="0" fontId="28" fillId="12" borderId="0" xfId="1" applyFont="1" applyFill="1" applyAlignment="1">
      <alignment vertical="top" wrapText="1"/>
    </xf>
    <xf numFmtId="0" fontId="28" fillId="12" borderId="0" xfId="1" applyFont="1" applyFill="1" applyAlignment="1">
      <alignment vertical="top"/>
    </xf>
    <xf numFmtId="0" fontId="28" fillId="12" borderId="0" xfId="1" applyFont="1" applyFill="1" applyAlignment="1">
      <alignment horizontal="center" vertical="top"/>
    </xf>
    <xf numFmtId="0" fontId="28" fillId="24" borderId="0" xfId="1" applyFont="1" applyFill="1" applyAlignment="1">
      <alignment vertical="top"/>
    </xf>
    <xf numFmtId="0" fontId="28" fillId="14" borderId="0" xfId="1" applyFont="1" applyFill="1" applyAlignment="1">
      <alignment vertical="top" wrapText="1"/>
    </xf>
    <xf numFmtId="0" fontId="28" fillId="14" borderId="0" xfId="1" applyFont="1" applyFill="1" applyAlignment="1">
      <alignment vertical="top"/>
    </xf>
    <xf numFmtId="0" fontId="28" fillId="14" borderId="0" xfId="1" applyFont="1" applyFill="1" applyAlignment="1">
      <alignment horizontal="center" vertical="top"/>
    </xf>
    <xf numFmtId="0" fontId="28" fillId="0" borderId="0" xfId="1" applyFont="1" applyAlignment="1">
      <alignment horizontal="center" vertical="top"/>
    </xf>
    <xf numFmtId="0" fontId="28" fillId="0" borderId="0" xfId="1" applyFont="1" applyAlignment="1">
      <alignment vertical="top" wrapText="1"/>
    </xf>
    <xf numFmtId="0" fontId="28" fillId="0" borderId="0" xfId="1" applyFont="1"/>
    <xf numFmtId="0" fontId="28" fillId="0" borderId="0" xfId="1" applyFont="1" applyAlignment="1">
      <alignment horizontal="center"/>
    </xf>
    <xf numFmtId="0" fontId="28" fillId="0" borderId="0" xfId="1" applyFont="1" applyAlignment="1">
      <alignment wrapText="1"/>
    </xf>
    <xf numFmtId="0" fontId="2" fillId="2" borderId="8" xfId="0" applyFont="1" applyFill="1" applyBorder="1" applyAlignment="1">
      <alignment horizontal="center" vertical="center" wrapText="1"/>
    </xf>
    <xf numFmtId="0" fontId="34" fillId="2" borderId="8" xfId="0" applyFont="1" applyFill="1" applyBorder="1" applyAlignment="1">
      <alignment horizontal="center" vertical="center" wrapText="1"/>
    </xf>
    <xf numFmtId="0" fontId="35" fillId="2" borderId="2" xfId="0" applyFont="1" applyFill="1" applyBorder="1" applyAlignment="1">
      <alignment horizontal="center" vertical="center" wrapText="1"/>
    </xf>
    <xf numFmtId="0" fontId="36" fillId="26" borderId="2" xfId="0" applyFont="1" applyFill="1" applyBorder="1" applyAlignment="1">
      <alignment horizontal="left" vertical="top" wrapText="1"/>
    </xf>
    <xf numFmtId="0" fontId="37" fillId="26" borderId="2" xfId="0" applyFont="1" applyFill="1" applyBorder="1" applyAlignment="1">
      <alignment horizontal="center" vertical="center" wrapText="1"/>
    </xf>
    <xf numFmtId="0" fontId="36" fillId="27" borderId="2" xfId="0" applyFont="1" applyFill="1" applyBorder="1" applyAlignment="1">
      <alignment horizontal="left" vertical="top" wrapText="1"/>
    </xf>
    <xf numFmtId="0" fontId="37" fillId="27" borderId="2" xfId="0" applyFont="1" applyFill="1" applyBorder="1" applyAlignment="1">
      <alignment horizontal="center" vertical="center" wrapText="1"/>
    </xf>
    <xf numFmtId="0" fontId="36" fillId="28" borderId="2" xfId="0" applyFont="1" applyFill="1" applyBorder="1" applyAlignment="1">
      <alignment horizontal="left" vertical="top" wrapText="1"/>
    </xf>
    <xf numFmtId="0" fontId="37" fillId="28" borderId="2" xfId="0" applyFont="1" applyFill="1" applyBorder="1" applyAlignment="1">
      <alignment horizontal="center" vertical="center" wrapText="1"/>
    </xf>
    <xf numFmtId="0" fontId="0" fillId="30" borderId="0" xfId="0" applyFill="1"/>
    <xf numFmtId="0" fontId="43" fillId="0" borderId="0" xfId="0" applyFont="1"/>
    <xf numFmtId="0" fontId="44" fillId="0" borderId="0" xfId="0" applyFont="1"/>
    <xf numFmtId="0" fontId="42" fillId="35" borderId="14" xfId="0" applyFont="1" applyFill="1" applyBorder="1" applyAlignment="1">
      <alignment horizontal="center" vertical="center" wrapText="1"/>
    </xf>
    <xf numFmtId="0" fontId="45" fillId="0" borderId="0" xfId="0" applyFont="1"/>
    <xf numFmtId="0" fontId="45" fillId="0" borderId="13" xfId="0" applyFont="1" applyBorder="1"/>
    <xf numFmtId="0" fontId="45" fillId="30" borderId="13" xfId="0" applyFont="1" applyFill="1" applyBorder="1"/>
    <xf numFmtId="0" fontId="45" fillId="30" borderId="0" xfId="0" applyFont="1" applyFill="1"/>
    <xf numFmtId="0" fontId="34" fillId="2" borderId="16" xfId="0" applyFont="1" applyFill="1" applyBorder="1" applyAlignment="1">
      <alignment horizontal="center" vertical="center" wrapText="1"/>
    </xf>
    <xf numFmtId="0" fontId="46" fillId="3" borderId="8" xfId="0" applyFont="1" applyFill="1" applyBorder="1" applyAlignment="1">
      <alignment horizontal="center" vertical="center" wrapText="1"/>
    </xf>
    <xf numFmtId="0" fontId="49" fillId="0" borderId="0" xfId="0" applyFont="1"/>
    <xf numFmtId="0" fontId="46" fillId="2" borderId="8" xfId="0" applyFont="1" applyFill="1" applyBorder="1" applyAlignment="1">
      <alignment horizontal="center" vertical="center" wrapText="1"/>
    </xf>
    <xf numFmtId="0" fontId="50" fillId="2" borderId="8" xfId="0" applyFont="1" applyFill="1" applyBorder="1" applyAlignment="1">
      <alignment horizontal="center" vertical="center" wrapText="1"/>
    </xf>
    <xf numFmtId="0" fontId="46" fillId="6" borderId="8" xfId="0" applyFont="1" applyFill="1" applyBorder="1" applyAlignment="1">
      <alignment horizontal="center" vertical="center" wrapText="1"/>
    </xf>
    <xf numFmtId="0" fontId="50" fillId="6" borderId="8" xfId="0" applyFont="1" applyFill="1" applyBorder="1" applyAlignment="1">
      <alignment horizontal="center" vertical="center" wrapText="1"/>
    </xf>
    <xf numFmtId="0" fontId="46" fillId="36" borderId="8" xfId="0" applyFont="1" applyFill="1" applyBorder="1" applyAlignment="1">
      <alignment horizontal="center" vertical="center" wrapText="1"/>
    </xf>
    <xf numFmtId="0" fontId="46" fillId="38" borderId="8" xfId="0" applyFont="1" applyFill="1" applyBorder="1" applyAlignment="1">
      <alignment horizontal="center" vertical="center" wrapText="1"/>
    </xf>
    <xf numFmtId="0" fontId="46" fillId="39" borderId="8" xfId="0" applyFont="1" applyFill="1" applyBorder="1" applyAlignment="1">
      <alignment horizontal="center" vertical="center" wrapText="1"/>
    </xf>
    <xf numFmtId="0" fontId="49" fillId="25" borderId="8" xfId="0" applyFont="1" applyFill="1" applyBorder="1" applyAlignment="1">
      <alignment horizontal="center"/>
    </xf>
    <xf numFmtId="0" fontId="51" fillId="10" borderId="9" xfId="0" applyFont="1" applyFill="1" applyBorder="1" applyAlignment="1">
      <alignment horizontal="center" vertical="center" wrapText="1"/>
    </xf>
    <xf numFmtId="0" fontId="51" fillId="10" borderId="9" xfId="0" applyFont="1" applyFill="1" applyBorder="1" applyAlignment="1">
      <alignment horizontal="left" vertical="top" wrapText="1"/>
    </xf>
    <xf numFmtId="0" fontId="51" fillId="5" borderId="2" xfId="0" applyFont="1" applyFill="1" applyBorder="1" applyAlignment="1">
      <alignment horizontal="center" vertical="center" wrapText="1"/>
    </xf>
    <xf numFmtId="0" fontId="51" fillId="5" borderId="2" xfId="0" applyFont="1" applyFill="1" applyBorder="1" applyAlignment="1">
      <alignment horizontal="left" vertical="top" wrapText="1"/>
    </xf>
    <xf numFmtId="0" fontId="51" fillId="10" borderId="2" xfId="0" applyFont="1" applyFill="1" applyBorder="1" applyAlignment="1">
      <alignment horizontal="center" vertical="center" wrapText="1"/>
    </xf>
    <xf numFmtId="0" fontId="51" fillId="10" borderId="2" xfId="0" applyFont="1" applyFill="1" applyBorder="1" applyAlignment="1">
      <alignment horizontal="left" vertical="top" wrapText="1"/>
    </xf>
    <xf numFmtId="0" fontId="51" fillId="29" borderId="2" xfId="0" applyFont="1" applyFill="1" applyBorder="1" applyAlignment="1">
      <alignment horizontal="left" vertical="top" wrapText="1"/>
    </xf>
    <xf numFmtId="0" fontId="51" fillId="31" borderId="2" xfId="0" applyFont="1" applyFill="1" applyBorder="1" applyAlignment="1">
      <alignment horizontal="left" vertical="top" wrapText="1"/>
    </xf>
    <xf numFmtId="0" fontId="51" fillId="0" borderId="2" xfId="0" applyFont="1" applyBorder="1" applyAlignment="1">
      <alignment horizontal="center" vertical="center" wrapText="1"/>
    </xf>
    <xf numFmtId="0" fontId="51" fillId="0" borderId="2" xfId="0" applyFont="1" applyBorder="1" applyAlignment="1">
      <alignment horizontal="left" vertical="top" wrapText="1"/>
    </xf>
    <xf numFmtId="0" fontId="51" fillId="11" borderId="2" xfId="0" applyFont="1" applyFill="1" applyBorder="1" applyAlignment="1">
      <alignment horizontal="center" vertical="center" wrapText="1"/>
    </xf>
    <xf numFmtId="0" fontId="51" fillId="11" borderId="2" xfId="0" applyFont="1" applyFill="1" applyBorder="1" applyAlignment="1">
      <alignment horizontal="left" vertical="top" wrapText="1"/>
    </xf>
    <xf numFmtId="0" fontId="56" fillId="40" borderId="19" xfId="0" applyFont="1" applyFill="1" applyBorder="1" applyAlignment="1">
      <alignment horizontal="left" vertical="center" wrapText="1"/>
    </xf>
    <xf numFmtId="0" fontId="51" fillId="40" borderId="19" xfId="0" applyFont="1" applyFill="1" applyBorder="1" applyAlignment="1">
      <alignment horizontal="left" vertical="center" wrapText="1"/>
    </xf>
    <xf numFmtId="0" fontId="51" fillId="42" borderId="19" xfId="0" applyFont="1" applyFill="1" applyBorder="1" applyAlignment="1">
      <alignment horizontal="center" vertical="center" wrapText="1"/>
    </xf>
    <xf numFmtId="0" fontId="51" fillId="43" borderId="19" xfId="0" applyFont="1" applyFill="1" applyBorder="1" applyAlignment="1">
      <alignment horizontal="center" vertical="center" wrapText="1"/>
    </xf>
    <xf numFmtId="0" fontId="51" fillId="44" borderId="19" xfId="0" applyFont="1" applyFill="1" applyBorder="1" applyAlignment="1">
      <alignment horizontal="center" vertical="center" wrapText="1"/>
    </xf>
    <xf numFmtId="0" fontId="56" fillId="45" borderId="19" xfId="0" applyFont="1" applyFill="1" applyBorder="1" applyAlignment="1">
      <alignment horizontal="left" vertical="center" wrapText="1"/>
    </xf>
    <xf numFmtId="0" fontId="51" fillId="45" borderId="19" xfId="0" applyFont="1" applyFill="1" applyBorder="1" applyAlignment="1">
      <alignment horizontal="left" vertical="center" wrapText="1"/>
    </xf>
    <xf numFmtId="0" fontId="46" fillId="47" borderId="19" xfId="0" applyFont="1" applyFill="1" applyBorder="1" applyAlignment="1">
      <alignment horizontal="center" vertical="center" wrapText="1"/>
    </xf>
    <xf numFmtId="9" fontId="57" fillId="40" borderId="19" xfId="0" applyNumberFormat="1" applyFont="1" applyFill="1" applyBorder="1" applyAlignment="1">
      <alignment horizontal="center" vertical="center" wrapText="1"/>
    </xf>
    <xf numFmtId="9" fontId="57" fillId="45" borderId="19" xfId="0" applyNumberFormat="1" applyFont="1" applyFill="1" applyBorder="1" applyAlignment="1">
      <alignment horizontal="center" vertical="center" wrapText="1"/>
    </xf>
    <xf numFmtId="0" fontId="57" fillId="0" borderId="19" xfId="0" applyFont="1" applyBorder="1" applyAlignment="1">
      <alignment horizontal="center" vertical="center" wrapText="1"/>
    </xf>
    <xf numFmtId="0" fontId="59" fillId="0" borderId="19" xfId="0" applyFont="1" applyBorder="1" applyAlignment="1">
      <alignment horizontal="center" vertical="center" wrapText="1"/>
    </xf>
    <xf numFmtId="0" fontId="60" fillId="0" borderId="19" xfId="0" applyFont="1" applyBorder="1" applyAlignment="1">
      <alignment horizontal="center" vertical="center" wrapText="1"/>
    </xf>
    <xf numFmtId="0" fontId="58" fillId="0" borderId="19" xfId="0" applyFont="1" applyBorder="1" applyAlignment="1">
      <alignment horizontal="center" vertical="center" wrapText="1"/>
    </xf>
    <xf numFmtId="0" fontId="46" fillId="49" borderId="19" xfId="0" applyFont="1" applyFill="1" applyBorder="1" applyAlignment="1">
      <alignment horizontal="center" vertical="center" wrapText="1"/>
    </xf>
    <xf numFmtId="0" fontId="61" fillId="38" borderId="8" xfId="0" applyFont="1" applyFill="1" applyBorder="1" applyAlignment="1">
      <alignment horizontal="center" vertical="center" wrapText="1"/>
    </xf>
    <xf numFmtId="0" fontId="56" fillId="5" borderId="2" xfId="0" applyFont="1" applyFill="1" applyBorder="1" applyAlignment="1">
      <alignment horizontal="left" vertical="top" wrapText="1"/>
    </xf>
    <xf numFmtId="0" fontId="56" fillId="10" borderId="2" xfId="0" applyFont="1" applyFill="1" applyBorder="1" applyAlignment="1">
      <alignment horizontal="left" vertical="top" wrapText="1"/>
    </xf>
    <xf numFmtId="0" fontId="56" fillId="0" borderId="2" xfId="0" applyFont="1" applyBorder="1" applyAlignment="1">
      <alignment horizontal="left" vertical="top" wrapText="1"/>
    </xf>
    <xf numFmtId="0" fontId="56" fillId="11" borderId="2" xfId="0" applyFont="1" applyFill="1" applyBorder="1" applyAlignment="1">
      <alignment horizontal="left" vertical="top" wrapText="1"/>
    </xf>
    <xf numFmtId="0" fontId="62" fillId="0" borderId="0" xfId="0" applyFont="1"/>
    <xf numFmtId="14" fontId="51" fillId="10" borderId="9" xfId="0" applyNumberFormat="1" applyFont="1" applyFill="1" applyBorder="1" applyAlignment="1">
      <alignment horizontal="center" vertical="center" wrapText="1"/>
    </xf>
    <xf numFmtId="0" fontId="56" fillId="10" borderId="9" xfId="0" applyFont="1" applyFill="1" applyBorder="1" applyAlignment="1">
      <alignment horizontal="left" vertical="top" wrapText="1"/>
    </xf>
    <xf numFmtId="0" fontId="51" fillId="10" borderId="9" xfId="0" applyFont="1" applyFill="1" applyBorder="1" applyAlignment="1">
      <alignment horizontal="left" vertical="center" wrapText="1"/>
    </xf>
    <xf numFmtId="0" fontId="51" fillId="5" borderId="2" xfId="0" applyFont="1" applyFill="1" applyBorder="1" applyAlignment="1">
      <alignment horizontal="left" vertical="center" wrapText="1"/>
    </xf>
    <xf numFmtId="0" fontId="51" fillId="10" borderId="2" xfId="0" applyFont="1" applyFill="1" applyBorder="1" applyAlignment="1">
      <alignment horizontal="left" vertical="center" wrapText="1"/>
    </xf>
    <xf numFmtId="0" fontId="51" fillId="0" borderId="2" xfId="0" applyFont="1" applyBorder="1" applyAlignment="1">
      <alignment horizontal="left" vertical="center" wrapText="1"/>
    </xf>
    <xf numFmtId="0" fontId="51" fillId="11" borderId="2" xfId="0" applyFont="1" applyFill="1" applyBorder="1" applyAlignment="1">
      <alignment horizontal="left" vertical="center" wrapText="1"/>
    </xf>
    <xf numFmtId="14" fontId="63" fillId="10" borderId="2" xfId="0" applyNumberFormat="1" applyFont="1" applyFill="1" applyBorder="1" applyAlignment="1">
      <alignment horizontal="center" vertical="center" wrapText="1"/>
    </xf>
    <xf numFmtId="14" fontId="63" fillId="5" borderId="2" xfId="0" applyNumberFormat="1" applyFont="1" applyFill="1" applyBorder="1" applyAlignment="1">
      <alignment horizontal="center" vertical="center" wrapText="1"/>
    </xf>
    <xf numFmtId="14" fontId="51" fillId="10" borderId="2" xfId="0" applyNumberFormat="1" applyFont="1" applyFill="1" applyBorder="1" applyAlignment="1">
      <alignment horizontal="center" vertical="center" wrapText="1"/>
    </xf>
    <xf numFmtId="14" fontId="51" fillId="5" borderId="2" xfId="0" applyNumberFormat="1" applyFont="1" applyFill="1" applyBorder="1" applyAlignment="1">
      <alignment horizontal="center" vertical="center" wrapText="1"/>
    </xf>
    <xf numFmtId="14" fontId="63" fillId="29" borderId="2" xfId="0" applyNumberFormat="1" applyFont="1" applyFill="1" applyBorder="1" applyAlignment="1">
      <alignment horizontal="center" vertical="center" wrapText="1"/>
    </xf>
    <xf numFmtId="14" fontId="63" fillId="31" borderId="2" xfId="0" applyNumberFormat="1" applyFont="1" applyFill="1" applyBorder="1" applyAlignment="1">
      <alignment horizontal="center" vertical="center" wrapText="1"/>
    </xf>
    <xf numFmtId="14" fontId="63" fillId="0" borderId="2" xfId="0" applyNumberFormat="1" applyFont="1" applyBorder="1" applyAlignment="1">
      <alignment horizontal="center" vertical="center" wrapText="1"/>
    </xf>
    <xf numFmtId="14" fontId="51" fillId="31" borderId="2" xfId="0" applyNumberFormat="1" applyFont="1" applyFill="1" applyBorder="1" applyAlignment="1">
      <alignment horizontal="center" vertical="center" wrapText="1"/>
    </xf>
    <xf numFmtId="14" fontId="51" fillId="29" borderId="2" xfId="0" applyNumberFormat="1" applyFont="1" applyFill="1" applyBorder="1" applyAlignment="1">
      <alignment horizontal="center" vertical="center" wrapText="1"/>
    </xf>
    <xf numFmtId="14" fontId="63" fillId="50" borderId="2" xfId="0" applyNumberFormat="1" applyFont="1" applyFill="1" applyBorder="1" applyAlignment="1">
      <alignment horizontal="center" vertical="center" wrapText="1"/>
    </xf>
    <xf numFmtId="14" fontId="51" fillId="50" borderId="2" xfId="0" applyNumberFormat="1" applyFont="1" applyFill="1" applyBorder="1" applyAlignment="1">
      <alignment horizontal="center" vertical="center" wrapText="1"/>
    </xf>
    <xf numFmtId="14" fontId="51" fillId="0" borderId="2" xfId="0" applyNumberFormat="1" applyFont="1" applyBorder="1" applyAlignment="1">
      <alignment horizontal="center" vertical="center" wrapText="1"/>
    </xf>
    <xf numFmtId="14" fontId="51" fillId="11" borderId="2" xfId="0" applyNumberFormat="1" applyFont="1" applyFill="1" applyBorder="1" applyAlignment="1">
      <alignment horizontal="center" vertical="center" wrapText="1"/>
    </xf>
    <xf numFmtId="14" fontId="63" fillId="11" borderId="2" xfId="0" applyNumberFormat="1" applyFont="1" applyFill="1" applyBorder="1" applyAlignment="1">
      <alignment horizontal="center" vertical="center" wrapText="1"/>
    </xf>
    <xf numFmtId="0" fontId="51" fillId="30" borderId="2" xfId="0" applyFont="1" applyFill="1" applyBorder="1" applyAlignment="1">
      <alignment horizontal="center" vertical="center" wrapText="1"/>
    </xf>
    <xf numFmtId="0" fontId="51" fillId="51" borderId="2" xfId="0" applyFont="1" applyFill="1" applyBorder="1" applyAlignment="1">
      <alignment horizontal="center" vertical="center" wrapText="1"/>
    </xf>
    <xf numFmtId="14" fontId="51" fillId="30" borderId="2" xfId="0" applyNumberFormat="1" applyFont="1" applyFill="1" applyBorder="1" applyAlignment="1">
      <alignment horizontal="center" vertical="center" wrapText="1"/>
    </xf>
    <xf numFmtId="0" fontId="51" fillId="50" borderId="2" xfId="0" applyFont="1" applyFill="1" applyBorder="1" applyAlignment="1">
      <alignment horizontal="center" vertical="center" wrapText="1"/>
    </xf>
    <xf numFmtId="0" fontId="51" fillId="52" borderId="2" xfId="0" applyFont="1" applyFill="1" applyBorder="1" applyAlignment="1">
      <alignment horizontal="center" vertical="center" wrapText="1"/>
    </xf>
    <xf numFmtId="0" fontId="56" fillId="0" borderId="2" xfId="0" applyFont="1" applyBorder="1" applyAlignment="1">
      <alignment horizontal="center" vertical="center" wrapText="1"/>
    </xf>
    <xf numFmtId="0" fontId="56" fillId="11" borderId="2" xfId="0" applyFont="1" applyFill="1" applyBorder="1" applyAlignment="1">
      <alignment horizontal="center" vertical="center" wrapText="1"/>
    </xf>
    <xf numFmtId="0" fontId="56" fillId="50" borderId="2" xfId="0" applyFont="1" applyFill="1" applyBorder="1" applyAlignment="1">
      <alignment horizontal="center" vertical="center" wrapText="1"/>
    </xf>
    <xf numFmtId="0" fontId="56" fillId="52" borderId="2" xfId="0" applyFont="1" applyFill="1" applyBorder="1" applyAlignment="1">
      <alignment horizontal="center" vertical="center" wrapText="1"/>
    </xf>
    <xf numFmtId="1" fontId="51" fillId="0" borderId="2" xfId="0" applyNumberFormat="1" applyFont="1" applyBorder="1" applyAlignment="1">
      <alignment horizontal="center" vertical="center" wrapText="1"/>
    </xf>
    <xf numFmtId="1" fontId="51" fillId="11" borderId="2" xfId="0" applyNumberFormat="1" applyFont="1" applyFill="1" applyBorder="1" applyAlignment="1">
      <alignment horizontal="center" vertical="center" wrapText="1"/>
    </xf>
    <xf numFmtId="1" fontId="51" fillId="50" borderId="2" xfId="0" applyNumberFormat="1" applyFont="1" applyFill="1" applyBorder="1" applyAlignment="1">
      <alignment horizontal="center" vertical="center" wrapText="1"/>
    </xf>
    <xf numFmtId="1" fontId="51" fillId="52" borderId="2" xfId="0" applyNumberFormat="1" applyFont="1" applyFill="1" applyBorder="1" applyAlignment="1">
      <alignment horizontal="center" vertical="center" wrapText="1"/>
    </xf>
    <xf numFmtId="14" fontId="51" fillId="52" borderId="2" xfId="0" applyNumberFormat="1" applyFont="1" applyFill="1" applyBorder="1" applyAlignment="1">
      <alignment horizontal="center" vertical="center" wrapText="1"/>
    </xf>
    <xf numFmtId="0" fontId="51" fillId="50" borderId="2" xfId="0" applyFont="1" applyFill="1" applyBorder="1" applyAlignment="1">
      <alignment horizontal="left" vertical="top" wrapText="1"/>
    </xf>
    <xf numFmtId="0" fontId="64" fillId="0" borderId="2" xfId="0" applyFont="1" applyBorder="1" applyAlignment="1">
      <alignment horizontal="left" vertical="top" wrapText="1"/>
    </xf>
    <xf numFmtId="0" fontId="64" fillId="11" borderId="2" xfId="0" applyFont="1" applyFill="1" applyBorder="1" applyAlignment="1">
      <alignment horizontal="left" vertical="top" wrapText="1"/>
    </xf>
    <xf numFmtId="14" fontId="51" fillId="51" borderId="2" xfId="0" applyNumberFormat="1" applyFont="1" applyFill="1" applyBorder="1" applyAlignment="1">
      <alignment horizontal="center" vertical="center" wrapText="1"/>
    </xf>
    <xf numFmtId="2" fontId="46" fillId="39" borderId="8" xfId="0" applyNumberFormat="1" applyFont="1" applyFill="1" applyBorder="1" applyAlignment="1">
      <alignment horizontal="center" vertical="center" wrapText="1"/>
    </xf>
    <xf numFmtId="2" fontId="63" fillId="11" borderId="2" xfId="0" applyNumberFormat="1" applyFont="1" applyFill="1" applyBorder="1" applyAlignment="1">
      <alignment horizontal="center" vertical="center" wrapText="1"/>
    </xf>
    <xf numFmtId="2" fontId="51" fillId="0" borderId="2" xfId="0" applyNumberFormat="1" applyFont="1" applyBorder="1" applyAlignment="1">
      <alignment horizontal="center" vertical="center" wrapText="1"/>
    </xf>
    <xf numFmtId="2" fontId="49" fillId="0" borderId="0" xfId="0" applyNumberFormat="1" applyFont="1"/>
    <xf numFmtId="2" fontId="51" fillId="50" borderId="2" xfId="0" applyNumberFormat="1" applyFont="1" applyFill="1" applyBorder="1" applyAlignment="1">
      <alignment horizontal="center" vertical="center" wrapText="1"/>
    </xf>
    <xf numFmtId="2" fontId="51" fillId="52" borderId="2" xfId="0" applyNumberFormat="1" applyFont="1" applyFill="1" applyBorder="1" applyAlignment="1">
      <alignment horizontal="center" vertical="center" wrapText="1"/>
    </xf>
    <xf numFmtId="2" fontId="51" fillId="11" borderId="2" xfId="0" applyNumberFormat="1" applyFont="1" applyFill="1" applyBorder="1" applyAlignment="1">
      <alignment horizontal="center" vertical="center" wrapText="1"/>
    </xf>
    <xf numFmtId="0" fontId="65" fillId="0" borderId="0" xfId="0" applyFont="1" applyAlignment="1">
      <alignment horizontal="center" vertical="center"/>
    </xf>
    <xf numFmtId="2" fontId="65" fillId="0" borderId="0" xfId="0" applyNumberFormat="1" applyFont="1" applyAlignment="1">
      <alignment horizontal="center" vertical="center"/>
    </xf>
    <xf numFmtId="14" fontId="56" fillId="50" borderId="2" xfId="0" applyNumberFormat="1" applyFont="1" applyFill="1" applyBorder="1" applyAlignment="1">
      <alignment horizontal="center" vertical="center" wrapText="1"/>
    </xf>
    <xf numFmtId="14" fontId="56" fillId="52" borderId="2" xfId="0" applyNumberFormat="1" applyFont="1" applyFill="1" applyBorder="1" applyAlignment="1">
      <alignment horizontal="center" vertical="center" wrapText="1"/>
    </xf>
    <xf numFmtId="0" fontId="51" fillId="50" borderId="2" xfId="0" applyFont="1" applyFill="1" applyBorder="1" applyAlignment="1">
      <alignment horizontal="left" vertical="center" wrapText="1"/>
    </xf>
    <xf numFmtId="0" fontId="51" fillId="52" borderId="2" xfId="0" applyFont="1" applyFill="1" applyBorder="1" applyAlignment="1">
      <alignment horizontal="left" vertical="center" wrapText="1"/>
    </xf>
    <xf numFmtId="14" fontId="67" fillId="5" borderId="2" xfId="0" applyNumberFormat="1" applyFont="1" applyFill="1" applyBorder="1" applyAlignment="1">
      <alignment horizontal="center" vertical="center" wrapText="1"/>
    </xf>
    <xf numFmtId="14" fontId="67" fillId="10" borderId="2" xfId="0" applyNumberFormat="1" applyFont="1" applyFill="1" applyBorder="1" applyAlignment="1">
      <alignment horizontal="center" vertical="center" wrapText="1"/>
    </xf>
    <xf numFmtId="0" fontId="51" fillId="53" borderId="2" xfId="0" applyFont="1" applyFill="1" applyBorder="1" applyAlignment="1">
      <alignment horizontal="center" vertical="center" wrapText="1"/>
    </xf>
    <xf numFmtId="14" fontId="68" fillId="10" borderId="2" xfId="0" applyNumberFormat="1" applyFont="1" applyFill="1" applyBorder="1" applyAlignment="1">
      <alignment horizontal="center" vertical="center" wrapText="1"/>
    </xf>
    <xf numFmtId="14" fontId="68" fillId="0" borderId="2" xfId="0" applyNumberFormat="1" applyFont="1" applyBorder="1" applyAlignment="1">
      <alignment horizontal="center" vertical="center" wrapText="1"/>
    </xf>
    <xf numFmtId="0" fontId="51" fillId="0" borderId="2" xfId="0" applyFont="1" applyBorder="1" applyAlignment="1">
      <alignment horizontal="left" vertical="top"/>
    </xf>
    <xf numFmtId="0" fontId="51" fillId="30" borderId="2" xfId="0" applyFont="1" applyFill="1" applyBorder="1" applyAlignment="1">
      <alignment horizontal="left" vertical="top" wrapText="1"/>
    </xf>
    <xf numFmtId="0" fontId="51" fillId="51" borderId="2" xfId="0" applyFont="1" applyFill="1" applyBorder="1" applyAlignment="1">
      <alignment horizontal="left" vertical="top" wrapText="1"/>
    </xf>
    <xf numFmtId="14" fontId="68" fillId="52" borderId="2" xfId="0" applyNumberFormat="1" applyFont="1" applyFill="1" applyBorder="1" applyAlignment="1">
      <alignment horizontal="center" vertical="center" wrapText="1"/>
    </xf>
    <xf numFmtId="14" fontId="67" fillId="11" borderId="2" xfId="0" applyNumberFormat="1" applyFont="1" applyFill="1" applyBorder="1" applyAlignment="1">
      <alignment horizontal="center" vertical="center" wrapText="1"/>
    </xf>
    <xf numFmtId="0" fontId="68" fillId="51" borderId="2" xfId="0" applyFont="1" applyFill="1" applyBorder="1" applyAlignment="1">
      <alignment horizontal="left" vertical="top" wrapText="1"/>
    </xf>
    <xf numFmtId="0" fontId="68" fillId="30" borderId="2" xfId="0" applyFont="1" applyFill="1" applyBorder="1" applyAlignment="1">
      <alignment horizontal="left" vertical="top" wrapText="1"/>
    </xf>
    <xf numFmtId="9" fontId="49" fillId="0" borderId="0" xfId="2" applyFont="1"/>
    <xf numFmtId="164" fontId="62" fillId="0" borderId="0" xfId="2" applyNumberFormat="1" applyFont="1"/>
    <xf numFmtId="0" fontId="46" fillId="2" borderId="10" xfId="0" applyFont="1" applyFill="1" applyBorder="1" applyAlignment="1">
      <alignment horizontal="center" vertical="center" wrapText="1"/>
    </xf>
    <xf numFmtId="0" fontId="46" fillId="6" borderId="10" xfId="0" applyFont="1" applyFill="1" applyBorder="1" applyAlignment="1">
      <alignment horizontal="center" vertical="center" wrapText="1"/>
    </xf>
    <xf numFmtId="0" fontId="46" fillId="6" borderId="11" xfId="0" applyFont="1" applyFill="1" applyBorder="1" applyAlignment="1">
      <alignment horizontal="center" vertical="center" wrapText="1"/>
    </xf>
    <xf numFmtId="0" fontId="46" fillId="6" borderId="12" xfId="0" applyFont="1" applyFill="1" applyBorder="1" applyAlignment="1">
      <alignment horizontal="center" vertical="center" wrapText="1"/>
    </xf>
    <xf numFmtId="0" fontId="66" fillId="37" borderId="10" xfId="0" applyFont="1" applyFill="1" applyBorder="1" applyAlignment="1">
      <alignment horizontal="center" vertical="center" wrapText="1"/>
    </xf>
    <xf numFmtId="0" fontId="46" fillId="37" borderId="10" xfId="0" applyFont="1" applyFill="1" applyBorder="1" applyAlignment="1">
      <alignment horizontal="center" vertical="center" wrapText="1"/>
    </xf>
    <xf numFmtId="0" fontId="61" fillId="37" borderId="11" xfId="0" applyFont="1" applyFill="1" applyBorder="1" applyAlignment="1">
      <alignment horizontal="center" vertical="center" wrapText="1"/>
    </xf>
    <xf numFmtId="2" fontId="46" fillId="37" borderId="10" xfId="0" applyNumberFormat="1" applyFont="1" applyFill="1" applyBorder="1" applyAlignment="1">
      <alignment horizontal="center" vertical="center" wrapText="1"/>
    </xf>
    <xf numFmtId="0" fontId="53" fillId="41" borderId="17" xfId="0" applyFont="1" applyFill="1" applyBorder="1" applyAlignment="1">
      <alignment horizontal="center" vertical="center"/>
    </xf>
    <xf numFmtId="0" fontId="53" fillId="41" borderId="0" xfId="0" applyFont="1" applyFill="1" applyAlignment="1">
      <alignment horizontal="center" vertical="center"/>
    </xf>
    <xf numFmtId="0" fontId="46" fillId="3" borderId="8" xfId="0" applyFont="1" applyFill="1" applyBorder="1" applyAlignment="1">
      <alignment horizontal="center" vertical="center" wrapText="1"/>
    </xf>
    <xf numFmtId="0" fontId="47" fillId="25" borderId="8" xfId="0" applyFont="1" applyFill="1" applyBorder="1" applyAlignment="1">
      <alignment horizontal="center" wrapText="1"/>
    </xf>
    <xf numFmtId="0" fontId="41" fillId="0" borderId="14" xfId="0" applyFont="1" applyBorder="1" applyAlignment="1">
      <alignment horizontal="left" vertical="center" wrapText="1"/>
    </xf>
    <xf numFmtId="0" fontId="39" fillId="34" borderId="15" xfId="0" applyFont="1" applyFill="1" applyBorder="1" applyAlignment="1">
      <alignment horizontal="left" vertical="center" wrapText="1"/>
    </xf>
    <xf numFmtId="0" fontId="41" fillId="0" borderId="21" xfId="0" applyFont="1" applyBorder="1" applyAlignment="1">
      <alignment horizontal="left" vertical="center" wrapText="1"/>
    </xf>
    <xf numFmtId="0" fontId="41" fillId="0" borderId="22" xfId="0" applyFont="1" applyBorder="1" applyAlignment="1">
      <alignment horizontal="left" vertical="center" wrapText="1"/>
    </xf>
    <xf numFmtId="0" fontId="41" fillId="0" borderId="24" xfId="0" applyFont="1" applyBorder="1" applyAlignment="1">
      <alignment horizontal="left" vertical="center" wrapText="1"/>
    </xf>
    <xf numFmtId="0" fontId="41" fillId="0" borderId="25" xfId="0" applyFont="1" applyBorder="1" applyAlignment="1">
      <alignment horizontal="left" vertical="center" wrapText="1"/>
    </xf>
    <xf numFmtId="0" fontId="41" fillId="0" borderId="0" xfId="0" applyFont="1" applyAlignment="1">
      <alignment horizontal="left" vertical="center" wrapText="1"/>
    </xf>
    <xf numFmtId="0" fontId="41" fillId="0" borderId="23" xfId="0" applyFont="1" applyBorder="1" applyAlignment="1">
      <alignment horizontal="left" vertical="center" wrapText="1"/>
    </xf>
    <xf numFmtId="0" fontId="41" fillId="0" borderId="26" xfId="0" applyFont="1" applyBorder="1" applyAlignment="1">
      <alignment horizontal="left" vertical="center" wrapText="1"/>
    </xf>
    <xf numFmtId="0" fontId="41" fillId="0" borderId="27" xfId="0" applyFont="1" applyBorder="1" applyAlignment="1">
      <alignment horizontal="left" vertical="center" wrapText="1"/>
    </xf>
    <xf numFmtId="0" fontId="41" fillId="0" borderId="28" xfId="0" applyFont="1" applyBorder="1" applyAlignment="1">
      <alignment horizontal="left" vertical="center" wrapText="1"/>
    </xf>
    <xf numFmtId="0" fontId="43" fillId="32" borderId="0" xfId="0" applyFont="1" applyFill="1" applyAlignment="1">
      <alignment horizontal="center"/>
    </xf>
    <xf numFmtId="0" fontId="38" fillId="0" borderId="0" xfId="0" applyFont="1" applyAlignment="1">
      <alignment horizontal="center" vertical="center" wrapText="1"/>
    </xf>
    <xf numFmtId="0" fontId="43" fillId="33" borderId="0" xfId="0" applyFont="1" applyFill="1" applyAlignment="1">
      <alignment horizontal="center"/>
    </xf>
    <xf numFmtId="0" fontId="1" fillId="3"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6" fillId="46" borderId="18" xfId="0" applyFont="1" applyFill="1" applyBorder="1" applyAlignment="1">
      <alignment horizontal="left" vertical="center" wrapText="1"/>
    </xf>
    <xf numFmtId="0" fontId="55" fillId="40" borderId="18" xfId="0" applyFont="1" applyFill="1" applyBorder="1" applyAlignment="1">
      <alignment horizontal="center" vertical="center" wrapText="1"/>
    </xf>
    <xf numFmtId="0" fontId="54" fillId="47" borderId="18" xfId="0" applyFont="1" applyFill="1" applyBorder="1" applyAlignment="1">
      <alignment horizontal="left" vertical="center" wrapText="1"/>
    </xf>
    <xf numFmtId="0" fontId="54" fillId="47" borderId="20" xfId="0" applyFont="1" applyFill="1" applyBorder="1" applyAlignment="1">
      <alignment horizontal="left" vertical="center" wrapText="1"/>
    </xf>
    <xf numFmtId="0" fontId="54" fillId="48" borderId="18" xfId="0" applyFont="1" applyFill="1" applyBorder="1" applyAlignment="1">
      <alignment horizontal="left" vertical="center" wrapText="1"/>
    </xf>
    <xf numFmtId="0" fontId="54" fillId="48" borderId="20" xfId="0" applyFont="1" applyFill="1" applyBorder="1" applyAlignment="1">
      <alignment horizontal="left" vertical="center" wrapText="1"/>
    </xf>
    <xf numFmtId="0" fontId="54" fillId="2" borderId="18" xfId="0" applyFont="1" applyFill="1" applyBorder="1" applyAlignment="1">
      <alignment horizontal="center" vertical="center" wrapText="1"/>
    </xf>
    <xf numFmtId="0" fontId="54" fillId="2" borderId="18" xfId="0" applyFont="1" applyFill="1" applyBorder="1" applyAlignment="1">
      <alignment horizontal="left" vertical="center" wrapText="1"/>
    </xf>
    <xf numFmtId="0" fontId="57" fillId="46" borderId="18" xfId="0" applyFont="1" applyFill="1" applyBorder="1" applyAlignment="1">
      <alignment horizontal="center" vertical="center" wrapText="1"/>
    </xf>
    <xf numFmtId="0" fontId="10" fillId="0" borderId="0" xfId="1" applyFont="1" applyAlignment="1">
      <alignment wrapText="1"/>
    </xf>
    <xf numFmtId="0" fontId="8" fillId="0" borderId="0" xfId="1"/>
    <xf numFmtId="0" fontId="12" fillId="0" borderId="3" xfId="1" applyFont="1" applyBorder="1" applyAlignment="1">
      <alignment horizontal="left" vertical="center"/>
    </xf>
    <xf numFmtId="0" fontId="13" fillId="0" borderId="4" xfId="1" applyFont="1" applyBorder="1"/>
    <xf numFmtId="0" fontId="64" fillId="0" borderId="2" xfId="0" applyFont="1" applyFill="1" applyBorder="1" applyAlignment="1">
      <alignment horizontal="left" vertical="top" wrapText="1"/>
    </xf>
  </cellXfs>
  <cellStyles count="3">
    <cellStyle name="Normal" xfId="0" builtinId="0"/>
    <cellStyle name="Normal 2" xfId="1" xr:uid="{BEF0DE8A-4FDB-42FA-B4E8-A2080832DD4E}"/>
    <cellStyle name="Percent" xfId="2" builtinId="5"/>
  </cellStyles>
  <dxfs count="32">
    <dxf>
      <fill>
        <patternFill patternType="solid">
          <fgColor rgb="FFFCE5CD"/>
          <bgColor rgb="FFFCE5CD"/>
        </patternFill>
      </fill>
    </dxf>
    <dxf>
      <fill>
        <patternFill patternType="solid">
          <fgColor rgb="FFD9EAD3"/>
          <bgColor rgb="FFD9EAD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1E8449"/>
        <name val="Arial"/>
        <charset val="1"/>
      </font>
      <fill>
        <patternFill>
          <bgColor rgb="FFE8F8F5"/>
        </patternFill>
      </fill>
    </dxf>
    <dxf>
      <font>
        <b/>
        <sz val="8"/>
        <color rgb="FF7D6608"/>
        <name val="Arial"/>
        <charset val="1"/>
      </font>
      <fill>
        <patternFill>
          <bgColor rgb="FFFEF9E7"/>
        </patternFill>
      </fill>
    </dxf>
    <dxf>
      <font>
        <b/>
        <sz val="8"/>
        <color rgb="FFC8102E"/>
        <name val="Arial"/>
        <charset val="1"/>
      </font>
      <fill>
        <patternFill>
          <bgColor rgb="FFFDDEDE"/>
        </patternFill>
      </fill>
    </dxf>
    <dxf>
      <font>
        <b/>
        <sz val="8"/>
        <color rgb="FF1E8449"/>
        <name val="Arial"/>
        <charset val="1"/>
      </font>
      <fill>
        <patternFill>
          <bgColor rgb="FFE8F8F5"/>
        </patternFill>
      </fill>
    </dxf>
    <dxf>
      <font>
        <b/>
        <sz val="8"/>
        <color rgb="FF7D6608"/>
        <name val="Arial"/>
        <charset val="1"/>
      </font>
      <fill>
        <patternFill>
          <bgColor rgb="FFFEF9E7"/>
        </patternFill>
      </fill>
    </dxf>
    <dxf>
      <font>
        <b/>
        <sz val="8"/>
        <color rgb="FFC8102E"/>
        <name val="Arial"/>
        <charset val="1"/>
      </font>
      <fill>
        <patternFill>
          <bgColor rgb="FFFDDEDE"/>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C8102E"/>
        <name val="Arial"/>
        <charset val="1"/>
      </font>
      <fill>
        <patternFill>
          <bgColor rgb="FFFDDEDE"/>
        </patternFill>
      </fill>
    </dxf>
    <dxf>
      <font>
        <b/>
        <sz val="8"/>
        <color rgb="FF1E8449"/>
        <name val="Arial"/>
        <charset val="1"/>
      </font>
      <fill>
        <patternFill>
          <bgColor rgb="FFD5F5E3"/>
        </patternFill>
      </fill>
    </dxf>
    <dxf>
      <font>
        <b/>
        <sz val="8"/>
        <color rgb="FF1E8449"/>
        <name val="Arial"/>
        <charset val="1"/>
      </font>
      <fill>
        <patternFill>
          <bgColor rgb="FFE8F8F5"/>
        </patternFill>
      </fill>
    </dxf>
    <dxf>
      <font>
        <b/>
        <sz val="8"/>
        <color rgb="FF7D6608"/>
        <name val="Arial"/>
        <charset val="1"/>
      </font>
      <fill>
        <patternFill>
          <bgColor rgb="FFFEF9E7"/>
        </patternFill>
      </fill>
    </dxf>
    <dxf>
      <font>
        <b/>
        <sz val="8"/>
        <color rgb="FFC8102E"/>
        <name val="Arial"/>
        <charset val="1"/>
      </font>
      <fill>
        <patternFill>
          <bgColor rgb="FFFDDEDE"/>
        </patternFill>
      </fill>
    </dxf>
    <dxf>
      <fill>
        <patternFill patternType="solid">
          <fgColor rgb="FF93C47D"/>
          <bgColor rgb="FF93C47D"/>
        </patternFill>
      </fill>
    </dxf>
  </dxfs>
  <tableStyles count="0" defaultTableStyle="TableStyleMedium2" defaultPivotStyle="PivotStyleLight16"/>
  <colors>
    <indexedColors>
      <rgbColor rgb="FF000000"/>
      <rgbColor rgb="FFFFFFFF"/>
      <rgbColor rgb="FFC8102E"/>
      <rgbColor rgb="FF00FF00"/>
      <rgbColor rgb="FF0000FF"/>
      <rgbColor rgb="FFFFFF00"/>
      <rgbColor rgb="FFFF00FF"/>
      <rgbColor rgb="FF00FFFF"/>
      <rgbColor rgb="FF800000"/>
      <rgbColor rgb="FF008000"/>
      <rgbColor rgb="FF000080"/>
      <rgbColor rgb="FF7D6608"/>
      <rgbColor rgb="FF800080"/>
      <rgbColor rgb="FF008080"/>
      <rgbColor rgb="FFBDBDBD"/>
      <rgbColor rgb="FF808080"/>
      <rgbColor rgb="FF9999FF"/>
      <rgbColor rgb="FF993366"/>
      <rgbColor rgb="FFFFF9C4"/>
      <rgbColor rgb="FFE8F8F5"/>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EF9E7"/>
      <rgbColor rgb="FFF7F3FF"/>
      <rgbColor rgb="FFFF99CC"/>
      <rgbColor rgb="FFCC99FF"/>
      <rgbColor rgb="FFFDDEDE"/>
      <rgbColor rgb="FF3366FF"/>
      <rgbColor rgb="FF33CCCC"/>
      <rgbColor rgb="FF99CC00"/>
      <rgbColor rgb="FFFFCC00"/>
      <rgbColor rgb="FFFF9900"/>
      <rgbColor rgb="FFFF6600"/>
      <rgbColor rgb="FF555555"/>
      <rgbColor rgb="FF969696"/>
      <rgbColor rgb="FF0E4F8B"/>
      <rgbColor rgb="FF1E8449"/>
      <rgbColor rgb="FF003300"/>
      <rgbColor rgb="FF1A1A2E"/>
      <rgbColor rgb="FF993300"/>
      <rgbColor rgb="FF993366"/>
      <rgbColor rgb="FF333399"/>
      <rgbColor rgb="FF4A23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8.xml.rels><?xml version="1.0" encoding="UTF-8" standalone="yes"?>
<Relationships xmlns="http://schemas.openxmlformats.org/package/2006/relationships"><Relationship Id="rId1" Type="http://schemas.openxmlformats.org/officeDocument/2006/relationships/hyperlink" Target="http://15_minuta_s1s2_smartvista_maquila_2026-07-07.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E474F-4691-4A43-8E3F-D551C5553A8F}">
  <sheetPr>
    <tabColor rgb="FF0D1B2A"/>
  </sheetPr>
  <dimension ref="A1:E34"/>
  <sheetViews>
    <sheetView showGridLines="0" topLeftCell="A15" zoomScale="90" zoomScaleNormal="90" workbookViewId="0">
      <selection activeCell="B24" sqref="B24:E24"/>
    </sheetView>
  </sheetViews>
  <sheetFormatPr defaultColWidth="8.54296875" defaultRowHeight="14"/>
  <cols>
    <col min="1" max="1" width="3" style="85" customWidth="1"/>
    <col min="2" max="2" width="22" style="85" customWidth="1"/>
    <col min="3" max="3" width="55" style="85" customWidth="1"/>
    <col min="4" max="5" width="22" style="85" customWidth="1"/>
    <col min="6" max="16384" width="8.54296875" style="85"/>
  </cols>
  <sheetData>
    <row r="1" spans="1:5" ht="9.75" customHeight="1">
      <c r="A1" s="225"/>
      <c r="B1" s="225"/>
      <c r="C1" s="225"/>
      <c r="D1" s="225"/>
      <c r="E1" s="225"/>
    </row>
    <row r="2" spans="1:5" ht="18" customHeight="1">
      <c r="B2" s="226" t="s">
        <v>1464</v>
      </c>
      <c r="C2" s="226"/>
      <c r="D2" s="226"/>
      <c r="E2" s="226"/>
    </row>
    <row r="3" spans="1:5" ht="18" customHeight="1">
      <c r="B3" s="226"/>
      <c r="C3" s="226"/>
      <c r="D3" s="226"/>
      <c r="E3" s="226"/>
    </row>
    <row r="4" spans="1:5" ht="18" customHeight="1">
      <c r="B4" s="226"/>
      <c r="C4" s="226"/>
      <c r="D4" s="226"/>
      <c r="E4" s="226"/>
    </row>
    <row r="5" spans="1:5" ht="18" customHeight="1">
      <c r="B5" s="226"/>
      <c r="C5" s="226"/>
      <c r="D5" s="226"/>
      <c r="E5" s="226"/>
    </row>
    <row r="6" spans="1:5" ht="18" customHeight="1">
      <c r="B6" s="226"/>
      <c r="C6" s="226"/>
      <c r="D6" s="226"/>
      <c r="E6" s="226"/>
    </row>
    <row r="7" spans="1:5" ht="18" customHeight="1">
      <c r="B7" s="226"/>
      <c r="C7" s="226"/>
      <c r="D7" s="226"/>
      <c r="E7" s="226"/>
    </row>
    <row r="8" spans="1:5" ht="18" customHeight="1">
      <c r="B8" s="226"/>
      <c r="C8" s="226"/>
      <c r="D8" s="226"/>
      <c r="E8" s="226"/>
    </row>
    <row r="9" spans="1:5" ht="6" customHeight="1">
      <c r="B9" s="227"/>
      <c r="C9" s="227"/>
      <c r="D9" s="227"/>
      <c r="E9" s="227"/>
    </row>
    <row r="10" spans="1:5" ht="6" customHeight="1"/>
    <row r="11" spans="1:5">
      <c r="B11" s="86" t="s">
        <v>1465</v>
      </c>
    </row>
    <row r="13" spans="1:5" ht="21.75" customHeight="1">
      <c r="B13" s="215" t="s">
        <v>1428</v>
      </c>
      <c r="C13" s="215"/>
      <c r="D13" s="215"/>
      <c r="E13" s="215"/>
    </row>
    <row r="14" spans="1:5" ht="170.5" customHeight="1">
      <c r="B14" s="87" t="s">
        <v>1466</v>
      </c>
      <c r="C14" s="214" t="s">
        <v>1492</v>
      </c>
      <c r="D14" s="214"/>
      <c r="E14" s="214"/>
    </row>
    <row r="15" spans="1:5" ht="92.5" customHeight="1">
      <c r="B15" s="87" t="s">
        <v>1467</v>
      </c>
      <c r="C15" s="214" t="s">
        <v>1493</v>
      </c>
      <c r="D15" s="214"/>
      <c r="E15" s="214"/>
    </row>
    <row r="16" spans="1:5" ht="91.5" customHeight="1">
      <c r="B16" s="87" t="s">
        <v>1468</v>
      </c>
      <c r="C16" s="214" t="s">
        <v>1494</v>
      </c>
      <c r="D16" s="214"/>
      <c r="E16" s="214"/>
    </row>
    <row r="17" spans="2:5" ht="77" customHeight="1">
      <c r="B17" s="87" t="s">
        <v>1469</v>
      </c>
      <c r="C17" s="214" t="s">
        <v>1495</v>
      </c>
      <c r="D17" s="214"/>
      <c r="E17" s="214"/>
    </row>
    <row r="19" spans="2:5">
      <c r="B19" s="215" t="s">
        <v>1470</v>
      </c>
      <c r="C19" s="215"/>
      <c r="D19" s="215"/>
      <c r="E19" s="215"/>
    </row>
    <row r="20" spans="2:5" ht="21" customHeight="1">
      <c r="B20" s="87" t="s">
        <v>22</v>
      </c>
      <c r="C20" s="216" t="s">
        <v>1546</v>
      </c>
      <c r="D20" s="217"/>
      <c r="E20" s="218"/>
    </row>
    <row r="21" spans="2:5" ht="19.5" customHeight="1">
      <c r="B21" s="87" t="s">
        <v>25</v>
      </c>
      <c r="C21" s="219"/>
      <c r="D21" s="220"/>
      <c r="E21" s="221"/>
    </row>
    <row r="22" spans="2:5" ht="19" customHeight="1">
      <c r="B22" s="87" t="s">
        <v>34</v>
      </c>
      <c r="C22" s="222"/>
      <c r="D22" s="223"/>
      <c r="E22" s="224"/>
    </row>
    <row r="24" spans="2:5">
      <c r="B24" s="215" t="s">
        <v>1471</v>
      </c>
      <c r="C24" s="215"/>
      <c r="D24" s="215"/>
      <c r="E24" s="215"/>
    </row>
    <row r="25" spans="2:5" ht="147.5" customHeight="1">
      <c r="B25" s="87" t="s">
        <v>1472</v>
      </c>
      <c r="C25" s="214" t="s">
        <v>1500</v>
      </c>
      <c r="D25" s="214"/>
      <c r="E25" s="214"/>
    </row>
    <row r="26" spans="2:5" ht="120.5" customHeight="1">
      <c r="B26" s="87" t="s">
        <v>1473</v>
      </c>
      <c r="C26" s="214" t="s">
        <v>1501</v>
      </c>
      <c r="D26" s="214"/>
      <c r="E26" s="214"/>
    </row>
    <row r="27" spans="2:5" ht="57" customHeight="1">
      <c r="B27" s="87" t="s">
        <v>1474</v>
      </c>
      <c r="C27" s="214" t="s">
        <v>1540</v>
      </c>
      <c r="D27" s="214"/>
      <c r="E27" s="214"/>
    </row>
    <row r="29" spans="2:5">
      <c r="B29" s="215" t="s">
        <v>1429</v>
      </c>
      <c r="C29" s="215"/>
      <c r="D29" s="215"/>
      <c r="E29" s="215"/>
    </row>
    <row r="30" spans="2:5" ht="56" customHeight="1">
      <c r="B30" s="87" t="s">
        <v>33</v>
      </c>
      <c r="C30" s="214" t="s">
        <v>1541</v>
      </c>
      <c r="D30" s="214"/>
      <c r="E30" s="214"/>
    </row>
    <row r="31" spans="2:5" ht="46" customHeight="1">
      <c r="B31" s="87" t="s">
        <v>1475</v>
      </c>
      <c r="C31" s="214" t="s">
        <v>1542</v>
      </c>
      <c r="D31" s="214"/>
      <c r="E31" s="214"/>
    </row>
    <row r="32" spans="2:5" ht="49.5" customHeight="1">
      <c r="B32" s="87" t="s">
        <v>45</v>
      </c>
      <c r="C32" s="214" t="s">
        <v>1544</v>
      </c>
      <c r="D32" s="214"/>
      <c r="E32" s="214"/>
    </row>
    <row r="33" spans="2:5" ht="57" customHeight="1">
      <c r="B33" s="87" t="s">
        <v>1476</v>
      </c>
      <c r="C33" s="214" t="s">
        <v>1545</v>
      </c>
      <c r="D33" s="214"/>
      <c r="E33" s="214"/>
    </row>
    <row r="34" spans="2:5">
      <c r="B34" s="87" t="s">
        <v>1477</v>
      </c>
      <c r="C34" s="214" t="s">
        <v>1478</v>
      </c>
      <c r="D34" s="214"/>
      <c r="E34" s="214"/>
    </row>
  </sheetData>
  <mergeCells count="20">
    <mergeCell ref="C15:E15"/>
    <mergeCell ref="C16:E16"/>
    <mergeCell ref="C17:E17"/>
    <mergeCell ref="A1:E1"/>
    <mergeCell ref="B2:E8"/>
    <mergeCell ref="B9:E9"/>
    <mergeCell ref="B13:E13"/>
    <mergeCell ref="C14:E14"/>
    <mergeCell ref="B24:E24"/>
    <mergeCell ref="C25:E25"/>
    <mergeCell ref="C26:E26"/>
    <mergeCell ref="C20:E22"/>
    <mergeCell ref="B19:E19"/>
    <mergeCell ref="C34:E34"/>
    <mergeCell ref="C27:E27"/>
    <mergeCell ref="B29:E29"/>
    <mergeCell ref="C30:E30"/>
    <mergeCell ref="C31:E31"/>
    <mergeCell ref="C32:E32"/>
    <mergeCell ref="C33:E3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AD92"/>
  <sheetViews>
    <sheetView showGridLines="0" tabSelected="1" zoomScale="70" zoomScaleNormal="70" workbookViewId="0">
      <pane xSplit="5" ySplit="2" topLeftCell="H43" activePane="bottomRight" state="frozen"/>
      <selection pane="topRight" activeCell="F1" sqref="F1"/>
      <selection pane="bottomLeft" activeCell="A3" sqref="A3"/>
      <selection pane="bottomRight" activeCell="L2" sqref="L2"/>
    </sheetView>
  </sheetViews>
  <sheetFormatPr defaultColWidth="8.6328125" defaultRowHeight="12" outlineLevelCol="1"/>
  <cols>
    <col min="1" max="1" width="19.453125" style="94" customWidth="1"/>
    <col min="2" max="2" width="16" style="94" customWidth="1"/>
    <col min="3" max="3" width="42" style="94" customWidth="1"/>
    <col min="4" max="4" width="14" style="94" customWidth="1"/>
    <col min="5" max="5" width="23.81640625" style="94" customWidth="1"/>
    <col min="6" max="6" width="44" style="94" customWidth="1"/>
    <col min="7" max="7" width="40.36328125" style="94" customWidth="1"/>
    <col min="8" max="9" width="22" style="94" customWidth="1"/>
    <col min="10" max="10" width="14" style="135" customWidth="1"/>
    <col min="11" max="11" width="14" style="94" customWidth="1"/>
    <col min="12" max="12" width="14.90625" style="94" customWidth="1"/>
    <col min="13" max="13" width="19.54296875" style="94" customWidth="1"/>
    <col min="14" max="16" width="30" style="94" customWidth="1"/>
    <col min="17" max="20" width="30" style="94" hidden="1" customWidth="1" outlineLevel="1"/>
    <col min="21" max="21" width="30" style="178" hidden="1" customWidth="1" outlineLevel="1"/>
    <col min="22" max="22" width="30" style="135" customWidth="1" collapsed="1"/>
    <col min="23" max="23" width="18.36328125" style="94" customWidth="1"/>
    <col min="24" max="24" width="15.08984375" style="94" customWidth="1"/>
    <col min="25" max="25" width="16" style="94" customWidth="1"/>
    <col min="26" max="26" width="13.81640625" style="94" customWidth="1"/>
    <col min="27" max="27" width="16.08984375" style="94" customWidth="1"/>
    <col min="28" max="28" width="13.54296875" style="94" customWidth="1"/>
    <col min="29" max="29" width="66.81640625" style="94" customWidth="1"/>
    <col min="30" max="30" width="29" style="94" bestFit="1" customWidth="1"/>
    <col min="31" max="16384" width="8.6328125" style="94"/>
  </cols>
  <sheetData>
    <row r="1" spans="1:30" ht="34" customHeight="1">
      <c r="A1" s="202" t="s">
        <v>0</v>
      </c>
      <c r="B1" s="202"/>
      <c r="C1" s="202"/>
      <c r="D1" s="202"/>
      <c r="E1" s="202"/>
      <c r="F1" s="212" t="s">
        <v>1</v>
      </c>
      <c r="G1" s="212"/>
      <c r="H1" s="212"/>
      <c r="I1" s="212"/>
      <c r="J1" s="203" t="s">
        <v>1427</v>
      </c>
      <c r="K1" s="204"/>
      <c r="L1" s="204"/>
      <c r="M1" s="204"/>
      <c r="N1" s="204"/>
      <c r="O1" s="204"/>
      <c r="P1" s="205"/>
      <c r="Q1" s="206" t="s">
        <v>1490</v>
      </c>
      <c r="R1" s="207"/>
      <c r="S1" s="207"/>
      <c r="T1" s="208"/>
      <c r="U1" s="209"/>
      <c r="V1" s="207"/>
      <c r="W1" s="213" t="s">
        <v>1577</v>
      </c>
      <c r="X1" s="213"/>
      <c r="Y1" s="213" t="s">
        <v>1574</v>
      </c>
      <c r="Z1" s="213"/>
      <c r="AA1" s="213" t="s">
        <v>1491</v>
      </c>
      <c r="AB1" s="213"/>
      <c r="AC1" s="210" t="s">
        <v>428</v>
      </c>
      <c r="AD1" s="211" t="s">
        <v>1504</v>
      </c>
    </row>
    <row r="2" spans="1:30" ht="23">
      <c r="A2" s="95" t="s">
        <v>4</v>
      </c>
      <c r="B2" s="95" t="s">
        <v>5</v>
      </c>
      <c r="C2" s="96" t="s">
        <v>416</v>
      </c>
      <c r="D2" s="95" t="s">
        <v>7</v>
      </c>
      <c r="E2" s="95" t="s">
        <v>1433</v>
      </c>
      <c r="F2" s="93" t="s">
        <v>8</v>
      </c>
      <c r="G2" s="93" t="s">
        <v>9</v>
      </c>
      <c r="H2" s="93" t="s">
        <v>10</v>
      </c>
      <c r="I2" s="93" t="s">
        <v>11</v>
      </c>
      <c r="J2" s="97" t="s">
        <v>1428</v>
      </c>
      <c r="K2" s="97" t="s">
        <v>1416</v>
      </c>
      <c r="L2" s="98" t="s">
        <v>1430</v>
      </c>
      <c r="M2" s="97" t="s">
        <v>1429</v>
      </c>
      <c r="N2" s="98" t="s">
        <v>1550</v>
      </c>
      <c r="O2" s="99" t="s">
        <v>1487</v>
      </c>
      <c r="P2" s="99" t="s">
        <v>1547</v>
      </c>
      <c r="Q2" s="100" t="s">
        <v>1538</v>
      </c>
      <c r="R2" s="100" t="s">
        <v>1537</v>
      </c>
      <c r="S2" s="100" t="s">
        <v>1503</v>
      </c>
      <c r="T2" s="130" t="s">
        <v>1536</v>
      </c>
      <c r="U2" s="175" t="s">
        <v>1488</v>
      </c>
      <c r="V2" s="101" t="s">
        <v>1489</v>
      </c>
      <c r="W2" s="102" t="s">
        <v>1431</v>
      </c>
      <c r="X2" s="102" t="s">
        <v>1432</v>
      </c>
      <c r="Y2" s="102" t="s">
        <v>1431</v>
      </c>
      <c r="Z2" s="102" t="s">
        <v>1432</v>
      </c>
      <c r="AA2" s="102" t="s">
        <v>1431</v>
      </c>
      <c r="AB2" s="102" t="s">
        <v>1720</v>
      </c>
      <c r="AC2" s="210"/>
      <c r="AD2" s="211"/>
    </row>
    <row r="3" spans="1:30" ht="69">
      <c r="A3" s="103" t="s">
        <v>15</v>
      </c>
      <c r="B3" s="103" t="s">
        <v>16</v>
      </c>
      <c r="C3" s="138" t="s">
        <v>17</v>
      </c>
      <c r="D3" s="103" t="s">
        <v>18</v>
      </c>
      <c r="E3" s="103" t="s">
        <v>1592</v>
      </c>
      <c r="F3" s="104" t="s">
        <v>19</v>
      </c>
      <c r="G3" s="104" t="s">
        <v>1405</v>
      </c>
      <c r="H3" s="104" t="s">
        <v>16</v>
      </c>
      <c r="I3" s="104" t="s">
        <v>21</v>
      </c>
      <c r="J3" s="137" t="s">
        <v>1466</v>
      </c>
      <c r="K3" s="104" t="s">
        <v>1472</v>
      </c>
      <c r="L3" s="104">
        <v>0</v>
      </c>
      <c r="M3" s="104" t="s">
        <v>1476</v>
      </c>
      <c r="N3" s="104" t="s">
        <v>1502</v>
      </c>
      <c r="O3" s="108">
        <v>5</v>
      </c>
      <c r="P3" s="108">
        <v>0</v>
      </c>
      <c r="Q3" s="104" t="str" cm="1">
        <f t="array" ref="Q3">+_xlfn.IFS(O3="","",O3&lt;=1,"Baja",O3&lt;=3,"Media",O3&gt;3,"Alta")</f>
        <v>Alta</v>
      </c>
      <c r="R3" s="104" t="str" cm="1">
        <f t="array" ref="R3">+_xlfn.IFS(P3="","",P3&lt;=0,"Baja",P3&lt;=2,"Media",P3&gt;2,"Alta")</f>
        <v>Baja</v>
      </c>
      <c r="S3" s="104" t="str" cm="1">
        <f t="array" ref="S3">+_xlfn.IFS(N3="","",N3="Componentes existentes reutilizables &gt;80%","Baja",N3="No Aplica","Baja",N3="Reutilización parcial 30-70%","Media",N3="Nuevo Desarrollo &lt;20%","Alta")</f>
        <v>Baja</v>
      </c>
      <c r="T3" s="104" t="str" cm="1">
        <f t="array" ref="T3">+_xlfn.IFS(L3="","",L3=0,"Baja",L3&lt;=2,"Media",L3&gt;=3,"Alta")</f>
        <v>Baja</v>
      </c>
      <c r="U3" s="104" cm="1">
        <f t="array" ref="U3">+IFERROR((+_xlfn.IFS(Q3="",0,Q3="Baja",1,Q3="Media",2,Q3="Alta",3)*'Scoring Complejidad'!$C$8+_xlfn.IFS(R3="Baja",1,R3="Media",2,R3="Alta",3)*'Scoring Complejidad'!$C$9+_xlfn.IFS(S3="Baja",1,S3="Media",2,S3="Alta",3)*'Scoring Complejidad'!$C$7+_xlfn.IFS(T3="",1,T3="Baja",1,T3="Media",2,T3="Alta",3)*'Scoring Complejidad'!$C$5+_xlfn.IFS(M3="Caja",1,M3="Configuración",2,M3="Desarrollo",3,M3="Desarrollo + Configuración",3,M3="No Aplica",0)*'Scoring Complejidad'!$C$6),"")</f>
        <v>1.8</v>
      </c>
      <c r="V3" s="137" t="str" cm="1">
        <f t="array" ref="V3">IFERROR(_xlfn.IFS(U3="","",U3&lt;=1.69,"Baja",U3&lt;=2.29,"Media",U3&lt;=3,"Alta",U3&gt;3,"Error"),"")</f>
        <v>Media</v>
      </c>
      <c r="W3" s="136" t="s">
        <v>1551</v>
      </c>
      <c r="X3" s="136" t="s">
        <v>1552</v>
      </c>
      <c r="Y3" s="136" t="s">
        <v>1553</v>
      </c>
      <c r="Z3" s="136" t="s">
        <v>1554</v>
      </c>
      <c r="AA3" s="136" t="s">
        <v>1555</v>
      </c>
      <c r="AB3" s="136" t="s">
        <v>1556</v>
      </c>
      <c r="AC3" s="103" t="s">
        <v>1633</v>
      </c>
      <c r="AD3" s="136">
        <v>46240</v>
      </c>
    </row>
    <row r="4" spans="1:30" ht="57.5">
      <c r="A4" s="105" t="s">
        <v>27</v>
      </c>
      <c r="B4" s="105" t="s">
        <v>16</v>
      </c>
      <c r="C4" s="139" t="s">
        <v>28</v>
      </c>
      <c r="D4" s="105" t="s">
        <v>18</v>
      </c>
      <c r="E4" s="105" t="s">
        <v>1592</v>
      </c>
      <c r="F4" s="106" t="s">
        <v>29</v>
      </c>
      <c r="G4" s="106" t="s">
        <v>1406</v>
      </c>
      <c r="H4" s="106" t="s">
        <v>16</v>
      </c>
      <c r="I4" s="106" t="s">
        <v>31</v>
      </c>
      <c r="J4" s="131" t="s">
        <v>1467</v>
      </c>
      <c r="K4" s="106" t="s">
        <v>1472</v>
      </c>
      <c r="L4" s="106">
        <v>0</v>
      </c>
      <c r="M4" s="106" t="s">
        <v>1476</v>
      </c>
      <c r="N4" s="106" t="s">
        <v>1543</v>
      </c>
      <c r="O4" s="106">
        <v>4</v>
      </c>
      <c r="P4" s="106">
        <v>1</v>
      </c>
      <c r="Q4" s="106" t="str" cm="1">
        <f t="array" ref="Q4">+_xlfn.IFS(O4="","",O4&lt;=1,"Baja",O4&lt;=3,"Media",O4&gt;3,"Alta")</f>
        <v>Alta</v>
      </c>
      <c r="R4" s="106" t="str" cm="1">
        <f t="array" ref="R4">+_xlfn.IFS(P4="","",P4&lt;=0,"Baja",P4&lt;=2,"Media",P4&gt;2,"Alta")</f>
        <v>Media</v>
      </c>
      <c r="S4" s="106" t="str" cm="1">
        <f t="array" ref="S4">+_xlfn.IFS(N4="","",N4="Componentes existentes reutilizables &gt;80%","Baja",N4="No Aplica","Baja",N4="Reutilización parcial 30-70%","Media",N4="Nuevo Desarrollo &lt;20%","Alta")</f>
        <v>Alta</v>
      </c>
      <c r="T4" s="106" t="str" cm="1">
        <f t="array" ref="T4">+_xlfn.IFS(L4="","",L4=0,"Baja",L4&lt;=2,"Media",L4&gt;=3,"Alta")</f>
        <v>Baja</v>
      </c>
      <c r="U4" s="106" cm="1">
        <f t="array" ref="U4">+IFERROR((+_xlfn.IFS(Q4="",0,Q4="Baja",1,Q4="Media",2,Q4="Alta",3)*'Scoring Complejidad'!$C$8+_xlfn.IFS(R4="Baja",1,R4="Media",2,R4="Alta",3)*'Scoring Complejidad'!$C$9+_xlfn.IFS(S4="Baja",1,S4="Media",2,S4="Alta",3)*'Scoring Complejidad'!$C$7+_xlfn.IFS(T4="",1,T4="Baja",1,T4="Media",2,T4="Alta",3)*'Scoring Complejidad'!$C$5+_xlfn.IFS(M4="Caja",1,M4="Configuración",2,M4="Desarrollo",3,M4="Desarrollo + Configuración",3,M4="No Aplica",0)*'Scoring Complejidad'!$C$6),"")</f>
        <v>2.2999999999999998</v>
      </c>
      <c r="V4" s="131" t="str" cm="1">
        <f t="array" ref="V4">IFERROR(_xlfn.IFS(U4="","",U4&lt;=1.69,"Baja",U4&lt;=2.29,"Media",U4&lt;=3,"Alta",U4&gt;3,"Error"),"")</f>
        <v>Alta</v>
      </c>
      <c r="W4" s="144" t="s">
        <v>1551</v>
      </c>
      <c r="X4" s="144" t="s">
        <v>1552</v>
      </c>
      <c r="Y4" s="144" t="s">
        <v>1553</v>
      </c>
      <c r="Z4" s="146" t="s">
        <v>1554</v>
      </c>
      <c r="AA4" s="146" t="s">
        <v>1555</v>
      </c>
      <c r="AB4" s="146" t="s">
        <v>1556</v>
      </c>
      <c r="AC4" s="105" t="s">
        <v>1634</v>
      </c>
      <c r="AD4" s="146">
        <v>46240</v>
      </c>
    </row>
    <row r="5" spans="1:30" ht="57.5">
      <c r="A5" s="107" t="s">
        <v>35</v>
      </c>
      <c r="B5" s="107" t="s">
        <v>16</v>
      </c>
      <c r="C5" s="140" t="s">
        <v>36</v>
      </c>
      <c r="D5" s="107" t="s">
        <v>18</v>
      </c>
      <c r="E5" s="107" t="s">
        <v>1592</v>
      </c>
      <c r="F5" s="108" t="s">
        <v>37</v>
      </c>
      <c r="G5" s="108" t="s">
        <v>1407</v>
      </c>
      <c r="H5" s="108" t="s">
        <v>16</v>
      </c>
      <c r="I5" s="108" t="s">
        <v>31</v>
      </c>
      <c r="J5" s="132" t="s">
        <v>1467</v>
      </c>
      <c r="K5" s="108" t="s">
        <v>1472</v>
      </c>
      <c r="L5" s="108">
        <v>0</v>
      </c>
      <c r="M5" s="108" t="s">
        <v>1476</v>
      </c>
      <c r="N5" s="108" t="s">
        <v>1543</v>
      </c>
      <c r="O5" s="108">
        <v>4</v>
      </c>
      <c r="P5" s="108">
        <v>0</v>
      </c>
      <c r="Q5" s="108" t="str" cm="1">
        <f t="array" ref="Q5">+_xlfn.IFS(O5="","",O5&lt;=1,"Baja",O5&lt;=3,"Media",O5&gt;3,"Alta")</f>
        <v>Alta</v>
      </c>
      <c r="R5" s="108" t="str" cm="1">
        <f t="array" ref="R5">+_xlfn.IFS(P5="","",P5&lt;=0,"Baja",P5&lt;=2,"Media",P5&gt;2,"Alta")</f>
        <v>Baja</v>
      </c>
      <c r="S5" s="108" t="str" cm="1">
        <f t="array" ref="S5">+_xlfn.IFS(N5="","",N5="Componentes existentes reutilizables &gt;80%","Baja",N5="No Aplica","Baja",N5="Reutilización parcial 30-70%","Media",N5="Nuevo Desarrollo &lt;20%","Alta")</f>
        <v>Alta</v>
      </c>
      <c r="T5" s="108" t="str" cm="1">
        <f t="array" ref="T5">+_xlfn.IFS(L5="","",L5=0,"Baja",L5&lt;=2,"Media",L5&gt;=3,"Alta")</f>
        <v>Baja</v>
      </c>
      <c r="U5" s="108" cm="1">
        <f t="array" ref="U5">+IFERROR((+_xlfn.IFS(Q5="",0,Q5="Baja",1,Q5="Media",2,Q5="Alta",3)*'Scoring Complejidad'!$C$8+_xlfn.IFS(R5="Baja",1,R5="Media",2,R5="Alta",3)*'Scoring Complejidad'!$C$9+_xlfn.IFS(S5="Baja",1,S5="Media",2,S5="Alta",3)*'Scoring Complejidad'!$C$7+_xlfn.IFS(T5="",1,T5="Baja",1,T5="Media",2,T5="Alta",3)*'Scoring Complejidad'!$C$5+_xlfn.IFS(M5="Caja",1,M5="Configuración",2,M5="Desarrollo",3,M5="Desarrollo + Configuración",3,M5="No Aplica",0)*'Scoring Complejidad'!$C$6),"")</f>
        <v>2.2000000000000002</v>
      </c>
      <c r="V5" s="132" t="str" cm="1">
        <f t="array" ref="V5">IFERROR(_xlfn.IFS(U5="","",U5&lt;=1.69,"Baja",U5&lt;=2.29,"Media",U5&lt;=3,"Alta",U5&gt;3,"Error"),"")</f>
        <v>Media</v>
      </c>
      <c r="W5" s="143" t="s">
        <v>1551</v>
      </c>
      <c r="X5" s="143" t="s">
        <v>1552</v>
      </c>
      <c r="Y5" s="143" t="s">
        <v>1553</v>
      </c>
      <c r="Z5" s="145" t="s">
        <v>1554</v>
      </c>
      <c r="AA5" s="145" t="s">
        <v>1555</v>
      </c>
      <c r="AB5" s="145" t="s">
        <v>1556</v>
      </c>
      <c r="AC5" s="107" t="s">
        <v>1635</v>
      </c>
      <c r="AD5" s="145">
        <v>46240</v>
      </c>
    </row>
    <row r="6" spans="1:30" ht="69">
      <c r="A6" s="105" t="s">
        <v>40</v>
      </c>
      <c r="B6" s="105" t="s">
        <v>16</v>
      </c>
      <c r="C6" s="139" t="s">
        <v>41</v>
      </c>
      <c r="D6" s="105" t="s">
        <v>18</v>
      </c>
      <c r="E6" s="105" t="s">
        <v>1592</v>
      </c>
      <c r="F6" s="106" t="s">
        <v>42</v>
      </c>
      <c r="G6" s="106" t="s">
        <v>1408</v>
      </c>
      <c r="H6" s="106" t="s">
        <v>16</v>
      </c>
      <c r="I6" s="106" t="s">
        <v>31</v>
      </c>
      <c r="J6" s="131" t="s">
        <v>1466</v>
      </c>
      <c r="K6" s="106" t="s">
        <v>1472</v>
      </c>
      <c r="L6" s="106">
        <v>0</v>
      </c>
      <c r="M6" s="106" t="s">
        <v>1476</v>
      </c>
      <c r="N6" s="106" t="s">
        <v>1543</v>
      </c>
      <c r="O6" s="106">
        <v>3</v>
      </c>
      <c r="P6" s="106">
        <v>0</v>
      </c>
      <c r="Q6" s="106" t="str" cm="1">
        <f t="array" ref="Q6">+_xlfn.IFS(O6="","",O6&lt;=1,"Baja",O6&lt;=3,"Media",O6&gt;3,"Alta")</f>
        <v>Media</v>
      </c>
      <c r="R6" s="106" t="str" cm="1">
        <f t="array" ref="R6">+_xlfn.IFS(P6="","",P6&lt;=0,"Baja",P6&lt;=2,"Media",P6&gt;2,"Alta")</f>
        <v>Baja</v>
      </c>
      <c r="S6" s="106" t="str" cm="1">
        <f t="array" ref="S6">+_xlfn.IFS(N6="","",N6="Componentes existentes reutilizables &gt;80%","Baja",N6="No Aplica","Baja",N6="Reutilización parcial 30-70%","Media",N6="Nuevo Desarrollo &lt;20%","Alta")</f>
        <v>Alta</v>
      </c>
      <c r="T6" s="106" t="str" cm="1">
        <f t="array" ref="T6">+_xlfn.IFS(L6="","",L6=0,"Baja",L6&lt;=2,"Media",L6&gt;=3,"Alta")</f>
        <v>Baja</v>
      </c>
      <c r="U6" s="106" cm="1">
        <f t="array" ref="U6">+IFERROR((+_xlfn.IFS(Q6="",0,Q6="Baja",1,Q6="Media",2,Q6="Alta",3)*'Scoring Complejidad'!$C$8+_xlfn.IFS(R6="Baja",1,R6="Media",2,R6="Alta",3)*'Scoring Complejidad'!$C$9+_xlfn.IFS(S6="Baja",1,S6="Media",2,S6="Alta",3)*'Scoring Complejidad'!$C$7+_xlfn.IFS(T6="",1,T6="Baja",1,T6="Media",2,T6="Alta",3)*'Scoring Complejidad'!$C$5+_xlfn.IFS(M6="Caja",1,M6="Configuración",2,M6="Desarrollo",3,M6="Desarrollo + Configuración",3,M6="No Aplica",0)*'Scoring Complejidad'!$C$6),"")</f>
        <v>2.0499999999999998</v>
      </c>
      <c r="V6" s="131" t="str" cm="1">
        <f t="array" ref="V6">IFERROR(_xlfn.IFS(U6="","",U6&lt;=1.69,"Baja",U6&lt;=2.29,"Media",U6&lt;=3,"Alta",U6&gt;3,"Error"),"")</f>
        <v>Media</v>
      </c>
      <c r="W6" s="144" t="s">
        <v>1551</v>
      </c>
      <c r="X6" s="144" t="s">
        <v>1552</v>
      </c>
      <c r="Y6" s="144" t="s">
        <v>1553</v>
      </c>
      <c r="Z6" s="146" t="s">
        <v>1554</v>
      </c>
      <c r="AA6" s="146" t="s">
        <v>1555</v>
      </c>
      <c r="AB6" s="146" t="s">
        <v>1556</v>
      </c>
      <c r="AC6" s="105" t="s">
        <v>1635</v>
      </c>
      <c r="AD6" s="146">
        <v>46240</v>
      </c>
    </row>
    <row r="7" spans="1:30" ht="57.5">
      <c r="A7" s="107" t="s">
        <v>47</v>
      </c>
      <c r="B7" s="107" t="s">
        <v>16</v>
      </c>
      <c r="C7" s="140" t="s">
        <v>48</v>
      </c>
      <c r="D7" s="107" t="s">
        <v>18</v>
      </c>
      <c r="E7" s="107" t="s">
        <v>1592</v>
      </c>
      <c r="F7" s="108" t="s">
        <v>49</v>
      </c>
      <c r="G7" s="108" t="s">
        <v>1409</v>
      </c>
      <c r="H7" s="108" t="s">
        <v>16</v>
      </c>
      <c r="I7" s="108" t="s">
        <v>31</v>
      </c>
      <c r="J7" s="132" t="s">
        <v>1466</v>
      </c>
      <c r="K7" s="108" t="s">
        <v>1472</v>
      </c>
      <c r="L7" s="108">
        <v>0</v>
      </c>
      <c r="M7" s="108" t="s">
        <v>1476</v>
      </c>
      <c r="N7" s="104" t="s">
        <v>1558</v>
      </c>
      <c r="O7" s="108">
        <v>3</v>
      </c>
      <c r="P7" s="108">
        <v>1</v>
      </c>
      <c r="Q7" s="108" t="str" cm="1">
        <f t="array" ref="Q7">+_xlfn.IFS(O7="","",O7&lt;=1,"Baja",O7&lt;=3,"Media",O7&gt;3,"Alta")</f>
        <v>Media</v>
      </c>
      <c r="R7" s="108" t="str" cm="1">
        <f t="array" ref="R7">+_xlfn.IFS(P7="","",P7&lt;=0,"Baja",P7&lt;=2,"Media",P7&gt;2,"Alta")</f>
        <v>Media</v>
      </c>
      <c r="S7" s="108" t="str" cm="1">
        <f t="array" ref="S7">+_xlfn.IFS(N7="","",N7="Componentes existentes reutilizables &gt;80%","Baja",N7="No Aplica","Baja",N7="Reutilización parcial 30-70%","Media",N7="Nuevo Desarrollo &lt;20%","Alta")</f>
        <v>Media</v>
      </c>
      <c r="T7" s="108" t="str" cm="1">
        <f t="array" ref="T7">+_xlfn.IFS(L7="","",L7=0,"Baja",L7&lt;=2,"Media",L7&gt;=3,"Alta")</f>
        <v>Baja</v>
      </c>
      <c r="U7" s="108" cm="1">
        <f t="array" ref="U7">+IFERROR((+_xlfn.IFS(Q7="",0,Q7="Baja",1,Q7="Media",2,Q7="Alta",3)*'Scoring Complejidad'!$C$8+_xlfn.IFS(R7="Baja",1,R7="Media",2,R7="Alta",3)*'Scoring Complejidad'!$C$9+_xlfn.IFS(S7="Baja",1,S7="Media",2,S7="Alta",3)*'Scoring Complejidad'!$C$7+_xlfn.IFS(T7="",1,T7="Baja",1,T7="Media",2,T7="Alta",3)*'Scoring Complejidad'!$C$5+_xlfn.IFS(M7="Caja",1,M7="Configuración",2,M7="Desarrollo",3,M7="Desarrollo + Configuración",3,M7="No Aplica",0)*'Scoring Complejidad'!$C$6),"")</f>
        <v>1.95</v>
      </c>
      <c r="V7" s="132" t="str" cm="1">
        <f t="array" ref="V7">IFERROR(_xlfn.IFS(U7="","",U7&lt;=1.69,"Baja",U7&lt;=2.29,"Media",U7&lt;=3,"Alta",U7&gt;3,"Error"),"")</f>
        <v>Media</v>
      </c>
      <c r="W7" s="143" t="s">
        <v>1551</v>
      </c>
      <c r="X7" s="143" t="s">
        <v>1552</v>
      </c>
      <c r="Y7" s="143" t="s">
        <v>1553</v>
      </c>
      <c r="Z7" s="145" t="s">
        <v>1554</v>
      </c>
      <c r="AA7" s="145" t="s">
        <v>1555</v>
      </c>
      <c r="AB7" s="145" t="s">
        <v>1556</v>
      </c>
      <c r="AC7" s="107" t="s">
        <v>1634</v>
      </c>
      <c r="AD7" s="145">
        <v>46240</v>
      </c>
    </row>
    <row r="8" spans="1:30" ht="80.5">
      <c r="A8" s="105" t="s">
        <v>52</v>
      </c>
      <c r="B8" s="105" t="s">
        <v>16</v>
      </c>
      <c r="C8" s="139" t="s">
        <v>53</v>
      </c>
      <c r="D8" s="105" t="s">
        <v>18</v>
      </c>
      <c r="E8" s="105" t="s">
        <v>1592</v>
      </c>
      <c r="F8" s="106" t="s">
        <v>54</v>
      </c>
      <c r="G8" s="106" t="s">
        <v>1410</v>
      </c>
      <c r="H8" s="106" t="s">
        <v>16</v>
      </c>
      <c r="I8" s="106" t="s">
        <v>56</v>
      </c>
      <c r="J8" s="131" t="s">
        <v>1466</v>
      </c>
      <c r="K8" s="106" t="s">
        <v>1559</v>
      </c>
      <c r="L8" s="106">
        <v>2</v>
      </c>
      <c r="M8" s="106" t="s">
        <v>1476</v>
      </c>
      <c r="N8" s="106" t="s">
        <v>1558</v>
      </c>
      <c r="O8" s="106">
        <v>3</v>
      </c>
      <c r="P8" s="106">
        <v>1</v>
      </c>
      <c r="Q8" s="106" t="str" cm="1">
        <f t="array" ref="Q8">+_xlfn.IFS(O8="","",O8&lt;=1,"Baja",O8&lt;=3,"Media",O8&gt;3,"Alta")</f>
        <v>Media</v>
      </c>
      <c r="R8" s="106" t="str" cm="1">
        <f t="array" ref="R8">+_xlfn.IFS(P8="","",P8&lt;=0,"Baja",P8&lt;=2,"Media",P8&gt;2,"Alta")</f>
        <v>Media</v>
      </c>
      <c r="S8" s="106" t="str" cm="1">
        <f t="array" ref="S8">+_xlfn.IFS(N8="","",N8="Componentes existentes reutilizables &gt;80%","Baja",N8="No Aplica","Baja",N8="Reutilización parcial 30-70%","Media",N8="Nuevo Desarrollo &lt;20%","Alta")</f>
        <v>Media</v>
      </c>
      <c r="T8" s="106" t="str" cm="1">
        <f t="array" ref="T8">+_xlfn.IFS(L8="","",L8=0,"Baja",L8&lt;=2,"Media",L8&gt;=3,"Alta")</f>
        <v>Media</v>
      </c>
      <c r="U8" s="106" cm="1">
        <f t="array" ref="U8">+IFERROR((+_xlfn.IFS(Q8="",0,Q8="Baja",1,Q8="Media",2,Q8="Alta",3)*'Scoring Complejidad'!$C$8+_xlfn.IFS(R8="Baja",1,R8="Media",2,R8="Alta",3)*'Scoring Complejidad'!$C$9+_xlfn.IFS(S8="Baja",1,S8="Media",2,S8="Alta",3)*'Scoring Complejidad'!$C$7+_xlfn.IFS(T8="",1,T8="Baja",1,T8="Media",2,T8="Alta",3)*'Scoring Complejidad'!$C$5+_xlfn.IFS(M8="Caja",1,M8="Configuración",2,M8="Desarrollo",3,M8="Desarrollo + Configuración",3,M8="No Aplica",0)*'Scoring Complejidad'!$C$6),"")</f>
        <v>2.25</v>
      </c>
      <c r="V8" s="131" t="str" cm="1">
        <f t="array" ref="V8">IFERROR(_xlfn.IFS(U8="","",U8&lt;=1.69,"Baja",U8&lt;=2.29,"Media",U8&lt;=3,"Alta",U8&gt;3,"Error"),"")</f>
        <v>Media</v>
      </c>
      <c r="W8" s="144" t="s">
        <v>1551</v>
      </c>
      <c r="X8" s="144" t="s">
        <v>1552</v>
      </c>
      <c r="Y8" s="144" t="s">
        <v>1553</v>
      </c>
      <c r="Z8" s="146" t="s">
        <v>1554</v>
      </c>
      <c r="AA8" s="146" t="s">
        <v>1555</v>
      </c>
      <c r="AB8" s="146" t="s">
        <v>1556</v>
      </c>
      <c r="AC8" s="105" t="s">
        <v>1636</v>
      </c>
      <c r="AD8" s="146">
        <v>46240</v>
      </c>
    </row>
    <row r="9" spans="1:30" ht="57.5">
      <c r="A9" s="107" t="s">
        <v>58</v>
      </c>
      <c r="B9" s="107" t="s">
        <v>16</v>
      </c>
      <c r="C9" s="140" t="s">
        <v>59</v>
      </c>
      <c r="D9" s="107" t="s">
        <v>18</v>
      </c>
      <c r="E9" s="107" t="s">
        <v>1592</v>
      </c>
      <c r="F9" s="108" t="s">
        <v>60</v>
      </c>
      <c r="G9" s="108" t="s">
        <v>1411</v>
      </c>
      <c r="H9" s="108" t="s">
        <v>16</v>
      </c>
      <c r="I9" s="108" t="s">
        <v>62</v>
      </c>
      <c r="J9" s="132" t="s">
        <v>1467</v>
      </c>
      <c r="K9" s="108" t="s">
        <v>1472</v>
      </c>
      <c r="L9" s="108">
        <v>0</v>
      </c>
      <c r="M9" s="108" t="s">
        <v>1476</v>
      </c>
      <c r="N9" s="108" t="s">
        <v>1543</v>
      </c>
      <c r="O9" s="108">
        <v>2</v>
      </c>
      <c r="P9" s="108">
        <v>1</v>
      </c>
      <c r="Q9" s="108" t="str" cm="1">
        <f t="array" ref="Q9">+_xlfn.IFS(O9="","",O9&lt;=1,"Baja",O9&lt;=3,"Media",O9&gt;3,"Alta")</f>
        <v>Media</v>
      </c>
      <c r="R9" s="108" t="str" cm="1">
        <f t="array" ref="R9">+_xlfn.IFS(P9="","",P9&lt;=0,"Baja",P9&lt;=2,"Media",P9&gt;2,"Alta")</f>
        <v>Media</v>
      </c>
      <c r="S9" s="108" t="str" cm="1">
        <f t="array" ref="S9">+_xlfn.IFS(N9="","",N9="Componentes existentes reutilizables &gt;80%","Baja",N9="No Aplica","Baja",N9="Reutilización parcial 30-70%","Media",N9="Nuevo Desarrollo &lt;20%","Alta")</f>
        <v>Alta</v>
      </c>
      <c r="T9" s="108" t="str" cm="1">
        <f t="array" ref="T9">+_xlfn.IFS(L9="","",L9=0,"Baja",L9&lt;=2,"Media",L9&gt;=3,"Alta")</f>
        <v>Baja</v>
      </c>
      <c r="U9" s="108" cm="1">
        <f t="array" ref="U9">+IFERROR((+_xlfn.IFS(Q9="",0,Q9="Baja",1,Q9="Media",2,Q9="Alta",3)*'Scoring Complejidad'!$C$8+_xlfn.IFS(R9="Baja",1,R9="Media",2,R9="Alta",3)*'Scoring Complejidad'!$C$9+_xlfn.IFS(S9="Baja",1,S9="Media",2,S9="Alta",3)*'Scoring Complejidad'!$C$7+_xlfn.IFS(T9="",1,T9="Baja",1,T9="Media",2,T9="Alta",3)*'Scoring Complejidad'!$C$5+_xlfn.IFS(M9="Caja",1,M9="Configuración",2,M9="Desarrollo",3,M9="Desarrollo + Configuración",3,M9="No Aplica",0)*'Scoring Complejidad'!$C$6),"")</f>
        <v>2.1500000000000004</v>
      </c>
      <c r="V9" s="132" t="str" cm="1">
        <f t="array" ref="V9">IFERROR(_xlfn.IFS(U9="","",U9&lt;=1.69,"Baja",U9&lt;=2.29,"Media",U9&lt;=3,"Alta",U9&gt;3,"Error"),"")</f>
        <v>Media</v>
      </c>
      <c r="W9" s="143" t="s">
        <v>1551</v>
      </c>
      <c r="X9" s="143" t="s">
        <v>1552</v>
      </c>
      <c r="Y9" s="143" t="s">
        <v>1553</v>
      </c>
      <c r="Z9" s="145" t="s">
        <v>1554</v>
      </c>
      <c r="AA9" s="145" t="s">
        <v>1555</v>
      </c>
      <c r="AB9" s="145" t="s">
        <v>1556</v>
      </c>
      <c r="AC9" s="107" t="s">
        <v>1634</v>
      </c>
      <c r="AD9" s="145">
        <v>46240</v>
      </c>
    </row>
    <row r="10" spans="1:30" ht="80.5">
      <c r="A10" s="105" t="s">
        <v>64</v>
      </c>
      <c r="B10" s="105" t="s">
        <v>16</v>
      </c>
      <c r="C10" s="139" t="s">
        <v>65</v>
      </c>
      <c r="D10" s="105" t="s">
        <v>18</v>
      </c>
      <c r="E10" s="105" t="s">
        <v>1592</v>
      </c>
      <c r="F10" s="106" t="s">
        <v>66</v>
      </c>
      <c r="G10" s="106" t="s">
        <v>1412</v>
      </c>
      <c r="H10" s="106" t="s">
        <v>68</v>
      </c>
      <c r="I10" s="106" t="s">
        <v>69</v>
      </c>
      <c r="J10" s="131" t="s">
        <v>1466</v>
      </c>
      <c r="K10" s="106" t="s">
        <v>1557</v>
      </c>
      <c r="L10" s="106">
        <v>3</v>
      </c>
      <c r="M10" s="106" t="s">
        <v>1477</v>
      </c>
      <c r="N10" s="106" t="s">
        <v>1477</v>
      </c>
      <c r="O10" s="106">
        <v>0</v>
      </c>
      <c r="P10" s="106">
        <v>0</v>
      </c>
      <c r="Q10" s="106" t="str" cm="1">
        <f t="array" ref="Q10">+_xlfn.IFS(O10="","",O10&lt;=1,"Baja",O10&lt;=3,"Media",O10&gt;3,"Alta")</f>
        <v>Baja</v>
      </c>
      <c r="R10" s="106" t="str" cm="1">
        <f t="array" ref="R10">+_xlfn.IFS(P10="","",P10&lt;=0,"Baja",P10&lt;=2,"Media",P10&gt;2,"Alta")</f>
        <v>Baja</v>
      </c>
      <c r="S10" s="106" t="str" cm="1">
        <f t="array" ref="S10">+_xlfn.IFS(N10="","",N10="Componentes existentes reutilizables &gt;80%","Baja",N10="No Aplica","Baja",N10="Reutilización parcial 30-70%","Media",N10="Nuevo Desarrollo &lt;20%","Alta")</f>
        <v>Baja</v>
      </c>
      <c r="T10" s="106" t="str" cm="1">
        <f t="array" ref="T10">+_xlfn.IFS(L10="","",L10=0,"Baja",L10&lt;=2,"Media",L10&gt;=3,"Alta")</f>
        <v>Alta</v>
      </c>
      <c r="U10" s="106" cm="1">
        <f t="array" ref="U10">+IFERROR((+_xlfn.IFS(Q10="",0,Q10="Baja",1,Q10="Media",2,Q10="Alta",3)*'Scoring Complejidad'!$C$8+_xlfn.IFS(R10="Baja",1,R10="Media",2,R10="Alta",3)*'Scoring Complejidad'!$C$9+_xlfn.IFS(S10="Baja",1,S10="Media",2,S10="Alta",3)*'Scoring Complejidad'!$C$7+_xlfn.IFS(T10="",1,T10="Baja",1,T10="Media",2,T10="Alta",3)*'Scoring Complejidad'!$C$5+_xlfn.IFS(M10="Caja",1,M10="Configuración",2,M10="Desarrollo",3,M10="Desarrollo + Configuración",3,M10="No Aplica",0)*'Scoring Complejidad'!$C$6),"")</f>
        <v>1.3499999999999999</v>
      </c>
      <c r="V10" s="131" t="str" cm="1">
        <f t="array" ref="V10">IFERROR(_xlfn.IFS(U10="","",U10&lt;=1.69,"Baja",U10&lt;=2.29,"Media",U10&lt;=3,"Alta",U10&gt;3,"Error"),"")</f>
        <v>Baja</v>
      </c>
      <c r="W10" s="144" t="s">
        <v>1551</v>
      </c>
      <c r="X10" s="144" t="s">
        <v>1552</v>
      </c>
      <c r="Y10" s="144" t="s">
        <v>1553</v>
      </c>
      <c r="Z10" s="146" t="s">
        <v>1554</v>
      </c>
      <c r="AA10" s="146" t="s">
        <v>1555</v>
      </c>
      <c r="AB10" s="146" t="s">
        <v>1556</v>
      </c>
      <c r="AC10" s="105" t="s">
        <v>1634</v>
      </c>
      <c r="AD10" s="146">
        <v>46240</v>
      </c>
    </row>
    <row r="11" spans="1:30" ht="92">
      <c r="A11" s="107" t="s">
        <v>72</v>
      </c>
      <c r="B11" s="107" t="s">
        <v>16</v>
      </c>
      <c r="C11" s="140" t="s">
        <v>73</v>
      </c>
      <c r="D11" s="107" t="s">
        <v>18</v>
      </c>
      <c r="E11" s="107" t="s">
        <v>1593</v>
      </c>
      <c r="F11" s="108" t="s">
        <v>74</v>
      </c>
      <c r="G11" s="108" t="s">
        <v>1413</v>
      </c>
      <c r="H11" s="108" t="s">
        <v>76</v>
      </c>
      <c r="I11" s="108" t="s">
        <v>77</v>
      </c>
      <c r="J11" s="132" t="s">
        <v>1466</v>
      </c>
      <c r="K11" s="108" t="s">
        <v>1472</v>
      </c>
      <c r="L11" s="108">
        <v>0</v>
      </c>
      <c r="M11" s="108" t="s">
        <v>45</v>
      </c>
      <c r="N11" s="108" t="s">
        <v>1502</v>
      </c>
      <c r="O11" s="108">
        <v>3</v>
      </c>
      <c r="P11" s="108">
        <v>0</v>
      </c>
      <c r="Q11" s="108" t="str" cm="1">
        <f t="array" ref="Q11">+_xlfn.IFS(O11="","",O11&lt;=1,"Baja",O11&lt;=3,"Media",O11&gt;3,"Alta")</f>
        <v>Media</v>
      </c>
      <c r="R11" s="108" t="str" cm="1">
        <f t="array" ref="R11">+_xlfn.IFS(P11="","",P11&lt;=0,"Baja",P11&lt;=2,"Media",P11&gt;2,"Alta")</f>
        <v>Baja</v>
      </c>
      <c r="S11" s="108" t="str" cm="1">
        <f t="array" ref="S11">+_xlfn.IFS(N11="","",N11="Componentes existentes reutilizables &gt;80%","Baja",N11="No Aplica","Baja",N11="Reutilización parcial 30-70%","Media",N11="Nuevo Desarrollo &lt;20%","Alta")</f>
        <v>Baja</v>
      </c>
      <c r="T11" s="108" t="str" cm="1">
        <f t="array" ref="T11">+_xlfn.IFS(L11="","",L11=0,"Baja",L11&lt;=2,"Media",L11&gt;=3,"Alta")</f>
        <v>Baja</v>
      </c>
      <c r="U11" s="108" cm="1">
        <f t="array" ref="U11">+IFERROR((+_xlfn.IFS(Q11="",0,Q11="Baja",1,Q11="Media",2,Q11="Alta",3)*'Scoring Complejidad'!$C$8+_xlfn.IFS(R11="Baja",1,R11="Media",2,R11="Alta",3)*'Scoring Complejidad'!$C$9+_xlfn.IFS(S11="Baja",1,S11="Media",2,S11="Alta",3)*'Scoring Complejidad'!$C$7+_xlfn.IFS(T11="",1,T11="Baja",1,T11="Media",2,T11="Alta",3)*'Scoring Complejidad'!$C$5+_xlfn.IFS(M11="Caja",1,M11="Configuración",2,M11="Desarrollo",3,M11="Desarrollo + Configuración",3,M11="No Aplica",0)*'Scoring Complejidad'!$C$6),"")</f>
        <v>1.6500000000000001</v>
      </c>
      <c r="V11" s="132" t="str" cm="1">
        <f t="array" ref="V11">IFERROR(_xlfn.IFS(U11="","",U11&lt;=1.69,"Baja",U11&lt;=2.29,"Media",U11&lt;=3,"Alta",U11&gt;3,"Error"),"")</f>
        <v>Baja</v>
      </c>
      <c r="W11" s="143">
        <v>46202</v>
      </c>
      <c r="X11" s="143">
        <v>46234</v>
      </c>
      <c r="Y11" s="148" t="s">
        <v>1617</v>
      </c>
      <c r="Z11" s="148" t="s">
        <v>1617</v>
      </c>
      <c r="AA11" s="148" t="s">
        <v>1617</v>
      </c>
      <c r="AB11" s="148" t="s">
        <v>1617</v>
      </c>
      <c r="AC11" s="107" t="s">
        <v>1693</v>
      </c>
      <c r="AD11" s="145">
        <v>46241</v>
      </c>
    </row>
    <row r="12" spans="1:30" ht="57.5">
      <c r="A12" s="105" t="s">
        <v>79</v>
      </c>
      <c r="B12" s="105" t="s">
        <v>16</v>
      </c>
      <c r="C12" s="139" t="s">
        <v>80</v>
      </c>
      <c r="D12" s="105" t="s">
        <v>18</v>
      </c>
      <c r="E12" s="105" t="s">
        <v>1593</v>
      </c>
      <c r="F12" s="106" t="s">
        <v>81</v>
      </c>
      <c r="G12" s="106" t="s">
        <v>1414</v>
      </c>
      <c r="H12" s="106" t="s">
        <v>83</v>
      </c>
      <c r="I12" s="106" t="s">
        <v>84</v>
      </c>
      <c r="J12" s="131" t="s">
        <v>1466</v>
      </c>
      <c r="K12" s="106" t="s">
        <v>1559</v>
      </c>
      <c r="L12" s="106">
        <v>2</v>
      </c>
      <c r="M12" s="106" t="s">
        <v>1476</v>
      </c>
      <c r="N12" s="106" t="s">
        <v>1558</v>
      </c>
      <c r="O12" s="106">
        <v>3</v>
      </c>
      <c r="P12" s="106">
        <v>0</v>
      </c>
      <c r="Q12" s="106" t="str" cm="1">
        <f t="array" ref="Q12">+_xlfn.IFS(O12="","",O12&lt;=1,"Baja",O12&lt;=3,"Media",O12&gt;3,"Alta")</f>
        <v>Media</v>
      </c>
      <c r="R12" s="106" t="str" cm="1">
        <f t="array" ref="R12">+_xlfn.IFS(P12="","",P12&lt;=0,"Baja",P12&lt;=2,"Media",P12&gt;2,"Alta")</f>
        <v>Baja</v>
      </c>
      <c r="S12" s="106" t="str" cm="1">
        <f t="array" ref="S12">+_xlfn.IFS(N12="","",N12="Componentes existentes reutilizables &gt;80%","Baja",N12="No Aplica","Baja",N12="Reutilización parcial 30-70%","Media",N12="Nuevo Desarrollo &lt;20%","Alta")</f>
        <v>Media</v>
      </c>
      <c r="T12" s="106" t="str" cm="1">
        <f t="array" ref="T12">+_xlfn.IFS(L12="","",L12=0,"Baja",L12&lt;=2,"Media",L12&gt;=3,"Alta")</f>
        <v>Media</v>
      </c>
      <c r="U12" s="106" cm="1">
        <f t="array" ref="U12">+IFERROR((+_xlfn.IFS(Q12="",0,Q12="Baja",1,Q12="Media",2,Q12="Alta",3)*'Scoring Complejidad'!$C$8+_xlfn.IFS(R12="Baja",1,R12="Media",2,R12="Alta",3)*'Scoring Complejidad'!$C$9+_xlfn.IFS(S12="Baja",1,S12="Media",2,S12="Alta",3)*'Scoring Complejidad'!$C$7+_xlfn.IFS(T12="",1,T12="Baja",1,T12="Media",2,T12="Alta",3)*'Scoring Complejidad'!$C$5+_xlfn.IFS(M12="Caja",1,M12="Configuración",2,M12="Desarrollo",3,M12="Desarrollo + Configuración",3,M12="No Aplica",0)*'Scoring Complejidad'!$C$6),"")</f>
        <v>2.15</v>
      </c>
      <c r="V12" s="131" t="str" cm="1">
        <f t="array" ref="V12">IFERROR(_xlfn.IFS(U12="","",U12&lt;=1.69,"Baja",U12&lt;=2.29,"Media",U12&lt;=3,"Alta",U12&gt;3,"Error"),"")</f>
        <v>Media</v>
      </c>
      <c r="W12" s="144">
        <v>46202</v>
      </c>
      <c r="X12" s="144">
        <v>46234</v>
      </c>
      <c r="Y12" s="148" t="s">
        <v>1617</v>
      </c>
      <c r="Z12" s="148" t="s">
        <v>1617</v>
      </c>
      <c r="AA12" s="148" t="s">
        <v>1617</v>
      </c>
      <c r="AB12" s="148" t="s">
        <v>1617</v>
      </c>
      <c r="AC12" s="105" t="s">
        <v>1692</v>
      </c>
      <c r="AD12" s="146">
        <v>46241</v>
      </c>
    </row>
    <row r="13" spans="1:30" ht="92">
      <c r="A13" s="107" t="s">
        <v>87</v>
      </c>
      <c r="B13" s="107" t="s">
        <v>16</v>
      </c>
      <c r="C13" s="140" t="s">
        <v>88</v>
      </c>
      <c r="D13" s="107" t="s">
        <v>18</v>
      </c>
      <c r="E13" s="107" t="s">
        <v>1446</v>
      </c>
      <c r="F13" s="108" t="s">
        <v>89</v>
      </c>
      <c r="G13" s="108" t="s">
        <v>1415</v>
      </c>
      <c r="H13" s="108" t="s">
        <v>91</v>
      </c>
      <c r="I13" s="108" t="s">
        <v>92</v>
      </c>
      <c r="J13" s="132" t="s">
        <v>1466</v>
      </c>
      <c r="K13" s="108" t="s">
        <v>1472</v>
      </c>
      <c r="L13" s="108">
        <v>0</v>
      </c>
      <c r="M13" s="108" t="s">
        <v>1476</v>
      </c>
      <c r="N13" s="108" t="s">
        <v>1543</v>
      </c>
      <c r="O13" s="108">
        <v>1</v>
      </c>
      <c r="P13" s="108">
        <v>0</v>
      </c>
      <c r="Q13" s="108" t="str" cm="1">
        <f t="array" ref="Q13">+_xlfn.IFS(O13="","",O13&lt;=1,"Baja",O13&lt;=3,"Media",O13&gt;3,"Alta")</f>
        <v>Baja</v>
      </c>
      <c r="R13" s="108" t="str" cm="1">
        <f t="array" ref="R13">+_xlfn.IFS(P13="","",P13&lt;=0,"Baja",P13&lt;=2,"Media",P13&gt;2,"Alta")</f>
        <v>Baja</v>
      </c>
      <c r="S13" s="108" t="str" cm="1">
        <f t="array" ref="S13">+_xlfn.IFS(N13="","",N13="Componentes existentes reutilizables &gt;80%","Baja",N13="No Aplica","Baja",N13="Reutilización parcial 30-70%","Media",N13="Nuevo Desarrollo &lt;20%","Alta")</f>
        <v>Alta</v>
      </c>
      <c r="T13" s="108" t="str" cm="1">
        <f t="array" ref="T13">+_xlfn.IFS(L13="","",L13=0,"Baja",L13&lt;=2,"Media",L13&gt;=3,"Alta")</f>
        <v>Baja</v>
      </c>
      <c r="U13" s="108" cm="1">
        <f t="array" ref="U13">+IFERROR((+_xlfn.IFS(Q13="",0,Q13="Baja",1,Q13="Media",2,Q13="Alta",3)*'Scoring Complejidad'!$C$8+_xlfn.IFS(R13="Baja",1,R13="Media",2,R13="Alta",3)*'Scoring Complejidad'!$C$9+_xlfn.IFS(S13="Baja",1,S13="Media",2,S13="Alta",3)*'Scoring Complejidad'!$C$7+_xlfn.IFS(T13="",1,T13="Baja",1,T13="Media",2,T13="Alta",3)*'Scoring Complejidad'!$C$5+_xlfn.IFS(M13="Caja",1,M13="Configuración",2,M13="Desarrollo",3,M13="Desarrollo + Configuración",3,M13="No Aplica",0)*'Scoring Complejidad'!$C$6),"")</f>
        <v>1.9000000000000001</v>
      </c>
      <c r="V13" s="132" t="str" cm="1">
        <f t="array" ref="V13">IFERROR(_xlfn.IFS(U13="","",U13&lt;=1.69,"Baja",U13&lt;=2.29,"Media",U13&lt;=3,"Alta",U13&gt;3,"Error"),"")</f>
        <v>Media</v>
      </c>
      <c r="W13" s="143">
        <v>46179</v>
      </c>
      <c r="X13" s="145">
        <v>46311</v>
      </c>
      <c r="Y13" s="152" t="s">
        <v>1477</v>
      </c>
      <c r="Z13" s="153" t="s">
        <v>1477</v>
      </c>
      <c r="AA13" s="145">
        <v>46223</v>
      </c>
      <c r="AB13" s="145">
        <v>46311</v>
      </c>
      <c r="AC13" s="107" t="s">
        <v>1695</v>
      </c>
      <c r="AD13" s="145">
        <v>46237</v>
      </c>
    </row>
    <row r="14" spans="1:30" ht="57.5">
      <c r="A14" s="105" t="s">
        <v>95</v>
      </c>
      <c r="B14" s="105" t="s">
        <v>16</v>
      </c>
      <c r="C14" s="139" t="s">
        <v>96</v>
      </c>
      <c r="D14" s="105" t="s">
        <v>18</v>
      </c>
      <c r="E14" s="105" t="s">
        <v>1594</v>
      </c>
      <c r="F14" s="106" t="s">
        <v>97</v>
      </c>
      <c r="G14" s="106" t="s">
        <v>98</v>
      </c>
      <c r="H14" s="106" t="s">
        <v>99</v>
      </c>
      <c r="I14" s="106" t="s">
        <v>100</v>
      </c>
      <c r="J14" s="131" t="s">
        <v>1466</v>
      </c>
      <c r="K14" s="106" t="s">
        <v>1472</v>
      </c>
      <c r="L14" s="106">
        <v>0</v>
      </c>
      <c r="M14" s="106" t="s">
        <v>1476</v>
      </c>
      <c r="N14" s="106" t="s">
        <v>1558</v>
      </c>
      <c r="O14" s="106">
        <v>3</v>
      </c>
      <c r="P14" s="106">
        <v>0</v>
      </c>
      <c r="Q14" s="106" t="str" cm="1">
        <f t="array" ref="Q14">+_xlfn.IFS(O14="","",O14&lt;=1,"Baja",O14&lt;=3,"Media",O14&gt;3,"Alta")</f>
        <v>Media</v>
      </c>
      <c r="R14" s="106" t="str" cm="1">
        <f t="array" ref="R14">+_xlfn.IFS(P14="","",P14&lt;=0,"Baja",P14&lt;=2,"Media",P14&gt;2,"Alta")</f>
        <v>Baja</v>
      </c>
      <c r="S14" s="106" t="str" cm="1">
        <f t="array" ref="S14">+_xlfn.IFS(N14="","",N14="Componentes existentes reutilizables &gt;80%","Baja",N14="No Aplica","Baja",N14="Reutilización parcial 30-70%","Media",N14="Nuevo Desarrollo &lt;20%","Alta")</f>
        <v>Media</v>
      </c>
      <c r="T14" s="106" t="str" cm="1">
        <f t="array" ref="T14">+_xlfn.IFS(L14="","",L14=0,"Baja",L14&lt;=2,"Media",L14&gt;=3,"Alta")</f>
        <v>Baja</v>
      </c>
      <c r="U14" s="106" cm="1">
        <f t="array" ref="U14">+IFERROR((+_xlfn.IFS(Q14="",0,Q14="Baja",1,Q14="Media",2,Q14="Alta",3)*'Scoring Complejidad'!$C$8+_xlfn.IFS(R14="Baja",1,R14="Media",2,R14="Alta",3)*'Scoring Complejidad'!$C$9+_xlfn.IFS(S14="Baja",1,S14="Media",2,S14="Alta",3)*'Scoring Complejidad'!$C$7+_xlfn.IFS(T14="",1,T14="Baja",1,T14="Media",2,T14="Alta",3)*'Scoring Complejidad'!$C$5+_xlfn.IFS(M14="Caja",1,M14="Configuración",2,M14="Desarrollo",3,M14="Desarrollo + Configuración",3,M14="No Aplica",0)*'Scoring Complejidad'!$C$6),"")</f>
        <v>1.85</v>
      </c>
      <c r="V14" s="131" t="str" cm="1">
        <f t="array" ref="V14">IFERROR(_xlfn.IFS(U14="","",U14&lt;=1.69,"Baja",U14&lt;=2.29,"Media",U14&lt;=3,"Alta",U14&gt;3,"Error"),"")</f>
        <v>Media</v>
      </c>
      <c r="W14" s="144">
        <v>46181</v>
      </c>
      <c r="X14" s="144">
        <v>46234</v>
      </c>
      <c r="Y14" s="149" t="s">
        <v>1477</v>
      </c>
      <c r="Z14" s="154" t="s">
        <v>1477</v>
      </c>
      <c r="AA14" s="146">
        <v>46237</v>
      </c>
      <c r="AB14" s="146">
        <v>46265</v>
      </c>
      <c r="AC14" s="105" t="s">
        <v>1562</v>
      </c>
      <c r="AD14" s="146">
        <v>46237</v>
      </c>
    </row>
    <row r="15" spans="1:30" ht="69">
      <c r="A15" s="107" t="s">
        <v>102</v>
      </c>
      <c r="B15" s="107" t="s">
        <v>16</v>
      </c>
      <c r="C15" s="140" t="s">
        <v>103</v>
      </c>
      <c r="D15" s="107" t="s">
        <v>18</v>
      </c>
      <c r="E15" s="107" t="s">
        <v>1594</v>
      </c>
      <c r="F15" s="108" t="s">
        <v>104</v>
      </c>
      <c r="G15" s="108" t="s">
        <v>105</v>
      </c>
      <c r="H15" s="108" t="s">
        <v>106</v>
      </c>
      <c r="I15" s="108" t="s">
        <v>107</v>
      </c>
      <c r="J15" s="132" t="s">
        <v>1466</v>
      </c>
      <c r="K15" s="108" t="s">
        <v>1472</v>
      </c>
      <c r="L15" s="108">
        <v>0</v>
      </c>
      <c r="M15" s="108" t="s">
        <v>1476</v>
      </c>
      <c r="N15" s="108" t="s">
        <v>1543</v>
      </c>
      <c r="O15" s="108">
        <v>2</v>
      </c>
      <c r="P15" s="108">
        <v>0</v>
      </c>
      <c r="Q15" s="108" t="str" cm="1">
        <f t="array" ref="Q15">+_xlfn.IFS(O15="","",O15&lt;=1,"Baja",O15&lt;=3,"Media",O15&gt;3,"Alta")</f>
        <v>Media</v>
      </c>
      <c r="R15" s="108" t="str" cm="1">
        <f t="array" ref="R15">+_xlfn.IFS(P15="","",P15&lt;=0,"Baja",P15&lt;=2,"Media",P15&gt;2,"Alta")</f>
        <v>Baja</v>
      </c>
      <c r="S15" s="108" t="str" cm="1">
        <f t="array" ref="S15">+_xlfn.IFS(N15="","",N15="Componentes existentes reutilizables &gt;80%","Baja",N15="No Aplica","Baja",N15="Reutilización parcial 30-70%","Media",N15="Nuevo Desarrollo &lt;20%","Alta")</f>
        <v>Alta</v>
      </c>
      <c r="T15" s="108" t="str" cm="1">
        <f t="array" ref="T15">+_xlfn.IFS(L15="","",L15=0,"Baja",L15&lt;=2,"Media",L15&gt;=3,"Alta")</f>
        <v>Baja</v>
      </c>
      <c r="U15" s="108" cm="1">
        <f t="array" ref="U15">+IFERROR((+_xlfn.IFS(Q15="",0,Q15="Baja",1,Q15="Media",2,Q15="Alta",3)*'Scoring Complejidad'!$C$8+_xlfn.IFS(R15="Baja",1,R15="Media",2,R15="Alta",3)*'Scoring Complejidad'!$C$9+_xlfn.IFS(S15="Baja",1,S15="Media",2,S15="Alta",3)*'Scoring Complejidad'!$C$7+_xlfn.IFS(T15="",1,T15="Baja",1,T15="Media",2,T15="Alta",3)*'Scoring Complejidad'!$C$5+_xlfn.IFS(M15="Caja",1,M15="Configuración",2,M15="Desarrollo",3,M15="Desarrollo + Configuración",3,M15="No Aplica",0)*'Scoring Complejidad'!$C$6),"")</f>
        <v>2.0499999999999998</v>
      </c>
      <c r="V15" s="132" t="str" cm="1">
        <f t="array" ref="V15">IFERROR(_xlfn.IFS(U15="","",U15&lt;=1.69,"Baja",U15&lt;=2.29,"Media",U15&lt;=3,"Alta",U15&gt;3,"Error"),"")</f>
        <v>Media</v>
      </c>
      <c r="W15" s="143">
        <v>46181</v>
      </c>
      <c r="X15" s="143">
        <v>46234</v>
      </c>
      <c r="Y15" s="152" t="s">
        <v>1477</v>
      </c>
      <c r="Z15" s="153" t="s">
        <v>1477</v>
      </c>
      <c r="AA15" s="145">
        <v>46237</v>
      </c>
      <c r="AB15" s="145">
        <v>46265</v>
      </c>
      <c r="AC15" s="107" t="s">
        <v>1562</v>
      </c>
      <c r="AD15" s="145">
        <v>46237</v>
      </c>
    </row>
    <row r="16" spans="1:30" ht="69">
      <c r="A16" s="105" t="s">
        <v>110</v>
      </c>
      <c r="B16" s="105" t="s">
        <v>16</v>
      </c>
      <c r="C16" s="139" t="s">
        <v>111</v>
      </c>
      <c r="D16" s="105" t="s">
        <v>18</v>
      </c>
      <c r="E16" s="105" t="s">
        <v>1594</v>
      </c>
      <c r="F16" s="106" t="s">
        <v>112</v>
      </c>
      <c r="G16" s="106" t="s">
        <v>113</v>
      </c>
      <c r="H16" s="106" t="s">
        <v>16</v>
      </c>
      <c r="I16" s="106" t="s">
        <v>114</v>
      </c>
      <c r="J16" s="131" t="s">
        <v>1560</v>
      </c>
      <c r="K16" s="106" t="s">
        <v>1472</v>
      </c>
      <c r="L16" s="106">
        <v>0</v>
      </c>
      <c r="M16" s="106" t="s">
        <v>1476</v>
      </c>
      <c r="N16" s="106" t="s">
        <v>1543</v>
      </c>
      <c r="O16" s="108">
        <v>0</v>
      </c>
      <c r="P16" s="108">
        <v>0</v>
      </c>
      <c r="Q16" s="106" t="str" cm="1">
        <f t="array" ref="Q16">+_xlfn.IFS(O16="","",O16&lt;=1,"Baja",O16&lt;=3,"Media",O16&gt;3,"Alta")</f>
        <v>Baja</v>
      </c>
      <c r="R16" s="106" t="str" cm="1">
        <f t="array" ref="R16">+_xlfn.IFS(P16="","",P16&lt;=0,"Baja",P16&lt;=2,"Media",P16&gt;2,"Alta")</f>
        <v>Baja</v>
      </c>
      <c r="S16" s="106" t="str" cm="1">
        <f t="array" ref="S16">+_xlfn.IFS(N16="","",N16="Componentes existentes reutilizables &gt;80%","Baja",N16="No Aplica","Baja",N16="Reutilización parcial 30-70%","Media",N16="Nuevo Desarrollo &lt;20%","Alta")</f>
        <v>Alta</v>
      </c>
      <c r="T16" s="106" t="str" cm="1">
        <f t="array" ref="T16">+_xlfn.IFS(L16="","",L16=0,"Baja",L16&lt;=2,"Media",L16&gt;=3,"Alta")</f>
        <v>Baja</v>
      </c>
      <c r="U16" s="106" cm="1">
        <f t="array" ref="U16">+IFERROR((+_xlfn.IFS(Q16="",0,Q16="Baja",1,Q16="Media",2,Q16="Alta",3)*'Scoring Complejidad'!$C$8+_xlfn.IFS(R16="Baja",1,R16="Media",2,R16="Alta",3)*'Scoring Complejidad'!$C$9+_xlfn.IFS(S16="Baja",1,S16="Media",2,S16="Alta",3)*'Scoring Complejidad'!$C$7+_xlfn.IFS(T16="",1,T16="Baja",1,T16="Media",2,T16="Alta",3)*'Scoring Complejidad'!$C$5+_xlfn.IFS(M16="Caja",1,M16="Configuración",2,M16="Desarrollo",3,M16="Desarrollo + Configuración",3,M16="No Aplica",0)*'Scoring Complejidad'!$C$6),"")</f>
        <v>1.9000000000000001</v>
      </c>
      <c r="V16" s="131" t="str" cm="1">
        <f t="array" ref="V16">IFERROR(_xlfn.IFS(U16="","",U16&lt;=1.69,"Baja",U16&lt;=2.29,"Media",U16&lt;=3,"Alta",U16&gt;3,"Error"),"")</f>
        <v>Media</v>
      </c>
      <c r="W16" s="144"/>
      <c r="X16" s="144"/>
      <c r="Y16" s="149" t="s">
        <v>1477</v>
      </c>
      <c r="Z16" s="154" t="s">
        <v>1477</v>
      </c>
      <c r="AA16" s="146"/>
      <c r="AB16" s="146"/>
      <c r="AC16" s="105" t="s">
        <v>1563</v>
      </c>
      <c r="AD16" s="146">
        <v>46237</v>
      </c>
    </row>
    <row r="17" spans="1:30" ht="80.5">
      <c r="A17" s="107" t="s">
        <v>116</v>
      </c>
      <c r="B17" s="107" t="s">
        <v>16</v>
      </c>
      <c r="C17" s="140" t="s">
        <v>117</v>
      </c>
      <c r="D17" s="107" t="s">
        <v>18</v>
      </c>
      <c r="E17" s="107" t="s">
        <v>1594</v>
      </c>
      <c r="F17" s="108" t="s">
        <v>1691</v>
      </c>
      <c r="G17" s="108" t="s">
        <v>119</v>
      </c>
      <c r="H17" s="108" t="s">
        <v>1561</v>
      </c>
      <c r="I17" s="108" t="s">
        <v>121</v>
      </c>
      <c r="J17" s="132" t="s">
        <v>1466</v>
      </c>
      <c r="K17" s="108" t="s">
        <v>1559</v>
      </c>
      <c r="L17" s="108">
        <v>0</v>
      </c>
      <c r="M17" s="108" t="s">
        <v>45</v>
      </c>
      <c r="N17" s="108" t="s">
        <v>1558</v>
      </c>
      <c r="O17" s="108">
        <v>1</v>
      </c>
      <c r="P17" s="108">
        <v>0</v>
      </c>
      <c r="Q17" s="108" t="str" cm="1">
        <f t="array" ref="Q17">+_xlfn.IFS(O17="","",O17&lt;=1,"Baja",O17&lt;=3,"Media",O17&gt;3,"Alta")</f>
        <v>Baja</v>
      </c>
      <c r="R17" s="108" t="str" cm="1">
        <f t="array" ref="R17">+_xlfn.IFS(P17="","",P17&lt;=0,"Baja",P17&lt;=2,"Media",P17&gt;2,"Alta")</f>
        <v>Baja</v>
      </c>
      <c r="S17" s="108" t="str" cm="1">
        <f t="array" ref="S17">+_xlfn.IFS(N17="","",N17="Componentes existentes reutilizables &gt;80%","Baja",N17="No Aplica","Baja",N17="Reutilización parcial 30-70%","Media",N17="Nuevo Desarrollo &lt;20%","Alta")</f>
        <v>Media</v>
      </c>
      <c r="T17" s="108" t="str" cm="1">
        <f t="array" ref="T17">+_xlfn.IFS(L17="","",L17=0,"Baja",L17&lt;=2,"Media",L17&gt;=3,"Alta")</f>
        <v>Baja</v>
      </c>
      <c r="U17" s="108" cm="1">
        <f t="array" ref="U17">+IFERROR((+_xlfn.IFS(Q17="",0,Q17="Baja",1,Q17="Media",2,Q17="Alta",3)*'Scoring Complejidad'!$C$8+_xlfn.IFS(R17="Baja",1,R17="Media",2,R17="Alta",3)*'Scoring Complejidad'!$C$9+_xlfn.IFS(S17="Baja",1,S17="Media",2,S17="Alta",3)*'Scoring Complejidad'!$C$7+_xlfn.IFS(T17="",1,T17="Baja",1,T17="Media",2,T17="Alta",3)*'Scoring Complejidad'!$C$5+_xlfn.IFS(M17="Caja",1,M17="Configuración",2,M17="Desarrollo",3,M17="Desarrollo + Configuración",3,M17="No Aplica",0)*'Scoring Complejidad'!$C$6),"")</f>
        <v>1.7</v>
      </c>
      <c r="V17" s="132" t="str" cm="1">
        <f t="array" ref="V17">IFERROR(_xlfn.IFS(U17="","",U17&lt;=1.69,"Baja",U17&lt;=2.29,"Media",U17&lt;=3,"Alta",U17&gt;3,"Error"),"")</f>
        <v>Media</v>
      </c>
      <c r="W17" s="143">
        <v>46181</v>
      </c>
      <c r="X17" s="143">
        <v>46234</v>
      </c>
      <c r="Y17" s="152" t="s">
        <v>1477</v>
      </c>
      <c r="Z17" s="153" t="s">
        <v>1477</v>
      </c>
      <c r="AA17" s="145">
        <v>46237</v>
      </c>
      <c r="AB17" s="145">
        <v>46265</v>
      </c>
      <c r="AC17" s="107" t="s">
        <v>1685</v>
      </c>
      <c r="AD17" s="145">
        <v>46237</v>
      </c>
    </row>
    <row r="18" spans="1:30" ht="80.5">
      <c r="A18" s="105" t="s">
        <v>124</v>
      </c>
      <c r="B18" s="105" t="s">
        <v>16</v>
      </c>
      <c r="C18" s="139" t="s">
        <v>125</v>
      </c>
      <c r="D18" s="105" t="s">
        <v>18</v>
      </c>
      <c r="E18" s="105" t="s">
        <v>1694</v>
      </c>
      <c r="F18" s="106" t="s">
        <v>126</v>
      </c>
      <c r="G18" s="106" t="s">
        <v>127</v>
      </c>
      <c r="H18" s="106" t="s">
        <v>16</v>
      </c>
      <c r="I18" s="106" t="s">
        <v>128</v>
      </c>
      <c r="J18" s="131" t="s">
        <v>1467</v>
      </c>
      <c r="K18" s="106" t="s">
        <v>1472</v>
      </c>
      <c r="L18" s="106">
        <v>0</v>
      </c>
      <c r="M18" s="106" t="s">
        <v>1476</v>
      </c>
      <c r="N18" s="106" t="s">
        <v>1543</v>
      </c>
      <c r="O18" s="106">
        <v>3</v>
      </c>
      <c r="P18" s="106">
        <v>0</v>
      </c>
      <c r="Q18" s="106" t="str" cm="1">
        <f t="array" ref="Q18">+_xlfn.IFS(O18="","",O18&lt;=1,"Baja",O18&lt;=3,"Media",O18&gt;3,"Alta")</f>
        <v>Media</v>
      </c>
      <c r="R18" s="106" t="str" cm="1">
        <f t="array" ref="R18">+_xlfn.IFS(P18="","",P18&lt;=0,"Baja",P18&lt;=2,"Media",P18&gt;2,"Alta")</f>
        <v>Baja</v>
      </c>
      <c r="S18" s="106" t="str" cm="1">
        <f t="array" ref="S18">+_xlfn.IFS(N18="","",N18="Componentes existentes reutilizables &gt;80%","Baja",N18="No Aplica","Baja",N18="Reutilización parcial 30-70%","Media",N18="Nuevo Desarrollo &lt;20%","Alta")</f>
        <v>Alta</v>
      </c>
      <c r="T18" s="106" t="str" cm="1">
        <f t="array" ref="T18">+_xlfn.IFS(L18="","",L18=0,"Baja",L18&lt;=2,"Media",L18&gt;=3,"Alta")</f>
        <v>Baja</v>
      </c>
      <c r="U18" s="106" cm="1">
        <f t="array" ref="U18">+IFERROR((+_xlfn.IFS(Q18="",0,Q18="Baja",1,Q18="Media",2,Q18="Alta",3)*'Scoring Complejidad'!$C$8+_xlfn.IFS(R18="Baja",1,R18="Media",2,R18="Alta",3)*'Scoring Complejidad'!$C$9+_xlfn.IFS(S18="Baja",1,S18="Media",2,S18="Alta",3)*'Scoring Complejidad'!$C$7+_xlfn.IFS(T18="",1,T18="Baja",1,T18="Media",2,T18="Alta",3)*'Scoring Complejidad'!$C$5+_xlfn.IFS(M18="Caja",1,M18="Configuración",2,M18="Desarrollo",3,M18="Desarrollo + Configuración",3,M18="No Aplica",0)*'Scoring Complejidad'!$C$6),"")</f>
        <v>2.0499999999999998</v>
      </c>
      <c r="V18" s="131" t="str" cm="1">
        <f t="array" ref="V18">IFERROR(_xlfn.IFS(U18="","",U18&lt;=1.69,"Baja",U18&lt;=2.29,"Media",U18&lt;=3,"Alta",U18&gt;3,"Error"),"")</f>
        <v>Media</v>
      </c>
      <c r="W18" s="144">
        <v>46216</v>
      </c>
      <c r="X18" s="144">
        <v>46262</v>
      </c>
      <c r="Y18" s="188" t="s">
        <v>1477</v>
      </c>
      <c r="Z18" s="188" t="s">
        <v>1477</v>
      </c>
      <c r="AA18" s="188">
        <v>46251</v>
      </c>
      <c r="AB18" s="188">
        <v>46353</v>
      </c>
      <c r="AC18" s="105" t="s">
        <v>1718</v>
      </c>
      <c r="AD18" s="146">
        <v>46241</v>
      </c>
    </row>
    <row r="19" spans="1:30" ht="92">
      <c r="A19" s="107" t="s">
        <v>130</v>
      </c>
      <c r="B19" s="107" t="s">
        <v>16</v>
      </c>
      <c r="C19" s="140" t="s">
        <v>131</v>
      </c>
      <c r="D19" s="107" t="s">
        <v>18</v>
      </c>
      <c r="E19" s="107" t="s">
        <v>1694</v>
      </c>
      <c r="F19" s="108" t="s">
        <v>132</v>
      </c>
      <c r="G19" s="108" t="s">
        <v>133</v>
      </c>
      <c r="H19" s="108" t="s">
        <v>134</v>
      </c>
      <c r="I19" s="108" t="s">
        <v>135</v>
      </c>
      <c r="J19" s="132" t="s">
        <v>1467</v>
      </c>
      <c r="K19" s="108" t="s">
        <v>1472</v>
      </c>
      <c r="L19" s="108">
        <v>0</v>
      </c>
      <c r="M19" s="108" t="s">
        <v>1476</v>
      </c>
      <c r="N19" s="108" t="s">
        <v>1558</v>
      </c>
      <c r="O19" s="108">
        <v>3</v>
      </c>
      <c r="P19" s="108">
        <v>0</v>
      </c>
      <c r="Q19" s="108" t="str" cm="1">
        <f t="array" ref="Q19">+_xlfn.IFS(O19="","",O19&lt;=1,"Baja",O19&lt;=3,"Media",O19&gt;3,"Alta")</f>
        <v>Media</v>
      </c>
      <c r="R19" s="108" t="str" cm="1">
        <f t="array" ref="R19">+_xlfn.IFS(P19="","",P19&lt;=0,"Baja",P19&lt;=2,"Media",P19&gt;2,"Alta")</f>
        <v>Baja</v>
      </c>
      <c r="S19" s="108" t="str" cm="1">
        <f t="array" ref="S19">+_xlfn.IFS(N19="","",N19="Componentes existentes reutilizables &gt;80%","Baja",N19="No Aplica","Baja",N19="Reutilización parcial 30-70%","Media",N19="Nuevo Desarrollo &lt;20%","Alta")</f>
        <v>Media</v>
      </c>
      <c r="T19" s="108" t="str" cm="1">
        <f t="array" ref="T19">+_xlfn.IFS(L19="","",L19=0,"Baja",L19&lt;=2,"Media",L19&gt;=3,"Alta")</f>
        <v>Baja</v>
      </c>
      <c r="U19" s="108" cm="1">
        <f t="array" ref="U19">+IFERROR((+_xlfn.IFS(Q19="",0,Q19="Baja",1,Q19="Media",2,Q19="Alta",3)*'Scoring Complejidad'!$C$8+_xlfn.IFS(R19="Baja",1,R19="Media",2,R19="Alta",3)*'Scoring Complejidad'!$C$9+_xlfn.IFS(S19="Baja",1,S19="Media",2,S19="Alta",3)*'Scoring Complejidad'!$C$7+_xlfn.IFS(T19="",1,T19="Baja",1,T19="Media",2,T19="Alta",3)*'Scoring Complejidad'!$C$5+_xlfn.IFS(M19="Caja",1,M19="Configuración",2,M19="Desarrollo",3,M19="Desarrollo + Configuración",3,M19="No Aplica",0)*'Scoring Complejidad'!$C$6),"")</f>
        <v>1.85</v>
      </c>
      <c r="V19" s="132" t="str" cm="1">
        <f t="array" ref="V19">IFERROR(_xlfn.IFS(U19="","",U19&lt;=1.69,"Baja",U19&lt;=2.29,"Media",U19&lt;=3,"Alta",U19&gt;3,"Error"),"")</f>
        <v>Media</v>
      </c>
      <c r="W19" s="143">
        <v>46209</v>
      </c>
      <c r="X19" s="143">
        <v>46248</v>
      </c>
      <c r="Y19" s="189" t="s">
        <v>1477</v>
      </c>
      <c r="Z19" s="189" t="s">
        <v>1477</v>
      </c>
      <c r="AA19" s="189">
        <v>46251</v>
      </c>
      <c r="AB19" s="189">
        <v>46353</v>
      </c>
      <c r="AC19" s="190" t="s">
        <v>1719</v>
      </c>
      <c r="AD19" s="145">
        <v>46241</v>
      </c>
    </row>
    <row r="20" spans="1:30" ht="80.5">
      <c r="A20" s="105" t="s">
        <v>137</v>
      </c>
      <c r="B20" s="105" t="s">
        <v>16</v>
      </c>
      <c r="C20" s="139" t="s">
        <v>138</v>
      </c>
      <c r="D20" s="105" t="s">
        <v>18</v>
      </c>
      <c r="E20" s="105" t="s">
        <v>1694</v>
      </c>
      <c r="F20" s="106" t="s">
        <v>139</v>
      </c>
      <c r="G20" s="106" t="s">
        <v>140</v>
      </c>
      <c r="H20" s="106" t="s">
        <v>16</v>
      </c>
      <c r="I20" s="106" t="s">
        <v>135</v>
      </c>
      <c r="J20" s="131" t="s">
        <v>1467</v>
      </c>
      <c r="K20" s="106" t="s">
        <v>1472</v>
      </c>
      <c r="L20" s="106">
        <v>0</v>
      </c>
      <c r="M20" s="106" t="s">
        <v>1476</v>
      </c>
      <c r="N20" s="106" t="s">
        <v>1558</v>
      </c>
      <c r="O20" s="106">
        <v>3</v>
      </c>
      <c r="P20" s="106">
        <v>0</v>
      </c>
      <c r="Q20" s="106" t="str" cm="1">
        <f t="array" ref="Q20">+_xlfn.IFS(O20="","",O20&lt;=1,"Baja",O20&lt;=3,"Media",O20&gt;3,"Alta")</f>
        <v>Media</v>
      </c>
      <c r="R20" s="106" t="str" cm="1">
        <f t="array" ref="R20">+_xlfn.IFS(P20="","",P20&lt;=0,"Baja",P20&lt;=2,"Media",P20&gt;2,"Alta")</f>
        <v>Baja</v>
      </c>
      <c r="S20" s="106" t="str" cm="1">
        <f t="array" ref="S20">+_xlfn.IFS(N20="","",N20="Componentes existentes reutilizables &gt;80%","Baja",N20="No Aplica","Baja",N20="Reutilización parcial 30-70%","Media",N20="Nuevo Desarrollo &lt;20%","Alta")</f>
        <v>Media</v>
      </c>
      <c r="T20" s="106" t="str" cm="1">
        <f t="array" ref="T20">+_xlfn.IFS(L20="","",L20=0,"Baja",L20&lt;=2,"Media",L20&gt;=3,"Alta")</f>
        <v>Baja</v>
      </c>
      <c r="U20" s="106" cm="1">
        <f t="array" ref="U20">+IFERROR((+_xlfn.IFS(Q20="",0,Q20="Baja",1,Q20="Media",2,Q20="Alta",3)*'Scoring Complejidad'!$C$8+_xlfn.IFS(R20="Baja",1,R20="Media",2,R20="Alta",3)*'Scoring Complejidad'!$C$9+_xlfn.IFS(S20="Baja",1,S20="Media",2,S20="Alta",3)*'Scoring Complejidad'!$C$7+_xlfn.IFS(T20="",1,T20="Baja",1,T20="Media",2,T20="Alta",3)*'Scoring Complejidad'!$C$5+_xlfn.IFS(M20="Caja",1,M20="Configuración",2,M20="Desarrollo",3,M20="Desarrollo + Configuración",3,M20="No Aplica",0)*'Scoring Complejidad'!$C$6),"")</f>
        <v>1.85</v>
      </c>
      <c r="V20" s="131" t="str" cm="1">
        <f t="array" ref="V20">IFERROR(_xlfn.IFS(U20="","",U20&lt;=1.69,"Baja",U20&lt;=2.29,"Media",U20&lt;=3,"Alta",U20&gt;3,"Error"),"")</f>
        <v>Media</v>
      </c>
      <c r="W20" s="144">
        <v>46209</v>
      </c>
      <c r="X20" s="144">
        <v>46248</v>
      </c>
      <c r="Y20" s="188" t="s">
        <v>1477</v>
      </c>
      <c r="Z20" s="188" t="s">
        <v>1477</v>
      </c>
      <c r="AA20" s="188">
        <v>46251</v>
      </c>
      <c r="AB20" s="188">
        <v>46353</v>
      </c>
      <c r="AC20" s="105" t="s">
        <v>1718</v>
      </c>
      <c r="AD20" s="146">
        <v>46241</v>
      </c>
    </row>
    <row r="21" spans="1:30" ht="69">
      <c r="A21" s="107" t="s">
        <v>143</v>
      </c>
      <c r="B21" s="107" t="s">
        <v>16</v>
      </c>
      <c r="C21" s="140" t="s">
        <v>144</v>
      </c>
      <c r="D21" s="107" t="s">
        <v>18</v>
      </c>
      <c r="E21" s="107" t="s">
        <v>1638</v>
      </c>
      <c r="F21" s="108" t="s">
        <v>145</v>
      </c>
      <c r="G21" s="108" t="s">
        <v>146</v>
      </c>
      <c r="H21" s="108" t="s">
        <v>147</v>
      </c>
      <c r="I21" s="108" t="s">
        <v>148</v>
      </c>
      <c r="J21" s="132" t="s">
        <v>1467</v>
      </c>
      <c r="K21" s="108" t="s">
        <v>1559</v>
      </c>
      <c r="L21" s="108">
        <v>2</v>
      </c>
      <c r="M21" s="108" t="s">
        <v>1476</v>
      </c>
      <c r="N21" s="108" t="s">
        <v>1543</v>
      </c>
      <c r="O21" s="108">
        <v>3</v>
      </c>
      <c r="P21" s="108">
        <v>0</v>
      </c>
      <c r="Q21" s="108" t="str" cm="1">
        <f t="array" ref="Q21">+_xlfn.IFS(O21="","",O21&lt;=1,"Baja",O21&lt;=3,"Media",O21&gt;3,"Alta")</f>
        <v>Media</v>
      </c>
      <c r="R21" s="108" t="str" cm="1">
        <f t="array" ref="R21">+_xlfn.IFS(P21="","",P21&lt;=0,"Baja",P21&lt;=2,"Media",P21&gt;2,"Alta")</f>
        <v>Baja</v>
      </c>
      <c r="S21" s="108" t="str" cm="1">
        <f t="array" ref="S21">+_xlfn.IFS(N21="","",N21="Componentes existentes reutilizables &gt;80%","Baja",N21="No Aplica","Baja",N21="Reutilización parcial 30-70%","Media",N21="Nuevo Desarrollo &lt;20%","Alta")</f>
        <v>Alta</v>
      </c>
      <c r="T21" s="108" t="str" cm="1">
        <f t="array" ref="T21">+_xlfn.IFS(L21="","",L21=0,"Baja",L21&lt;=2,"Media",L21&gt;=3,"Alta")</f>
        <v>Media</v>
      </c>
      <c r="U21" s="108" cm="1">
        <f t="array" ref="U21">+IFERROR((+_xlfn.IFS(Q21="",0,Q21="Baja",1,Q21="Media",2,Q21="Alta",3)*'Scoring Complejidad'!$C$8+_xlfn.IFS(R21="Baja",1,R21="Media",2,R21="Alta",3)*'Scoring Complejidad'!$C$9+_xlfn.IFS(S21="Baja",1,S21="Media",2,S21="Alta",3)*'Scoring Complejidad'!$C$7+_xlfn.IFS(T21="",1,T21="Baja",1,T21="Media",2,T21="Alta",3)*'Scoring Complejidad'!$C$5+_xlfn.IFS(M21="Caja",1,M21="Configuración",2,M21="Desarrollo",3,M21="Desarrollo + Configuración",3,M21="No Aplica",0)*'Scoring Complejidad'!$C$6),"")</f>
        <v>2.35</v>
      </c>
      <c r="V21" s="132" t="str" cm="1">
        <f t="array" ref="V21">IFERROR(_xlfn.IFS(U21="","",U21&lt;=1.69,"Baja",U21&lt;=2.29,"Media",U21&lt;=3,"Alta",U21&gt;3,"Error"),"")</f>
        <v>Alta</v>
      </c>
      <c r="W21" s="143">
        <v>46209</v>
      </c>
      <c r="X21" s="143">
        <v>46255</v>
      </c>
      <c r="Y21" s="191" t="s">
        <v>1477</v>
      </c>
      <c r="Z21" s="191" t="s">
        <v>1477</v>
      </c>
      <c r="AA21" s="191">
        <v>46244</v>
      </c>
      <c r="AB21" s="191">
        <v>46283</v>
      </c>
      <c r="AC21" s="107" t="s">
        <v>1714</v>
      </c>
      <c r="AD21" s="145">
        <v>46241</v>
      </c>
    </row>
    <row r="22" spans="1:30" ht="80.5">
      <c r="A22" s="105" t="s">
        <v>150</v>
      </c>
      <c r="B22" s="105" t="s">
        <v>16</v>
      </c>
      <c r="C22" s="139" t="s">
        <v>151</v>
      </c>
      <c r="D22" s="105" t="s">
        <v>18</v>
      </c>
      <c r="E22" s="105" t="s">
        <v>1638</v>
      </c>
      <c r="F22" s="106" t="s">
        <v>152</v>
      </c>
      <c r="G22" s="106" t="s">
        <v>153</v>
      </c>
      <c r="H22" s="106" t="s">
        <v>76</v>
      </c>
      <c r="I22" s="106" t="s">
        <v>135</v>
      </c>
      <c r="J22" s="131" t="s">
        <v>1467</v>
      </c>
      <c r="K22" s="106" t="s">
        <v>1559</v>
      </c>
      <c r="L22" s="106">
        <v>2</v>
      </c>
      <c r="M22" s="106" t="s">
        <v>1476</v>
      </c>
      <c r="N22" s="106" t="s">
        <v>1543</v>
      </c>
      <c r="O22" s="106">
        <v>2</v>
      </c>
      <c r="P22" s="106">
        <v>0</v>
      </c>
      <c r="Q22" s="106" t="str" cm="1">
        <f t="array" ref="Q22">+_xlfn.IFS(O22="","",O22&lt;=1,"Baja",O22&lt;=3,"Media",O22&gt;3,"Alta")</f>
        <v>Media</v>
      </c>
      <c r="R22" s="106" t="str" cm="1">
        <f t="array" ref="R22">+_xlfn.IFS(P22="","",P22&lt;=0,"Baja",P22&lt;=2,"Media",P22&gt;2,"Alta")</f>
        <v>Baja</v>
      </c>
      <c r="S22" s="106" t="str" cm="1">
        <f t="array" ref="S22">+_xlfn.IFS(N22="","",N22="Componentes existentes reutilizables &gt;80%","Baja",N22="No Aplica","Baja",N22="Reutilización parcial 30-70%","Media",N22="Nuevo Desarrollo &lt;20%","Alta")</f>
        <v>Alta</v>
      </c>
      <c r="T22" s="106" t="str" cm="1">
        <f t="array" ref="T22">+_xlfn.IFS(L22="","",L22=0,"Baja",L22&lt;=2,"Media",L22&gt;=3,"Alta")</f>
        <v>Media</v>
      </c>
      <c r="U22" s="106" cm="1">
        <f t="array" ref="U22">+IFERROR((+_xlfn.IFS(Q22="",0,Q22="Baja",1,Q22="Media",2,Q22="Alta",3)*'Scoring Complejidad'!$C$8+_xlfn.IFS(R22="Baja",1,R22="Media",2,R22="Alta",3)*'Scoring Complejidad'!$C$9+_xlfn.IFS(S22="Baja",1,S22="Media",2,S22="Alta",3)*'Scoring Complejidad'!$C$7+_xlfn.IFS(T22="",1,T22="Baja",1,T22="Media",2,T22="Alta",3)*'Scoring Complejidad'!$C$5+_xlfn.IFS(M22="Caja",1,M22="Configuración",2,M22="Desarrollo",3,M22="Desarrollo + Configuración",3,M22="No Aplica",0)*'Scoring Complejidad'!$C$6),"")</f>
        <v>2.35</v>
      </c>
      <c r="V22" s="131" t="str" cm="1">
        <f t="array" ref="V22">IFERROR(_xlfn.IFS(U22="","",U22&lt;=1.69,"Baja",U22&lt;=2.29,"Media",U22&lt;=3,"Alta",U22&gt;3,"Error"),"")</f>
        <v>Alta</v>
      </c>
      <c r="W22" s="144">
        <v>46209</v>
      </c>
      <c r="X22" s="144">
        <v>46262</v>
      </c>
      <c r="Y22" s="192" t="s">
        <v>1477</v>
      </c>
      <c r="Z22" s="192" t="s">
        <v>1477</v>
      </c>
      <c r="AA22" s="154">
        <v>46244</v>
      </c>
      <c r="AB22" s="154">
        <v>46283</v>
      </c>
      <c r="AC22" s="105" t="s">
        <v>1715</v>
      </c>
      <c r="AD22" s="146">
        <v>46241</v>
      </c>
    </row>
    <row r="23" spans="1:30" ht="80.5">
      <c r="A23" s="107" t="s">
        <v>155</v>
      </c>
      <c r="B23" s="107" t="s">
        <v>16</v>
      </c>
      <c r="C23" s="140" t="s">
        <v>156</v>
      </c>
      <c r="D23" s="107" t="s">
        <v>18</v>
      </c>
      <c r="E23" s="107" t="s">
        <v>1638</v>
      </c>
      <c r="F23" s="108" t="s">
        <v>157</v>
      </c>
      <c r="G23" s="108" t="s">
        <v>158</v>
      </c>
      <c r="H23" s="108" t="s">
        <v>76</v>
      </c>
      <c r="I23" s="108" t="s">
        <v>159</v>
      </c>
      <c r="J23" s="132" t="s">
        <v>1467</v>
      </c>
      <c r="K23" s="108" t="s">
        <v>1559</v>
      </c>
      <c r="L23" s="108">
        <v>2</v>
      </c>
      <c r="M23" s="108" t="s">
        <v>45</v>
      </c>
      <c r="N23" s="108" t="s">
        <v>1543</v>
      </c>
      <c r="O23" s="108">
        <v>3</v>
      </c>
      <c r="P23" s="108">
        <v>0</v>
      </c>
      <c r="Q23" s="108" t="str" cm="1">
        <f t="array" ref="Q23">+_xlfn.IFS(O23="","",O23&lt;=1,"Baja",O23&lt;=3,"Media",O23&gt;3,"Alta")</f>
        <v>Media</v>
      </c>
      <c r="R23" s="108" t="str" cm="1">
        <f t="array" ref="R23">+_xlfn.IFS(P23="","",P23&lt;=0,"Baja",P23&lt;=2,"Media",P23&gt;2,"Alta")</f>
        <v>Baja</v>
      </c>
      <c r="S23" s="108" t="str" cm="1">
        <f t="array" ref="S23">+_xlfn.IFS(N23="","",N23="Componentes existentes reutilizables &gt;80%","Baja",N23="No Aplica","Baja",N23="Reutilización parcial 30-70%","Media",N23="Nuevo Desarrollo &lt;20%","Alta")</f>
        <v>Alta</v>
      </c>
      <c r="T23" s="108" t="str" cm="1">
        <f t="array" ref="T23">+_xlfn.IFS(L23="","",L23=0,"Baja",L23&lt;=2,"Media",L23&gt;=3,"Alta")</f>
        <v>Media</v>
      </c>
      <c r="U23" s="108" cm="1">
        <f t="array" ref="U23">+IFERROR((+_xlfn.IFS(Q23="",0,Q23="Baja",1,Q23="Media",2,Q23="Alta",3)*'Scoring Complejidad'!$C$8+_xlfn.IFS(R23="Baja",1,R23="Media",2,R23="Alta",3)*'Scoring Complejidad'!$C$9+_xlfn.IFS(S23="Baja",1,S23="Media",2,S23="Alta",3)*'Scoring Complejidad'!$C$7+_xlfn.IFS(T23="",1,T23="Baja",1,T23="Media",2,T23="Alta",3)*'Scoring Complejidad'!$C$5+_xlfn.IFS(M23="Caja",1,M23="Configuración",2,M23="Desarrollo",3,M23="Desarrollo + Configuración",3,M23="No Aplica",0)*'Scoring Complejidad'!$C$6),"")</f>
        <v>2.35</v>
      </c>
      <c r="V23" s="132" t="str" cm="1">
        <f t="array" ref="V23">IFERROR(_xlfn.IFS(U23="","",U23&lt;=1.69,"Baja",U23&lt;=2.29,"Media",U23&lt;=3,"Alta",U23&gt;3,"Error"),"")</f>
        <v>Alta</v>
      </c>
      <c r="W23" s="143">
        <v>46209</v>
      </c>
      <c r="X23" s="143">
        <v>46262</v>
      </c>
      <c r="Y23" s="191" t="s">
        <v>1477</v>
      </c>
      <c r="Z23" s="191" t="s">
        <v>1477</v>
      </c>
      <c r="AA23" s="145">
        <v>46244</v>
      </c>
      <c r="AB23" s="145">
        <v>46283</v>
      </c>
      <c r="AC23" s="107" t="s">
        <v>1716</v>
      </c>
      <c r="AD23" s="145">
        <v>46241</v>
      </c>
    </row>
    <row r="24" spans="1:30" ht="92">
      <c r="A24" s="105" t="s">
        <v>270</v>
      </c>
      <c r="B24" s="105" t="s">
        <v>271</v>
      </c>
      <c r="C24" s="139" t="s">
        <v>272</v>
      </c>
      <c r="D24" s="105" t="s">
        <v>18</v>
      </c>
      <c r="E24" s="105" t="s">
        <v>1595</v>
      </c>
      <c r="F24" s="106" t="s">
        <v>273</v>
      </c>
      <c r="G24" s="106" t="s">
        <v>274</v>
      </c>
      <c r="H24" s="106" t="s">
        <v>275</v>
      </c>
      <c r="I24" s="106" t="s">
        <v>276</v>
      </c>
      <c r="J24" s="106" t="s">
        <v>1466</v>
      </c>
      <c r="K24" s="106" t="s">
        <v>1559</v>
      </c>
      <c r="L24" s="106">
        <v>2</v>
      </c>
      <c r="M24" s="106" t="s">
        <v>1476</v>
      </c>
      <c r="N24" s="106" t="s">
        <v>1558</v>
      </c>
      <c r="O24" s="106">
        <v>3</v>
      </c>
      <c r="P24" s="106">
        <v>3</v>
      </c>
      <c r="Q24" s="106" t="str" cm="1">
        <f t="array" ref="Q24">+_xlfn.IFS(O24="","",O24&lt;=1,"Baja",O24&lt;=3,"Media",O24&gt;3,"Alta")</f>
        <v>Media</v>
      </c>
      <c r="R24" s="106" t="str" cm="1">
        <f t="array" ref="R24">+_xlfn.IFS(P24="","",P24&lt;=0,"Baja",P24&lt;=2,"Media",P24&gt;2,"Alta")</f>
        <v>Alta</v>
      </c>
      <c r="S24" s="106" t="str" cm="1">
        <f t="array" ref="S24">+_xlfn.IFS(N24="","",N24="Componentes existentes reutilizables &gt;80%","Baja",N24="No Aplica","Baja",N24="Reutilización parcial 30-70%","Media",N24="Nuevo Desarrollo &lt;20%","Alta")</f>
        <v>Media</v>
      </c>
      <c r="T24" s="106" t="str" cm="1">
        <f t="array" ref="T24">+_xlfn.IFS(L24="","",L24=0,"Baja",L24&lt;=2,"Media",L24&gt;=3,"Alta")</f>
        <v>Media</v>
      </c>
      <c r="U24" s="106" cm="1">
        <f t="array" ref="U24">+IFERROR((+_xlfn.IFS(Q24="",0,Q24="Baja",1,Q24="Media",2,Q24="Alta",3)*'Scoring Complejidad'!$C$8+_xlfn.IFS(R24="Baja",1,R24="Media",2,R24="Alta",3)*'Scoring Complejidad'!$C$9+_xlfn.IFS(S24="Baja",1,S24="Media",2,S24="Alta",3)*'Scoring Complejidad'!$C$7+_xlfn.IFS(T24="",1,T24="Baja",1,T24="Media",2,T24="Alta",3)*'Scoring Complejidad'!$C$5+_xlfn.IFS(M24="Caja",1,M24="Configuración",2,M24="Desarrollo",3,M24="Desarrollo + Configuración",3,M24="No Aplica",0)*'Scoring Complejidad'!$C$6),"")</f>
        <v>2.35</v>
      </c>
      <c r="V24" s="131" t="str" cm="1">
        <f t="array" ref="V24">IFERROR(_xlfn.IFS(U24="","",U24&lt;=1.69,"Baja",U24&lt;=2.29,"Media",U24&lt;=3,"Alta",U24&gt;3,"Error"),"")</f>
        <v>Alta</v>
      </c>
      <c r="W24" s="144">
        <v>46167</v>
      </c>
      <c r="X24" s="144">
        <v>46234</v>
      </c>
      <c r="Y24" s="147" t="s">
        <v>1617</v>
      </c>
      <c r="Z24" s="151" t="s">
        <v>1617</v>
      </c>
      <c r="AA24" s="151" t="s">
        <v>1617</v>
      </c>
      <c r="AB24" s="151" t="s">
        <v>1617</v>
      </c>
      <c r="AC24" s="105" t="s">
        <v>1618</v>
      </c>
      <c r="AD24" s="146">
        <v>46237</v>
      </c>
    </row>
    <row r="25" spans="1:30" ht="69">
      <c r="A25" s="107" t="s">
        <v>279</v>
      </c>
      <c r="B25" s="107" t="s">
        <v>271</v>
      </c>
      <c r="C25" s="140" t="s">
        <v>280</v>
      </c>
      <c r="D25" s="107" t="s">
        <v>18</v>
      </c>
      <c r="E25" s="107" t="s">
        <v>1595</v>
      </c>
      <c r="F25" s="108" t="s">
        <v>281</v>
      </c>
      <c r="G25" s="108" t="s">
        <v>282</v>
      </c>
      <c r="H25" s="108" t="s">
        <v>275</v>
      </c>
      <c r="I25" s="108" t="s">
        <v>276</v>
      </c>
      <c r="J25" s="108" t="s">
        <v>1466</v>
      </c>
      <c r="K25" s="108" t="s">
        <v>1559</v>
      </c>
      <c r="L25" s="108">
        <v>1</v>
      </c>
      <c r="M25" s="108" t="s">
        <v>45</v>
      </c>
      <c r="N25" s="108" t="s">
        <v>1502</v>
      </c>
      <c r="O25" s="108">
        <v>3</v>
      </c>
      <c r="P25" s="108">
        <v>3</v>
      </c>
      <c r="Q25" s="108" t="str" cm="1">
        <f t="array" ref="Q25">+_xlfn.IFS(O25="","",O25&lt;=1,"Baja",O25&lt;=3,"Media",O25&gt;3,"Alta")</f>
        <v>Media</v>
      </c>
      <c r="R25" s="108" t="str" cm="1">
        <f t="array" ref="R25">+_xlfn.IFS(P25="","",P25&lt;=0,"Baja",P25&lt;=2,"Media",P25&gt;2,"Alta")</f>
        <v>Alta</v>
      </c>
      <c r="S25" s="108" t="str" cm="1">
        <f t="array" ref="S25">+_xlfn.IFS(N25="","",N25="Componentes existentes reutilizables &gt;80%","Baja",N25="No Aplica","Baja",N25="Reutilización parcial 30-70%","Media",N25="Nuevo Desarrollo &lt;20%","Alta")</f>
        <v>Baja</v>
      </c>
      <c r="T25" s="108" t="str" cm="1">
        <f t="array" ref="T25">+_xlfn.IFS(L25="","",L25=0,"Baja",L25&lt;=2,"Media",L25&gt;=3,"Alta")</f>
        <v>Media</v>
      </c>
      <c r="U25" s="108" cm="1">
        <f t="array" ref="U25">+IFERROR((+_xlfn.IFS(Q25="",0,Q25="Baja",1,Q25="Media",2,Q25="Alta",3)*'Scoring Complejidad'!$C$8+_xlfn.IFS(R25="Baja",1,R25="Media",2,R25="Alta",3)*'Scoring Complejidad'!$C$9+_xlfn.IFS(S25="Baja",1,S25="Media",2,S25="Alta",3)*'Scoring Complejidad'!$C$7+_xlfn.IFS(T25="",1,T25="Baja",1,T25="Media",2,T25="Alta",3)*'Scoring Complejidad'!$C$5+_xlfn.IFS(M25="Caja",1,M25="Configuración",2,M25="Desarrollo",3,M25="Desarrollo + Configuración",3,M25="No Aplica",0)*'Scoring Complejidad'!$C$6),"")</f>
        <v>2.15</v>
      </c>
      <c r="V25" s="132" t="str" cm="1">
        <f t="array" ref="V25">IFERROR(_xlfn.IFS(U25="","",U25&lt;=1.69,"Baja",U25&lt;=2.29,"Media",U25&lt;=3,"Alta",U25&gt;3,"Error"),"")</f>
        <v>Media</v>
      </c>
      <c r="W25" s="143">
        <v>46167</v>
      </c>
      <c r="X25" s="143">
        <v>46234</v>
      </c>
      <c r="Y25" s="148" t="s">
        <v>1617</v>
      </c>
      <c r="Z25" s="150" t="s">
        <v>1617</v>
      </c>
      <c r="AA25" s="150" t="s">
        <v>1617</v>
      </c>
      <c r="AB25" s="150" t="s">
        <v>1617</v>
      </c>
      <c r="AC25" s="107" t="s">
        <v>1619</v>
      </c>
      <c r="AD25" s="145">
        <v>46237</v>
      </c>
    </row>
    <row r="26" spans="1:30" ht="80.5">
      <c r="A26" s="105" t="s">
        <v>284</v>
      </c>
      <c r="B26" s="105" t="s">
        <v>271</v>
      </c>
      <c r="C26" s="139" t="s">
        <v>285</v>
      </c>
      <c r="D26" s="105" t="s">
        <v>18</v>
      </c>
      <c r="E26" s="105" t="s">
        <v>1596</v>
      </c>
      <c r="F26" s="106" t="s">
        <v>286</v>
      </c>
      <c r="G26" s="106" t="s">
        <v>287</v>
      </c>
      <c r="H26" s="106" t="s">
        <v>288</v>
      </c>
      <c r="I26" s="106" t="s">
        <v>289</v>
      </c>
      <c r="J26" s="106" t="s">
        <v>1466</v>
      </c>
      <c r="K26" s="106" t="s">
        <v>1472</v>
      </c>
      <c r="L26" s="106">
        <v>0</v>
      </c>
      <c r="M26" s="106" t="s">
        <v>1475</v>
      </c>
      <c r="N26" s="106" t="s">
        <v>1502</v>
      </c>
      <c r="O26" s="106">
        <v>3</v>
      </c>
      <c r="P26" s="106">
        <v>2</v>
      </c>
      <c r="Q26" s="106" t="str" cm="1">
        <f t="array" ref="Q26">+_xlfn.IFS(O26="","",O26&lt;=1,"Baja",O26&lt;=3,"Media",O26&gt;3,"Alta")</f>
        <v>Media</v>
      </c>
      <c r="R26" s="106" t="str" cm="1">
        <f t="array" ref="R26">+_xlfn.IFS(P26="","",P26&lt;=0,"Baja",P26&lt;=2,"Media",P26&gt;2,"Alta")</f>
        <v>Media</v>
      </c>
      <c r="S26" s="106" t="str" cm="1">
        <f t="array" ref="S26">+_xlfn.IFS(N26="","",N26="Componentes existentes reutilizables &gt;80%","Baja",N26="No Aplica","Baja",N26="Reutilización parcial 30-70%","Media",N26="Nuevo Desarrollo &lt;20%","Alta")</f>
        <v>Baja</v>
      </c>
      <c r="T26" s="106" t="str" cm="1">
        <f t="array" ref="T26">+_xlfn.IFS(L26="","",L26=0,"Baja",L26&lt;=2,"Media",L26&gt;=3,"Alta")</f>
        <v>Baja</v>
      </c>
      <c r="U26" s="106" cm="1">
        <f t="array" ref="U26">+IFERROR((+_xlfn.IFS(Q26="",0,Q26="Baja",1,Q26="Media",2,Q26="Alta",3)*'Scoring Complejidad'!$C$8+_xlfn.IFS(R26="Baja",1,R26="Media",2,R26="Alta",3)*'Scoring Complejidad'!$C$9+_xlfn.IFS(S26="Baja",1,S26="Media",2,S26="Alta",3)*'Scoring Complejidad'!$C$7+_xlfn.IFS(T26="",1,T26="Baja",1,T26="Media",2,T26="Alta",3)*'Scoring Complejidad'!$C$5+_xlfn.IFS(M26="Caja",1,M26="Configuración",2,M26="Desarrollo",3,M26="Desarrollo + Configuración",3,M26="No Aplica",0)*'Scoring Complejidad'!$C$6),"")</f>
        <v>1.5</v>
      </c>
      <c r="V26" s="131" t="str" cm="1">
        <f t="array" ref="V26">IFERROR(_xlfn.IFS(U26="","",U26&lt;=1.69,"Baja",U26&lt;=2.29,"Media",U26&lt;=3,"Alta",U26&gt;3,"Error"),"")</f>
        <v>Baja</v>
      </c>
      <c r="W26" s="144">
        <v>46167</v>
      </c>
      <c r="X26" s="144">
        <v>46234</v>
      </c>
      <c r="Y26" s="147" t="s">
        <v>1617</v>
      </c>
      <c r="Z26" s="151" t="s">
        <v>1617</v>
      </c>
      <c r="AA26" s="151" t="s">
        <v>1617</v>
      </c>
      <c r="AB26" s="151" t="s">
        <v>1617</v>
      </c>
      <c r="AC26" s="105" t="s">
        <v>1619</v>
      </c>
      <c r="AD26" s="146">
        <v>46237</v>
      </c>
    </row>
    <row r="27" spans="1:30" ht="80.5">
      <c r="A27" s="107" t="s">
        <v>292</v>
      </c>
      <c r="B27" s="107" t="s">
        <v>271</v>
      </c>
      <c r="C27" s="140" t="s">
        <v>293</v>
      </c>
      <c r="D27" s="107" t="s">
        <v>18</v>
      </c>
      <c r="E27" s="107" t="s">
        <v>1596</v>
      </c>
      <c r="F27" s="108" t="s">
        <v>294</v>
      </c>
      <c r="G27" s="108" t="s">
        <v>295</v>
      </c>
      <c r="H27" s="108" t="s">
        <v>288</v>
      </c>
      <c r="I27" s="108" t="s">
        <v>289</v>
      </c>
      <c r="J27" s="108" t="s">
        <v>1467</v>
      </c>
      <c r="K27" s="108" t="s">
        <v>1472</v>
      </c>
      <c r="L27" s="108">
        <v>0</v>
      </c>
      <c r="M27" s="108" t="s">
        <v>1475</v>
      </c>
      <c r="N27" s="108" t="s">
        <v>1502</v>
      </c>
      <c r="O27" s="108">
        <v>3</v>
      </c>
      <c r="P27" s="108">
        <v>0</v>
      </c>
      <c r="Q27" s="108" t="str" cm="1">
        <f t="array" ref="Q27">+_xlfn.IFS(O27="","",O27&lt;=1,"Baja",O27&lt;=3,"Media",O27&gt;3,"Alta")</f>
        <v>Media</v>
      </c>
      <c r="R27" s="108" t="str" cm="1">
        <f t="array" ref="R27">+_xlfn.IFS(P27="","",P27&lt;=0,"Baja",P27&lt;=2,"Media",P27&gt;2,"Alta")</f>
        <v>Baja</v>
      </c>
      <c r="S27" s="108" t="str" cm="1">
        <f t="array" ref="S27">+_xlfn.IFS(N27="","",N27="Componentes existentes reutilizables &gt;80%","Baja",N27="No Aplica","Baja",N27="Reutilización parcial 30-70%","Media",N27="Nuevo Desarrollo &lt;20%","Alta")</f>
        <v>Baja</v>
      </c>
      <c r="T27" s="108" t="str" cm="1">
        <f t="array" ref="T27">+_xlfn.IFS(L27="","",L27=0,"Baja",L27&lt;=2,"Media",L27&gt;=3,"Alta")</f>
        <v>Baja</v>
      </c>
      <c r="U27" s="108" cm="1">
        <f t="array" ref="U27">+IFERROR((+_xlfn.IFS(Q27="",0,Q27="Baja",1,Q27="Media",2,Q27="Alta",3)*'Scoring Complejidad'!$C$8+_xlfn.IFS(R27="Baja",1,R27="Media",2,R27="Alta",3)*'Scoring Complejidad'!$C$9+_xlfn.IFS(S27="Baja",1,S27="Media",2,S27="Alta",3)*'Scoring Complejidad'!$C$7+_xlfn.IFS(T27="",1,T27="Baja",1,T27="Media",2,T27="Alta",3)*'Scoring Complejidad'!$C$5+_xlfn.IFS(M27="Caja",1,M27="Configuración",2,M27="Desarrollo",3,M27="Desarrollo + Configuración",3,M27="No Aplica",0)*'Scoring Complejidad'!$C$6),"")</f>
        <v>1.4000000000000001</v>
      </c>
      <c r="V27" s="132" t="str" cm="1">
        <f t="array" ref="V27">IFERROR(_xlfn.IFS(U27="","",U27&lt;=1.69,"Baja",U27&lt;=2.29,"Media",U27&lt;=3,"Alta",U27&gt;3,"Error"),"")</f>
        <v>Baja</v>
      </c>
      <c r="W27" s="143">
        <v>46167</v>
      </c>
      <c r="X27" s="143">
        <v>46234</v>
      </c>
      <c r="Y27" s="148" t="s">
        <v>1617</v>
      </c>
      <c r="Z27" s="150" t="s">
        <v>1617</v>
      </c>
      <c r="AA27" s="150" t="s">
        <v>1617</v>
      </c>
      <c r="AB27" s="150" t="s">
        <v>1617</v>
      </c>
      <c r="AC27" s="107" t="s">
        <v>1620</v>
      </c>
      <c r="AD27" s="145">
        <v>46237</v>
      </c>
    </row>
    <row r="28" spans="1:30" ht="80.5">
      <c r="A28" s="105" t="s">
        <v>298</v>
      </c>
      <c r="B28" s="105" t="s">
        <v>271</v>
      </c>
      <c r="C28" s="139" t="s">
        <v>299</v>
      </c>
      <c r="D28" s="105" t="s">
        <v>18</v>
      </c>
      <c r="E28" s="105" t="s">
        <v>1597</v>
      </c>
      <c r="F28" s="106" t="s">
        <v>300</v>
      </c>
      <c r="G28" s="106" t="s">
        <v>301</v>
      </c>
      <c r="H28" s="106" t="s">
        <v>302</v>
      </c>
      <c r="I28" s="106" t="s">
        <v>289</v>
      </c>
      <c r="J28" s="106" t="s">
        <v>1466</v>
      </c>
      <c r="K28" s="106" t="s">
        <v>1559</v>
      </c>
      <c r="L28" s="106">
        <v>1</v>
      </c>
      <c r="M28" s="106" t="s">
        <v>1476</v>
      </c>
      <c r="N28" s="106" t="s">
        <v>1543</v>
      </c>
      <c r="O28" s="106">
        <v>3</v>
      </c>
      <c r="P28" s="106">
        <v>0</v>
      </c>
      <c r="Q28" s="106" t="str" cm="1">
        <f t="array" ref="Q28">+_xlfn.IFS(O28="","",O28&lt;=1,"Baja",O28&lt;=3,"Media",O28&gt;3,"Alta")</f>
        <v>Media</v>
      </c>
      <c r="R28" s="106" t="str" cm="1">
        <f t="array" ref="R28">+_xlfn.IFS(P28="","",P28&lt;=0,"Baja",P28&lt;=2,"Media",P28&gt;2,"Alta")</f>
        <v>Baja</v>
      </c>
      <c r="S28" s="106" t="str" cm="1">
        <f t="array" ref="S28">+_xlfn.IFS(N28="","",N28="Componentes existentes reutilizables &gt;80%","Baja",N28="No Aplica","Baja",N28="Reutilización parcial 30-70%","Media",N28="Nuevo Desarrollo &lt;20%","Alta")</f>
        <v>Alta</v>
      </c>
      <c r="T28" s="106" t="str" cm="1">
        <f t="array" ref="T28">+_xlfn.IFS(L28="","",L28=0,"Baja",L28&lt;=2,"Media",L28&gt;=3,"Alta")</f>
        <v>Media</v>
      </c>
      <c r="U28" s="106" cm="1">
        <f t="array" ref="U28">+IFERROR((+_xlfn.IFS(Q28="",0,Q28="Baja",1,Q28="Media",2,Q28="Alta",3)*'Scoring Complejidad'!$C$8+_xlfn.IFS(R28="Baja",1,R28="Media",2,R28="Alta",3)*'Scoring Complejidad'!$C$9+_xlfn.IFS(S28="Baja",1,S28="Media",2,S28="Alta",3)*'Scoring Complejidad'!$C$7+_xlfn.IFS(T28="",1,T28="Baja",1,T28="Media",2,T28="Alta",3)*'Scoring Complejidad'!$C$5+_xlfn.IFS(M28="Caja",1,M28="Configuración",2,M28="Desarrollo",3,M28="Desarrollo + Configuración",3,M28="No Aplica",0)*'Scoring Complejidad'!$C$6),"")</f>
        <v>2.35</v>
      </c>
      <c r="V28" s="131" t="str" cm="1">
        <f t="array" ref="V28">IFERROR(_xlfn.IFS(U28="","",U28&lt;=1.69,"Baja",U28&lt;=2.29,"Media",U28&lt;=3,"Alta",U28&gt;3,"Error"),"")</f>
        <v>Alta</v>
      </c>
      <c r="W28" s="144">
        <v>46167</v>
      </c>
      <c r="X28" s="144">
        <v>46234</v>
      </c>
      <c r="Y28" s="147" t="s">
        <v>1617</v>
      </c>
      <c r="Z28" s="151" t="s">
        <v>1617</v>
      </c>
      <c r="AA28" s="151" t="s">
        <v>1617</v>
      </c>
      <c r="AB28" s="151" t="s">
        <v>1617</v>
      </c>
      <c r="AC28" s="105" t="s">
        <v>1619</v>
      </c>
      <c r="AD28" s="146">
        <v>46237</v>
      </c>
    </row>
    <row r="29" spans="1:30" ht="80.5">
      <c r="A29" s="107" t="s">
        <v>304</v>
      </c>
      <c r="B29" s="107" t="s">
        <v>271</v>
      </c>
      <c r="C29" s="140" t="s">
        <v>305</v>
      </c>
      <c r="D29" s="107" t="s">
        <v>18</v>
      </c>
      <c r="E29" s="107" t="s">
        <v>1597</v>
      </c>
      <c r="F29" s="108" t="s">
        <v>306</v>
      </c>
      <c r="G29" s="108" t="s">
        <v>307</v>
      </c>
      <c r="H29" s="108" t="s">
        <v>302</v>
      </c>
      <c r="I29" s="108" t="s">
        <v>289</v>
      </c>
      <c r="J29" s="108" t="s">
        <v>1466</v>
      </c>
      <c r="K29" s="108" t="s">
        <v>1559</v>
      </c>
      <c r="L29" s="108">
        <v>1</v>
      </c>
      <c r="M29" s="108" t="s">
        <v>1476</v>
      </c>
      <c r="N29" s="108" t="s">
        <v>1543</v>
      </c>
      <c r="O29" s="108">
        <v>3</v>
      </c>
      <c r="P29" s="108">
        <v>2</v>
      </c>
      <c r="Q29" s="108" t="str" cm="1">
        <f t="array" ref="Q29">+_xlfn.IFS(O29="","",O29&lt;=1,"Baja",O29&lt;=3,"Media",O29&gt;3,"Alta")</f>
        <v>Media</v>
      </c>
      <c r="R29" s="108" t="str" cm="1">
        <f t="array" ref="R29">+_xlfn.IFS(P29="","",P29&lt;=0,"Baja",P29&lt;=2,"Media",P29&gt;2,"Alta")</f>
        <v>Media</v>
      </c>
      <c r="S29" s="108" t="str" cm="1">
        <f t="array" ref="S29">+_xlfn.IFS(N29="","",N29="Componentes existentes reutilizables &gt;80%","Baja",N29="No Aplica","Baja",N29="Reutilización parcial 30-70%","Media",N29="Nuevo Desarrollo &lt;20%","Alta")</f>
        <v>Alta</v>
      </c>
      <c r="T29" s="108" t="str" cm="1">
        <f t="array" ref="T29">+_xlfn.IFS(L29="","",L29=0,"Baja",L29&lt;=2,"Media",L29&gt;=3,"Alta")</f>
        <v>Media</v>
      </c>
      <c r="U29" s="108" cm="1">
        <f t="array" ref="U29">+IFERROR((+_xlfn.IFS(Q29="",0,Q29="Baja",1,Q29="Media",2,Q29="Alta",3)*'Scoring Complejidad'!$C$8+_xlfn.IFS(R29="Baja",1,R29="Media",2,R29="Alta",3)*'Scoring Complejidad'!$C$9+_xlfn.IFS(S29="Baja",1,S29="Media",2,S29="Alta",3)*'Scoring Complejidad'!$C$7+_xlfn.IFS(T29="",1,T29="Baja",1,T29="Media",2,T29="Alta",3)*'Scoring Complejidad'!$C$5+_xlfn.IFS(M29="Caja",1,M29="Configuración",2,M29="Desarrollo",3,M29="Desarrollo + Configuración",3,M29="No Aplica",0)*'Scoring Complejidad'!$C$6),"")</f>
        <v>2.4500000000000002</v>
      </c>
      <c r="V29" s="132" t="str" cm="1">
        <f t="array" ref="V29">IFERROR(_xlfn.IFS(U29="","",U29&lt;=1.69,"Baja",U29&lt;=2.29,"Media",U29&lt;=3,"Alta",U29&gt;3,"Error"),"")</f>
        <v>Alta</v>
      </c>
      <c r="W29" s="143">
        <v>46167</v>
      </c>
      <c r="X29" s="143">
        <v>46234</v>
      </c>
      <c r="Y29" s="148" t="s">
        <v>1617</v>
      </c>
      <c r="Z29" s="150" t="s">
        <v>1617</v>
      </c>
      <c r="AA29" s="150" t="s">
        <v>1617</v>
      </c>
      <c r="AB29" s="150" t="s">
        <v>1617</v>
      </c>
      <c r="AC29" s="107" t="s">
        <v>1619</v>
      </c>
      <c r="AD29" s="145">
        <v>46237</v>
      </c>
    </row>
    <row r="30" spans="1:30" ht="92">
      <c r="A30" s="105" t="s">
        <v>309</v>
      </c>
      <c r="B30" s="105" t="s">
        <v>271</v>
      </c>
      <c r="C30" s="139" t="s">
        <v>310</v>
      </c>
      <c r="D30" s="105" t="s">
        <v>18</v>
      </c>
      <c r="E30" s="105" t="s">
        <v>1597</v>
      </c>
      <c r="F30" s="106" t="s">
        <v>311</v>
      </c>
      <c r="G30" s="106" t="s">
        <v>312</v>
      </c>
      <c r="H30" s="106" t="s">
        <v>288</v>
      </c>
      <c r="I30" s="106" t="s">
        <v>289</v>
      </c>
      <c r="J30" s="106" t="s">
        <v>1467</v>
      </c>
      <c r="K30" s="106" t="s">
        <v>1472</v>
      </c>
      <c r="L30" s="106">
        <v>0</v>
      </c>
      <c r="M30" s="106" t="s">
        <v>45</v>
      </c>
      <c r="N30" s="106" t="s">
        <v>1502</v>
      </c>
      <c r="O30" s="106">
        <v>3</v>
      </c>
      <c r="P30" s="106">
        <v>2</v>
      </c>
      <c r="Q30" s="106" t="str" cm="1">
        <f t="array" ref="Q30">+_xlfn.IFS(O30="","",O30&lt;=1,"Baja",O30&lt;=3,"Media",O30&gt;3,"Alta")</f>
        <v>Media</v>
      </c>
      <c r="R30" s="106" t="str" cm="1">
        <f t="array" ref="R30">+_xlfn.IFS(P30="","",P30&lt;=0,"Baja",P30&lt;=2,"Media",P30&gt;2,"Alta")</f>
        <v>Media</v>
      </c>
      <c r="S30" s="106" t="str" cm="1">
        <f t="array" ref="S30">+_xlfn.IFS(N30="","",N30="Componentes existentes reutilizables &gt;80%","Baja",N30="No Aplica","Baja",N30="Reutilización parcial 30-70%","Media",N30="Nuevo Desarrollo &lt;20%","Alta")</f>
        <v>Baja</v>
      </c>
      <c r="T30" s="106" t="str" cm="1">
        <f t="array" ref="T30">+_xlfn.IFS(L30="","",L30=0,"Baja",L30&lt;=2,"Media",L30&gt;=3,"Alta")</f>
        <v>Baja</v>
      </c>
      <c r="U30" s="106" cm="1">
        <f t="array" ref="U30">+IFERROR((+_xlfn.IFS(Q30="",0,Q30="Baja",1,Q30="Media",2,Q30="Alta",3)*'Scoring Complejidad'!$C$8+_xlfn.IFS(R30="Baja",1,R30="Media",2,R30="Alta",3)*'Scoring Complejidad'!$C$9+_xlfn.IFS(S30="Baja",1,S30="Media",2,S30="Alta",3)*'Scoring Complejidad'!$C$7+_xlfn.IFS(T30="",1,T30="Baja",1,T30="Media",2,T30="Alta",3)*'Scoring Complejidad'!$C$5+_xlfn.IFS(M30="Caja",1,M30="Configuración",2,M30="Desarrollo",3,M30="Desarrollo + Configuración",3,M30="No Aplica",0)*'Scoring Complejidad'!$C$6),"")</f>
        <v>1.75</v>
      </c>
      <c r="V30" s="131" t="str" cm="1">
        <f t="array" ref="V30">IFERROR(_xlfn.IFS(U30="","",U30&lt;=1.69,"Baja",U30&lt;=2.29,"Media",U30&lt;=3,"Alta",U30&gt;3,"Error"),"")</f>
        <v>Media</v>
      </c>
      <c r="W30" s="144">
        <v>46167</v>
      </c>
      <c r="X30" s="144">
        <v>46234</v>
      </c>
      <c r="Y30" s="147" t="s">
        <v>1617</v>
      </c>
      <c r="Z30" s="151" t="s">
        <v>1617</v>
      </c>
      <c r="AA30" s="151" t="s">
        <v>1617</v>
      </c>
      <c r="AB30" s="151" t="s">
        <v>1617</v>
      </c>
      <c r="AC30" s="105" t="s">
        <v>1612</v>
      </c>
      <c r="AD30" s="146">
        <v>46237</v>
      </c>
    </row>
    <row r="31" spans="1:30" ht="69">
      <c r="A31" s="107" t="s">
        <v>314</v>
      </c>
      <c r="B31" s="107" t="s">
        <v>271</v>
      </c>
      <c r="C31" s="140" t="s">
        <v>315</v>
      </c>
      <c r="D31" s="107" t="s">
        <v>18</v>
      </c>
      <c r="E31" s="107" t="s">
        <v>1595</v>
      </c>
      <c r="F31" s="108" t="s">
        <v>316</v>
      </c>
      <c r="G31" s="108" t="s">
        <v>317</v>
      </c>
      <c r="H31" s="108" t="s">
        <v>318</v>
      </c>
      <c r="I31" s="108" t="s">
        <v>276</v>
      </c>
      <c r="J31" s="108" t="s">
        <v>1466</v>
      </c>
      <c r="K31" s="108" t="s">
        <v>1559</v>
      </c>
      <c r="L31" s="108">
        <v>1</v>
      </c>
      <c r="M31" s="108" t="s">
        <v>45</v>
      </c>
      <c r="N31" s="108" t="s">
        <v>1543</v>
      </c>
      <c r="O31" s="108">
        <v>5</v>
      </c>
      <c r="P31" s="108">
        <v>3</v>
      </c>
      <c r="Q31" s="108" t="str" cm="1">
        <f t="array" ref="Q31">+_xlfn.IFS(O31="","",O31&lt;=1,"Baja",O31&lt;=3,"Media",O31&gt;3,"Alta")</f>
        <v>Alta</v>
      </c>
      <c r="R31" s="108" t="str" cm="1">
        <f t="array" ref="R31">+_xlfn.IFS(P31="","",P31&lt;=0,"Baja",P31&lt;=2,"Media",P31&gt;2,"Alta")</f>
        <v>Alta</v>
      </c>
      <c r="S31" s="108" t="str" cm="1">
        <f t="array" ref="S31">+_xlfn.IFS(N31="","",N31="Componentes existentes reutilizables &gt;80%","Baja",N31="No Aplica","Baja",N31="Reutilización parcial 30-70%","Media",N31="Nuevo Desarrollo &lt;20%","Alta")</f>
        <v>Alta</v>
      </c>
      <c r="T31" s="108" t="str" cm="1">
        <f t="array" ref="T31">+_xlfn.IFS(L31="","",L31=0,"Baja",L31&lt;=2,"Media",L31&gt;=3,"Alta")</f>
        <v>Media</v>
      </c>
      <c r="U31" s="108" cm="1">
        <f t="array" ref="U31">+IFERROR((+_xlfn.IFS(Q31="",0,Q31="Baja",1,Q31="Media",2,Q31="Alta",3)*'Scoring Complejidad'!$C$8+_xlfn.IFS(R31="Baja",1,R31="Media",2,R31="Alta",3)*'Scoring Complejidad'!$C$9+_xlfn.IFS(S31="Baja",1,S31="Media",2,S31="Alta",3)*'Scoring Complejidad'!$C$7+_xlfn.IFS(T31="",1,T31="Baja",1,T31="Media",2,T31="Alta",3)*'Scoring Complejidad'!$C$5+_xlfn.IFS(M31="Caja",1,M31="Configuración",2,M31="Desarrollo",3,M31="Desarrollo + Configuración",3,M31="No Aplica",0)*'Scoring Complejidad'!$C$6),"")</f>
        <v>2.7</v>
      </c>
      <c r="V31" s="132" t="str" cm="1">
        <f t="array" ref="V31">IFERROR(_xlfn.IFS(U31="","",U31&lt;=1.69,"Baja",U31&lt;=2.29,"Media",U31&lt;=3,"Alta",U31&gt;3,"Error"),"")</f>
        <v>Alta</v>
      </c>
      <c r="W31" s="143">
        <v>46167</v>
      </c>
      <c r="X31" s="143">
        <v>46234</v>
      </c>
      <c r="Y31" s="148" t="s">
        <v>1617</v>
      </c>
      <c r="Z31" s="150" t="s">
        <v>1617</v>
      </c>
      <c r="AA31" s="150" t="s">
        <v>1617</v>
      </c>
      <c r="AB31" s="150" t="s">
        <v>1617</v>
      </c>
      <c r="AC31" s="107" t="s">
        <v>1619</v>
      </c>
      <c r="AD31" s="145">
        <v>46237</v>
      </c>
    </row>
    <row r="32" spans="1:30" ht="69">
      <c r="A32" s="105" t="s">
        <v>321</v>
      </c>
      <c r="B32" s="105" t="s">
        <v>271</v>
      </c>
      <c r="C32" s="139" t="s">
        <v>322</v>
      </c>
      <c r="D32" s="105" t="s">
        <v>18</v>
      </c>
      <c r="E32" s="105" t="s">
        <v>1595</v>
      </c>
      <c r="F32" s="106" t="s">
        <v>323</v>
      </c>
      <c r="G32" s="106" t="s">
        <v>324</v>
      </c>
      <c r="H32" s="106" t="s">
        <v>275</v>
      </c>
      <c r="I32" s="106" t="s">
        <v>276</v>
      </c>
      <c r="J32" s="106" t="s">
        <v>1466</v>
      </c>
      <c r="K32" s="106" t="s">
        <v>1472</v>
      </c>
      <c r="L32" s="106">
        <v>0</v>
      </c>
      <c r="M32" s="106" t="s">
        <v>1475</v>
      </c>
      <c r="N32" s="106" t="s">
        <v>1502</v>
      </c>
      <c r="O32" s="106">
        <v>3</v>
      </c>
      <c r="P32" s="106">
        <v>0</v>
      </c>
      <c r="Q32" s="106" t="str" cm="1">
        <f t="array" ref="Q32">+_xlfn.IFS(O32="","",O32&lt;=1,"Baja",O32&lt;=3,"Media",O32&gt;3,"Alta")</f>
        <v>Media</v>
      </c>
      <c r="R32" s="106" t="str" cm="1">
        <f t="array" ref="R32">+_xlfn.IFS(P32="","",P32&lt;=0,"Baja",P32&lt;=2,"Media",P32&gt;2,"Alta")</f>
        <v>Baja</v>
      </c>
      <c r="S32" s="106" t="str" cm="1">
        <f t="array" ref="S32">+_xlfn.IFS(N32="","",N32="Componentes existentes reutilizables &gt;80%","Baja",N32="No Aplica","Baja",N32="Reutilización parcial 30-70%","Media",N32="Nuevo Desarrollo &lt;20%","Alta")</f>
        <v>Baja</v>
      </c>
      <c r="T32" s="106" t="str" cm="1">
        <f t="array" ref="T32">+_xlfn.IFS(L32="","",L32=0,"Baja",L32&lt;=2,"Media",L32&gt;=3,"Alta")</f>
        <v>Baja</v>
      </c>
      <c r="U32" s="106" cm="1">
        <f t="array" ref="U32">+IFERROR((+_xlfn.IFS(Q32="",0,Q32="Baja",1,Q32="Media",2,Q32="Alta",3)*'Scoring Complejidad'!$C$8+_xlfn.IFS(R32="Baja",1,R32="Media",2,R32="Alta",3)*'Scoring Complejidad'!$C$9+_xlfn.IFS(S32="Baja",1,S32="Media",2,S32="Alta",3)*'Scoring Complejidad'!$C$7+_xlfn.IFS(T32="",1,T32="Baja",1,T32="Media",2,T32="Alta",3)*'Scoring Complejidad'!$C$5+_xlfn.IFS(M32="Caja",1,M32="Configuración",2,M32="Desarrollo",3,M32="Desarrollo + Configuración",3,M32="No Aplica",0)*'Scoring Complejidad'!$C$6),"")</f>
        <v>1.4000000000000001</v>
      </c>
      <c r="V32" s="131" t="str" cm="1">
        <f t="array" ref="V32">IFERROR(_xlfn.IFS(U32="","",U32&lt;=1.69,"Baja",U32&lt;=2.29,"Media",U32&lt;=3,"Alta",U32&gt;3,"Error"),"")</f>
        <v>Baja</v>
      </c>
      <c r="W32" s="144">
        <v>46167</v>
      </c>
      <c r="X32" s="144">
        <v>46234</v>
      </c>
      <c r="Y32" s="147" t="s">
        <v>1617</v>
      </c>
      <c r="Z32" s="151" t="s">
        <v>1617</v>
      </c>
      <c r="AA32" s="151" t="s">
        <v>1617</v>
      </c>
      <c r="AB32" s="151" t="s">
        <v>1617</v>
      </c>
      <c r="AC32" s="105" t="s">
        <v>1619</v>
      </c>
      <c r="AD32" s="146">
        <v>46237</v>
      </c>
    </row>
    <row r="33" spans="1:30" ht="69">
      <c r="A33" s="107" t="s">
        <v>326</v>
      </c>
      <c r="B33" s="107" t="s">
        <v>271</v>
      </c>
      <c r="C33" s="140" t="s">
        <v>327</v>
      </c>
      <c r="D33" s="107" t="s">
        <v>18</v>
      </c>
      <c r="E33" s="107" t="s">
        <v>1596</v>
      </c>
      <c r="F33" s="108" t="s">
        <v>328</v>
      </c>
      <c r="G33" s="108" t="s">
        <v>329</v>
      </c>
      <c r="H33" s="108" t="s">
        <v>288</v>
      </c>
      <c r="I33" s="108" t="s">
        <v>289</v>
      </c>
      <c r="J33" s="108" t="s">
        <v>1467</v>
      </c>
      <c r="K33" s="108" t="s">
        <v>1472</v>
      </c>
      <c r="L33" s="108">
        <v>0</v>
      </c>
      <c r="M33" s="108" t="s">
        <v>1475</v>
      </c>
      <c r="N33" s="108" t="s">
        <v>1502</v>
      </c>
      <c r="O33" s="108">
        <v>3</v>
      </c>
      <c r="P33" s="108">
        <v>1</v>
      </c>
      <c r="Q33" s="108" t="str" cm="1">
        <f t="array" ref="Q33">+_xlfn.IFS(O33="","",O33&lt;=1,"Baja",O33&lt;=3,"Media",O33&gt;3,"Alta")</f>
        <v>Media</v>
      </c>
      <c r="R33" s="108" t="str" cm="1">
        <f t="array" ref="R33">+_xlfn.IFS(P33="","",P33&lt;=0,"Baja",P33&lt;=2,"Media",P33&gt;2,"Alta")</f>
        <v>Media</v>
      </c>
      <c r="S33" s="108" t="str" cm="1">
        <f t="array" ref="S33">+_xlfn.IFS(N33="","",N33="Componentes existentes reutilizables &gt;80%","Baja",N33="No Aplica","Baja",N33="Reutilización parcial 30-70%","Media",N33="Nuevo Desarrollo &lt;20%","Alta")</f>
        <v>Baja</v>
      </c>
      <c r="T33" s="108" t="str" cm="1">
        <f t="array" ref="T33">+_xlfn.IFS(L33="","",L33=0,"Baja",L33&lt;=2,"Media",L33&gt;=3,"Alta")</f>
        <v>Baja</v>
      </c>
      <c r="U33" s="108" cm="1">
        <f t="array" ref="U33">+IFERROR((+_xlfn.IFS(Q33="",0,Q33="Baja",1,Q33="Media",2,Q33="Alta",3)*'Scoring Complejidad'!$C$8+_xlfn.IFS(R33="Baja",1,R33="Media",2,R33="Alta",3)*'Scoring Complejidad'!$C$9+_xlfn.IFS(S33="Baja",1,S33="Media",2,S33="Alta",3)*'Scoring Complejidad'!$C$7+_xlfn.IFS(T33="",1,T33="Baja",1,T33="Media",2,T33="Alta",3)*'Scoring Complejidad'!$C$5+_xlfn.IFS(M33="Caja",1,M33="Configuración",2,M33="Desarrollo",3,M33="Desarrollo + Configuración",3,M33="No Aplica",0)*'Scoring Complejidad'!$C$6),"")</f>
        <v>1.5</v>
      </c>
      <c r="V33" s="132" t="str" cm="1">
        <f t="array" ref="V33">IFERROR(_xlfn.IFS(U33="","",U33&lt;=1.69,"Baja",U33&lt;=2.29,"Media",U33&lt;=3,"Alta",U33&gt;3,"Error"),"")</f>
        <v>Baja</v>
      </c>
      <c r="W33" s="143">
        <v>46167</v>
      </c>
      <c r="X33" s="143">
        <v>46234</v>
      </c>
      <c r="Y33" s="148" t="s">
        <v>1617</v>
      </c>
      <c r="Z33" s="150" t="s">
        <v>1617</v>
      </c>
      <c r="AA33" s="150" t="s">
        <v>1617</v>
      </c>
      <c r="AB33" s="150" t="s">
        <v>1617</v>
      </c>
      <c r="AC33" s="107" t="s">
        <v>1619</v>
      </c>
      <c r="AD33" s="145">
        <v>46237</v>
      </c>
    </row>
    <row r="34" spans="1:30" ht="80.5">
      <c r="A34" s="105" t="s">
        <v>331</v>
      </c>
      <c r="B34" s="105" t="s">
        <v>271</v>
      </c>
      <c r="C34" s="139" t="s">
        <v>332</v>
      </c>
      <c r="D34" s="105" t="s">
        <v>18</v>
      </c>
      <c r="E34" s="105" t="s">
        <v>1597</v>
      </c>
      <c r="F34" s="106" t="s">
        <v>333</v>
      </c>
      <c r="G34" s="106" t="s">
        <v>334</v>
      </c>
      <c r="H34" s="106" t="s">
        <v>335</v>
      </c>
      <c r="I34" s="106" t="s">
        <v>289</v>
      </c>
      <c r="J34" s="106" t="s">
        <v>1466</v>
      </c>
      <c r="K34" s="106" t="s">
        <v>1559</v>
      </c>
      <c r="L34" s="106">
        <v>1</v>
      </c>
      <c r="M34" s="106" t="s">
        <v>1476</v>
      </c>
      <c r="N34" s="106" t="s">
        <v>1558</v>
      </c>
      <c r="O34" s="106">
        <v>3</v>
      </c>
      <c r="P34" s="106">
        <v>0</v>
      </c>
      <c r="Q34" s="106" t="str" cm="1">
        <f t="array" ref="Q34">+_xlfn.IFS(O34="","",O34&lt;=1,"Baja",O34&lt;=3,"Media",O34&gt;3,"Alta")</f>
        <v>Media</v>
      </c>
      <c r="R34" s="106" t="str" cm="1">
        <f t="array" ref="R34">+_xlfn.IFS(P34="","",P34&lt;=0,"Baja",P34&lt;=2,"Media",P34&gt;2,"Alta")</f>
        <v>Baja</v>
      </c>
      <c r="S34" s="106" t="str" cm="1">
        <f t="array" ref="S34">+_xlfn.IFS(N34="","",N34="Componentes existentes reutilizables &gt;80%","Baja",N34="No Aplica","Baja",N34="Reutilización parcial 30-70%","Media",N34="Nuevo Desarrollo &lt;20%","Alta")</f>
        <v>Media</v>
      </c>
      <c r="T34" s="106" t="str" cm="1">
        <f t="array" ref="T34">+_xlfn.IFS(L34="","",L34=0,"Baja",L34&lt;=2,"Media",L34&gt;=3,"Alta")</f>
        <v>Media</v>
      </c>
      <c r="U34" s="106" cm="1">
        <f t="array" ref="U34">+IFERROR((+_xlfn.IFS(Q34="",0,Q34="Baja",1,Q34="Media",2,Q34="Alta",3)*'Scoring Complejidad'!$C$8+_xlfn.IFS(R34="Baja",1,R34="Media",2,R34="Alta",3)*'Scoring Complejidad'!$C$9+_xlfn.IFS(S34="Baja",1,S34="Media",2,S34="Alta",3)*'Scoring Complejidad'!$C$7+_xlfn.IFS(T34="",1,T34="Baja",1,T34="Media",2,T34="Alta",3)*'Scoring Complejidad'!$C$5+_xlfn.IFS(M34="Caja",1,M34="Configuración",2,M34="Desarrollo",3,M34="Desarrollo + Configuración",3,M34="No Aplica",0)*'Scoring Complejidad'!$C$6),"")</f>
        <v>2.15</v>
      </c>
      <c r="V34" s="131" t="str" cm="1">
        <f t="array" ref="V34">IFERROR(_xlfn.IFS(U34="","",U34&lt;=1.69,"Baja",U34&lt;=2.29,"Media",U34&lt;=3,"Alta",U34&gt;3,"Error"),"")</f>
        <v>Media</v>
      </c>
      <c r="W34" s="144">
        <v>46167</v>
      </c>
      <c r="X34" s="144">
        <v>46234</v>
      </c>
      <c r="Y34" s="147" t="s">
        <v>1617</v>
      </c>
      <c r="Z34" s="151" t="s">
        <v>1617</v>
      </c>
      <c r="AA34" s="151" t="s">
        <v>1617</v>
      </c>
      <c r="AB34" s="151" t="s">
        <v>1617</v>
      </c>
      <c r="AC34" s="105" t="s">
        <v>1619</v>
      </c>
      <c r="AD34" s="146">
        <v>46237</v>
      </c>
    </row>
    <row r="35" spans="1:30" ht="80.5">
      <c r="A35" s="107" t="s">
        <v>337</v>
      </c>
      <c r="B35" s="107" t="s">
        <v>271</v>
      </c>
      <c r="C35" s="140" t="s">
        <v>338</v>
      </c>
      <c r="D35" s="107" t="s">
        <v>18</v>
      </c>
      <c r="E35" s="107" t="s">
        <v>1597</v>
      </c>
      <c r="F35" s="108" t="s">
        <v>339</v>
      </c>
      <c r="G35" s="108" t="s">
        <v>340</v>
      </c>
      <c r="H35" s="108" t="s">
        <v>341</v>
      </c>
      <c r="I35" s="108" t="s">
        <v>289</v>
      </c>
      <c r="J35" s="108" t="s">
        <v>1466</v>
      </c>
      <c r="K35" s="108" t="s">
        <v>1559</v>
      </c>
      <c r="L35" s="108">
        <v>1</v>
      </c>
      <c r="M35" s="108" t="s">
        <v>1476</v>
      </c>
      <c r="N35" s="108" t="s">
        <v>1558</v>
      </c>
      <c r="O35" s="108">
        <v>3</v>
      </c>
      <c r="P35" s="108">
        <v>2</v>
      </c>
      <c r="Q35" s="108" t="str" cm="1">
        <f t="array" ref="Q35">+_xlfn.IFS(O35="","",O35&lt;=1,"Baja",O35&lt;=3,"Media",O35&gt;3,"Alta")</f>
        <v>Media</v>
      </c>
      <c r="R35" s="108" t="str" cm="1">
        <f t="array" ref="R35">+_xlfn.IFS(P35="","",P35&lt;=0,"Baja",P35&lt;=2,"Media",P35&gt;2,"Alta")</f>
        <v>Media</v>
      </c>
      <c r="S35" s="108" t="str" cm="1">
        <f t="array" ref="S35">+_xlfn.IFS(N35="","",N35="Componentes existentes reutilizables &gt;80%","Baja",N35="No Aplica","Baja",N35="Reutilización parcial 30-70%","Media",N35="Nuevo Desarrollo &lt;20%","Alta")</f>
        <v>Media</v>
      </c>
      <c r="T35" s="108" t="str" cm="1">
        <f t="array" ref="T35">+_xlfn.IFS(L35="","",L35=0,"Baja",L35&lt;=2,"Media",L35&gt;=3,"Alta")</f>
        <v>Media</v>
      </c>
      <c r="U35" s="108" cm="1">
        <f t="array" ref="U35">+IFERROR((+_xlfn.IFS(Q35="",0,Q35="Baja",1,Q35="Media",2,Q35="Alta",3)*'Scoring Complejidad'!$C$8+_xlfn.IFS(R35="Baja",1,R35="Media",2,R35="Alta",3)*'Scoring Complejidad'!$C$9+_xlfn.IFS(S35="Baja",1,S35="Media",2,S35="Alta",3)*'Scoring Complejidad'!$C$7+_xlfn.IFS(T35="",1,T35="Baja",1,T35="Media",2,T35="Alta",3)*'Scoring Complejidad'!$C$5+_xlfn.IFS(M35="Caja",1,M35="Configuración",2,M35="Desarrollo",3,M35="Desarrollo + Configuración",3,M35="No Aplica",0)*'Scoring Complejidad'!$C$6),"")</f>
        <v>2.25</v>
      </c>
      <c r="V35" s="132" t="str" cm="1">
        <f t="array" ref="V35">IFERROR(_xlfn.IFS(U35="","",U35&lt;=1.69,"Baja",U35&lt;=2.29,"Media",U35&lt;=3,"Alta",U35&gt;3,"Error"),"")</f>
        <v>Media</v>
      </c>
      <c r="W35" s="143">
        <v>46167</v>
      </c>
      <c r="X35" s="143">
        <v>46234</v>
      </c>
      <c r="Y35" s="148" t="s">
        <v>1617</v>
      </c>
      <c r="Z35" s="150" t="s">
        <v>1617</v>
      </c>
      <c r="AA35" s="150" t="s">
        <v>1617</v>
      </c>
      <c r="AB35" s="150" t="s">
        <v>1617</v>
      </c>
      <c r="AC35" s="107" t="s">
        <v>1570</v>
      </c>
      <c r="AD35" s="145">
        <v>46237</v>
      </c>
    </row>
    <row r="36" spans="1:30" ht="80.5">
      <c r="A36" s="105" t="s">
        <v>343</v>
      </c>
      <c r="B36" s="105" t="s">
        <v>344</v>
      </c>
      <c r="C36" s="139" t="s">
        <v>345</v>
      </c>
      <c r="D36" s="105" t="s">
        <v>18</v>
      </c>
      <c r="E36" s="105" t="s">
        <v>1598</v>
      </c>
      <c r="F36" s="106" t="s">
        <v>346</v>
      </c>
      <c r="G36" s="106" t="s">
        <v>347</v>
      </c>
      <c r="H36" s="106" t="s">
        <v>348</v>
      </c>
      <c r="I36" s="106" t="s">
        <v>349</v>
      </c>
      <c r="J36" s="131" t="s">
        <v>1467</v>
      </c>
      <c r="K36" s="106" t="s">
        <v>1559</v>
      </c>
      <c r="L36" s="109"/>
      <c r="M36" s="106" t="s">
        <v>1476</v>
      </c>
      <c r="N36" s="106" t="s">
        <v>1543</v>
      </c>
      <c r="O36" s="106">
        <v>3</v>
      </c>
      <c r="P36" s="106">
        <v>0</v>
      </c>
      <c r="Q36" s="106" t="str" cm="1">
        <f t="array" ref="Q36">+_xlfn.IFS(O36="","",O36&lt;=1,"Baja",O36&lt;=3,"Media",O36&gt;3,"Alta")</f>
        <v>Media</v>
      </c>
      <c r="R36" s="106" t="str" cm="1">
        <f t="array" ref="R36">+_xlfn.IFS(P36="","",P36&lt;=0,"Baja",P36&lt;=2,"Media",P36&gt;2,"Alta")</f>
        <v>Baja</v>
      </c>
      <c r="S36" s="106" t="str" cm="1">
        <f t="array" ref="S36">+_xlfn.IFS(N36="","",N36="Componentes existentes reutilizables &gt;80%","Baja",N36="No Aplica","Baja",N36="Reutilización parcial 30-70%","Media",N36="Nuevo Desarrollo &lt;20%","Alta")</f>
        <v>Alta</v>
      </c>
      <c r="T36" s="106" t="str" cm="1">
        <f t="array" ref="T36">+_xlfn.IFS(L36="","",L36=0,"Baja",L36&lt;=2,"Media",L36&gt;=3,"Alta")</f>
        <v/>
      </c>
      <c r="U36" s="106" cm="1">
        <f t="array" ref="U36">+IFERROR((+_xlfn.IFS(Q36="",0,Q36="Baja",1,Q36="Media",2,Q36="Alta",3)*'Scoring Complejidad'!$C$8+_xlfn.IFS(R36="Baja",1,R36="Media",2,R36="Alta",3)*'Scoring Complejidad'!$C$9+_xlfn.IFS(S36="Baja",1,S36="Media",2,S36="Alta",3)*'Scoring Complejidad'!$C$7+_xlfn.IFS(T36="",1,T36="Baja",1,T36="Media",2,T36="Alta",3)*'Scoring Complejidad'!$C$5+_xlfn.IFS(M36="Caja",1,M36="Configuración",2,M36="Desarrollo",3,M36="Desarrollo + Configuración",3,M36="No Aplica",0)*'Scoring Complejidad'!$C$6),"")</f>
        <v>2.0499999999999998</v>
      </c>
      <c r="V36" s="131" t="str" cm="1">
        <f t="array" ref="V36">IFERROR(_xlfn.IFS(U36="","",U36&lt;=1.69,"Baja",U36&lt;=2.29,"Media",U36&lt;=3,"Alta",U36&gt;3,"Error"),"")</f>
        <v>Media</v>
      </c>
      <c r="W36" s="144">
        <v>46174</v>
      </c>
      <c r="X36" s="144">
        <v>46223</v>
      </c>
      <c r="Y36" s="147" t="s">
        <v>1617</v>
      </c>
      <c r="Z36" s="151" t="s">
        <v>1617</v>
      </c>
      <c r="AA36" s="151" t="s">
        <v>1617</v>
      </c>
      <c r="AB36" s="151" t="s">
        <v>1617</v>
      </c>
      <c r="AC36" s="105" t="s">
        <v>1613</v>
      </c>
      <c r="AD36" s="105" t="s">
        <v>1621</v>
      </c>
    </row>
    <row r="37" spans="1:30" ht="80.5">
      <c r="A37" s="107" t="s">
        <v>352</v>
      </c>
      <c r="B37" s="107" t="s">
        <v>344</v>
      </c>
      <c r="C37" s="140" t="s">
        <v>353</v>
      </c>
      <c r="D37" s="107" t="s">
        <v>18</v>
      </c>
      <c r="E37" s="107" t="s">
        <v>1598</v>
      </c>
      <c r="F37" s="108" t="s">
        <v>354</v>
      </c>
      <c r="G37" s="108" t="s">
        <v>355</v>
      </c>
      <c r="H37" s="108" t="s">
        <v>348</v>
      </c>
      <c r="I37" s="108" t="s">
        <v>356</v>
      </c>
      <c r="J37" s="132" t="s">
        <v>1467</v>
      </c>
      <c r="K37" s="108" t="s">
        <v>1559</v>
      </c>
      <c r="L37" s="110"/>
      <c r="M37" s="108" t="s">
        <v>1476</v>
      </c>
      <c r="N37" s="108" t="s">
        <v>1543</v>
      </c>
      <c r="O37" s="108">
        <v>3</v>
      </c>
      <c r="P37" s="108">
        <v>0</v>
      </c>
      <c r="Q37" s="108" t="str" cm="1">
        <f t="array" ref="Q37">+_xlfn.IFS(O37="","",O37&lt;=1,"Baja",O37&lt;=3,"Media",O37&gt;3,"Alta")</f>
        <v>Media</v>
      </c>
      <c r="R37" s="108" t="str" cm="1">
        <f t="array" ref="R37">+_xlfn.IFS(P37="","",P37&lt;=0,"Baja",P37&lt;=2,"Media",P37&gt;2,"Alta")</f>
        <v>Baja</v>
      </c>
      <c r="S37" s="108" t="str" cm="1">
        <f t="array" ref="S37">+_xlfn.IFS(N37="","",N37="Componentes existentes reutilizables &gt;80%","Baja",N37="No Aplica","Baja",N37="Reutilización parcial 30-70%","Media",N37="Nuevo Desarrollo &lt;20%","Alta")</f>
        <v>Alta</v>
      </c>
      <c r="T37" s="108" t="str" cm="1">
        <f t="array" ref="T37">+_xlfn.IFS(L37="","",L37=0,"Baja",L37&lt;=2,"Media",L37&gt;=3,"Alta")</f>
        <v/>
      </c>
      <c r="U37" s="108" cm="1">
        <f t="array" ref="U37">+IFERROR((+_xlfn.IFS(Q37="",0,Q37="Baja",1,Q37="Media",2,Q37="Alta",3)*'Scoring Complejidad'!$C$8+_xlfn.IFS(R37="Baja",1,R37="Media",2,R37="Alta",3)*'Scoring Complejidad'!$C$9+_xlfn.IFS(S37="Baja",1,S37="Media",2,S37="Alta",3)*'Scoring Complejidad'!$C$7+_xlfn.IFS(T37="",1,T37="Baja",1,T37="Media",2,T37="Alta",3)*'Scoring Complejidad'!$C$5+_xlfn.IFS(M37="Caja",1,M37="Configuración",2,M37="Desarrollo",3,M37="Desarrollo + Configuración",3,M37="No Aplica",0)*'Scoring Complejidad'!$C$6),"")</f>
        <v>2.0499999999999998</v>
      </c>
      <c r="V37" s="132" t="str" cm="1">
        <f t="array" ref="V37">IFERROR(_xlfn.IFS(U37="","",U37&lt;=1.69,"Baja",U37&lt;=2.29,"Media",U37&lt;=3,"Alta",U37&gt;3,"Error"),"")</f>
        <v>Media</v>
      </c>
      <c r="W37" s="144">
        <v>46174</v>
      </c>
      <c r="X37" s="144">
        <v>46223</v>
      </c>
      <c r="Y37" s="147" t="s">
        <v>1617</v>
      </c>
      <c r="Z37" s="151" t="s">
        <v>1617</v>
      </c>
      <c r="AA37" s="151" t="s">
        <v>1617</v>
      </c>
      <c r="AB37" s="151" t="s">
        <v>1617</v>
      </c>
      <c r="AC37" s="107" t="s">
        <v>1613</v>
      </c>
      <c r="AD37" s="107" t="s">
        <v>1621</v>
      </c>
    </row>
    <row r="38" spans="1:30" ht="80.5">
      <c r="A38" s="105" t="s">
        <v>358</v>
      </c>
      <c r="B38" s="105" t="s">
        <v>344</v>
      </c>
      <c r="C38" s="139" t="s">
        <v>359</v>
      </c>
      <c r="D38" s="105" t="s">
        <v>18</v>
      </c>
      <c r="E38" s="105" t="s">
        <v>1598</v>
      </c>
      <c r="F38" s="106" t="s">
        <v>360</v>
      </c>
      <c r="G38" s="106" t="s">
        <v>361</v>
      </c>
      <c r="H38" s="106" t="s">
        <v>348</v>
      </c>
      <c r="I38" s="106" t="s">
        <v>356</v>
      </c>
      <c r="J38" s="131" t="s">
        <v>1467</v>
      </c>
      <c r="K38" s="106" t="s">
        <v>1559</v>
      </c>
      <c r="L38" s="109"/>
      <c r="M38" s="106" t="s">
        <v>1476</v>
      </c>
      <c r="N38" s="106" t="s">
        <v>1543</v>
      </c>
      <c r="O38" s="106">
        <v>3</v>
      </c>
      <c r="P38" s="106">
        <v>0</v>
      </c>
      <c r="Q38" s="106" t="str" cm="1">
        <f t="array" ref="Q38">+_xlfn.IFS(O38="","",O38&lt;=1,"Baja",O38&lt;=3,"Media",O38&gt;3,"Alta")</f>
        <v>Media</v>
      </c>
      <c r="R38" s="106" t="str" cm="1">
        <f t="array" ref="R38">+_xlfn.IFS(P38="","",P38&lt;=0,"Baja",P38&lt;=2,"Media",P38&gt;2,"Alta")</f>
        <v>Baja</v>
      </c>
      <c r="S38" s="106" t="str" cm="1">
        <f t="array" ref="S38">+_xlfn.IFS(N38="","",N38="Componentes existentes reutilizables &gt;80%","Baja",N38="No Aplica","Baja",N38="Reutilización parcial 30-70%","Media",N38="Nuevo Desarrollo &lt;20%","Alta")</f>
        <v>Alta</v>
      </c>
      <c r="T38" s="106" t="str" cm="1">
        <f t="array" ref="T38">+_xlfn.IFS(L38="","",L38=0,"Baja",L38&lt;=2,"Media",L38&gt;=3,"Alta")</f>
        <v/>
      </c>
      <c r="U38" s="106" cm="1">
        <f t="array" ref="U38">+IFERROR((+_xlfn.IFS(Q38="",0,Q38="Baja",1,Q38="Media",2,Q38="Alta",3)*'Scoring Complejidad'!$C$8+_xlfn.IFS(R38="Baja",1,R38="Media",2,R38="Alta",3)*'Scoring Complejidad'!$C$9+_xlfn.IFS(S38="Baja",1,S38="Media",2,S38="Alta",3)*'Scoring Complejidad'!$C$7+_xlfn.IFS(T38="",1,T38="Baja",1,T38="Media",2,T38="Alta",3)*'Scoring Complejidad'!$C$5+_xlfn.IFS(M38="Caja",1,M38="Configuración",2,M38="Desarrollo",3,M38="Desarrollo + Configuración",3,M38="No Aplica",0)*'Scoring Complejidad'!$C$6),"")</f>
        <v>2.0499999999999998</v>
      </c>
      <c r="V38" s="131" t="str" cm="1">
        <f t="array" ref="V38">IFERROR(_xlfn.IFS(U38="","",U38&lt;=1.69,"Baja",U38&lt;=2.29,"Media",U38&lt;=3,"Alta",U38&gt;3,"Error"),"")</f>
        <v>Media</v>
      </c>
      <c r="W38" s="144">
        <v>46174</v>
      </c>
      <c r="X38" s="144">
        <v>46223</v>
      </c>
      <c r="Y38" s="147" t="s">
        <v>1617</v>
      </c>
      <c r="Z38" s="151" t="s">
        <v>1617</v>
      </c>
      <c r="AA38" s="151" t="s">
        <v>1617</v>
      </c>
      <c r="AB38" s="151" t="s">
        <v>1617</v>
      </c>
      <c r="AC38" s="105" t="s">
        <v>1613</v>
      </c>
      <c r="AD38" s="105" t="s">
        <v>1621</v>
      </c>
    </row>
    <row r="39" spans="1:30" ht="80.5">
      <c r="A39" s="107" t="s">
        <v>363</v>
      </c>
      <c r="B39" s="107" t="s">
        <v>344</v>
      </c>
      <c r="C39" s="140" t="s">
        <v>364</v>
      </c>
      <c r="D39" s="107" t="s">
        <v>18</v>
      </c>
      <c r="E39" s="107" t="s">
        <v>1598</v>
      </c>
      <c r="F39" s="108" t="s">
        <v>365</v>
      </c>
      <c r="G39" s="108" t="s">
        <v>366</v>
      </c>
      <c r="H39" s="108" t="s">
        <v>367</v>
      </c>
      <c r="I39" s="108" t="s">
        <v>368</v>
      </c>
      <c r="J39" s="132" t="s">
        <v>1467</v>
      </c>
      <c r="K39" s="108" t="s">
        <v>1559</v>
      </c>
      <c r="L39" s="110"/>
      <c r="M39" s="108" t="s">
        <v>1476</v>
      </c>
      <c r="N39" s="108" t="s">
        <v>1543</v>
      </c>
      <c r="O39" s="108">
        <v>3</v>
      </c>
      <c r="P39" s="108">
        <v>0</v>
      </c>
      <c r="Q39" s="108" t="str" cm="1">
        <f t="array" ref="Q39">+_xlfn.IFS(O39="","",O39&lt;=1,"Baja",O39&lt;=3,"Media",O39&gt;3,"Alta")</f>
        <v>Media</v>
      </c>
      <c r="R39" s="108" t="str" cm="1">
        <f t="array" ref="R39">+_xlfn.IFS(P39="","",P39&lt;=0,"Baja",P39&lt;=2,"Media",P39&gt;2,"Alta")</f>
        <v>Baja</v>
      </c>
      <c r="S39" s="108" t="str" cm="1">
        <f t="array" ref="S39">+_xlfn.IFS(N39="","",N39="Componentes existentes reutilizables &gt;80%","Baja",N39="No Aplica","Baja",N39="Reutilización parcial 30-70%","Media",N39="Nuevo Desarrollo &lt;20%","Alta")</f>
        <v>Alta</v>
      </c>
      <c r="T39" s="108" t="str" cm="1">
        <f t="array" ref="T39">+_xlfn.IFS(L39="","",L39=0,"Baja",L39&lt;=2,"Media",L39&gt;=3,"Alta")</f>
        <v/>
      </c>
      <c r="U39" s="108" cm="1">
        <f t="array" ref="U39">+IFERROR((+_xlfn.IFS(Q39="",0,Q39="Baja",1,Q39="Media",2,Q39="Alta",3)*'Scoring Complejidad'!$C$8+_xlfn.IFS(R39="Baja",1,R39="Media",2,R39="Alta",3)*'Scoring Complejidad'!$C$9+_xlfn.IFS(S39="Baja",1,S39="Media",2,S39="Alta",3)*'Scoring Complejidad'!$C$7+_xlfn.IFS(T39="",1,T39="Baja",1,T39="Media",2,T39="Alta",3)*'Scoring Complejidad'!$C$5+_xlfn.IFS(M39="Caja",1,M39="Configuración",2,M39="Desarrollo",3,M39="Desarrollo + Configuración",3,M39="No Aplica",0)*'Scoring Complejidad'!$C$6),"")</f>
        <v>2.0499999999999998</v>
      </c>
      <c r="V39" s="132" t="str" cm="1">
        <f t="array" ref="V39">IFERROR(_xlfn.IFS(U39="","",U39&lt;=1.69,"Baja",U39&lt;=2.29,"Media",U39&lt;=3,"Alta",U39&gt;3,"Error"),"")</f>
        <v>Media</v>
      </c>
      <c r="W39" s="144">
        <v>46174</v>
      </c>
      <c r="X39" s="144">
        <v>46223</v>
      </c>
      <c r="Y39" s="147" t="s">
        <v>1617</v>
      </c>
      <c r="Z39" s="151" t="s">
        <v>1617</v>
      </c>
      <c r="AA39" s="151" t="s">
        <v>1617</v>
      </c>
      <c r="AB39" s="151" t="s">
        <v>1617</v>
      </c>
      <c r="AC39" s="107" t="s">
        <v>1613</v>
      </c>
      <c r="AD39" s="107" t="s">
        <v>1621</v>
      </c>
    </row>
    <row r="40" spans="1:30" ht="80.5">
      <c r="A40" s="105" t="s">
        <v>371</v>
      </c>
      <c r="B40" s="105" t="s">
        <v>344</v>
      </c>
      <c r="C40" s="139" t="s">
        <v>372</v>
      </c>
      <c r="D40" s="105" t="s">
        <v>18</v>
      </c>
      <c r="E40" s="105" t="s">
        <v>1599</v>
      </c>
      <c r="F40" s="106" t="s">
        <v>373</v>
      </c>
      <c r="G40" s="106" t="s">
        <v>374</v>
      </c>
      <c r="H40" s="106" t="s">
        <v>375</v>
      </c>
      <c r="I40" s="106" t="s">
        <v>376</v>
      </c>
      <c r="J40" s="131" t="s">
        <v>1467</v>
      </c>
      <c r="K40" s="106" t="s">
        <v>1559</v>
      </c>
      <c r="L40" s="109"/>
      <c r="M40" s="106" t="s">
        <v>1476</v>
      </c>
      <c r="N40" s="106" t="s">
        <v>1543</v>
      </c>
      <c r="O40" s="106">
        <v>3</v>
      </c>
      <c r="P40" s="106">
        <v>0</v>
      </c>
      <c r="Q40" s="106" t="str" cm="1">
        <f t="array" ref="Q40">+_xlfn.IFS(O40="","",O40&lt;=1,"Baja",O40&lt;=3,"Media",O40&gt;3,"Alta")</f>
        <v>Media</v>
      </c>
      <c r="R40" s="106" t="str" cm="1">
        <f t="array" ref="R40">+_xlfn.IFS(P40="","",P40&lt;=0,"Baja",P40&lt;=2,"Media",P40&gt;2,"Alta")</f>
        <v>Baja</v>
      </c>
      <c r="S40" s="106" t="str" cm="1">
        <f t="array" ref="S40">+_xlfn.IFS(N40="","",N40="Componentes existentes reutilizables &gt;80%","Baja",N40="No Aplica","Baja",N40="Reutilización parcial 30-70%","Media",N40="Nuevo Desarrollo &lt;20%","Alta")</f>
        <v>Alta</v>
      </c>
      <c r="T40" s="106" t="str" cm="1">
        <f t="array" ref="T40">+_xlfn.IFS(L40="","",L40=0,"Baja",L40&lt;=2,"Media",L40&gt;=3,"Alta")</f>
        <v/>
      </c>
      <c r="U40" s="106" cm="1">
        <f t="array" ref="U40">+IFERROR((+_xlfn.IFS(Q40="",0,Q40="Baja",1,Q40="Media",2,Q40="Alta",3)*'Scoring Complejidad'!$C$8+_xlfn.IFS(R40="Baja",1,R40="Media",2,R40="Alta",3)*'Scoring Complejidad'!$C$9+_xlfn.IFS(S40="Baja",1,S40="Media",2,S40="Alta",3)*'Scoring Complejidad'!$C$7+_xlfn.IFS(T40="",1,T40="Baja",1,T40="Media",2,T40="Alta",3)*'Scoring Complejidad'!$C$5+_xlfn.IFS(M40="Caja",1,M40="Configuración",2,M40="Desarrollo",3,M40="Desarrollo + Configuración",3,M40="No Aplica",0)*'Scoring Complejidad'!$C$6),"")</f>
        <v>2.0499999999999998</v>
      </c>
      <c r="V40" s="131" t="str" cm="1">
        <f t="array" ref="V40">IFERROR(_xlfn.IFS(U40="","",U40&lt;=1.69,"Baja",U40&lt;=2.29,"Media",U40&lt;=3,"Alta",U40&gt;3,"Error"),"")</f>
        <v>Media</v>
      </c>
      <c r="W40" s="144">
        <v>46174</v>
      </c>
      <c r="X40" s="144">
        <v>46223</v>
      </c>
      <c r="Y40" s="147" t="s">
        <v>1617</v>
      </c>
      <c r="Z40" s="151" t="s">
        <v>1617</v>
      </c>
      <c r="AA40" s="151" t="s">
        <v>1617</v>
      </c>
      <c r="AB40" s="151" t="s">
        <v>1617</v>
      </c>
      <c r="AC40" s="105" t="s">
        <v>1613</v>
      </c>
      <c r="AD40" s="105" t="s">
        <v>1621</v>
      </c>
    </row>
    <row r="41" spans="1:30" ht="57.5">
      <c r="A41" s="111" t="s">
        <v>398</v>
      </c>
      <c r="B41" s="111" t="s">
        <v>379</v>
      </c>
      <c r="C41" s="141" t="s">
        <v>1281</v>
      </c>
      <c r="D41" s="111" t="s">
        <v>18</v>
      </c>
      <c r="E41" s="111" t="s">
        <v>1000</v>
      </c>
      <c r="F41" s="112" t="s">
        <v>1282</v>
      </c>
      <c r="G41" s="112" t="s">
        <v>1283</v>
      </c>
      <c r="H41" s="112" t="s">
        <v>1284</v>
      </c>
      <c r="I41" s="112" t="s">
        <v>1285</v>
      </c>
      <c r="J41" s="133" t="s">
        <v>1466</v>
      </c>
      <c r="K41" s="112" t="s">
        <v>1559</v>
      </c>
      <c r="L41" s="194" t="s">
        <v>1708</v>
      </c>
      <c r="M41" s="112" t="s">
        <v>45</v>
      </c>
      <c r="N41" s="112" t="s">
        <v>1502</v>
      </c>
      <c r="O41" s="112">
        <v>3</v>
      </c>
      <c r="P41" s="112">
        <v>3</v>
      </c>
      <c r="Q41" s="112" t="str" cm="1">
        <f t="array" ref="Q41">+_xlfn.IFS(O41="","",O41&lt;=1,"Baja",O41&lt;=3,"Media",O41&gt;3,"Alta")</f>
        <v>Media</v>
      </c>
      <c r="R41" s="112" t="str" cm="1">
        <f t="array" ref="R41">+_xlfn.IFS(P41="","",P41&lt;=0,"Baja",P41&lt;=2,"Media",P41&gt;2,"Alta")</f>
        <v>Alta</v>
      </c>
      <c r="S41" s="112" t="str" cm="1">
        <f t="array" ref="S41">+_xlfn.IFS(N41="","",N41="Componentes existentes reutilizables &gt;80%","Baja",N41="No Aplica","Baja",N41="Reutilización parcial 30-70%","Media",N41="Nuevo Desarrollo &lt;20%","Alta")</f>
        <v>Baja</v>
      </c>
      <c r="T41" s="112" t="str" cm="1">
        <f t="array" ref="T41">+_xlfn.IFS(L41="","",L41=0,"Baja",L41&lt;=2,"Media",L41&gt;=3,"Alta")</f>
        <v>Alta</v>
      </c>
      <c r="U41" s="112" cm="1">
        <f t="array" ref="U41">+IFERROR((+_xlfn.IFS(Q41="",0,Q41="Baja",1,Q41="Media",2,Q41="Alta",3)*'Scoring Complejidad'!$C$8+_xlfn.IFS(R41="Baja",1,R41="Media",2,R41="Alta",3)*'Scoring Complejidad'!$C$9+_xlfn.IFS(S41="Baja",1,S41="Media",2,S41="Alta",3)*'Scoring Complejidad'!$C$7+_xlfn.IFS(T41="",1,T41="Baja",1,T41="Media",2,T41="Alta",3)*'Scoring Complejidad'!$C$5+_xlfn.IFS(M41="Caja",1,M41="Configuración",2,M41="Desarrollo",3,M41="Desarrollo + Configuración",3,M41="No Aplica",0)*'Scoring Complejidad'!$C$6),"")</f>
        <v>2.4500000000000002</v>
      </c>
      <c r="V41" s="133" t="str" cm="1">
        <f t="array" ref="V41">IFERROR(_xlfn.IFS(U41="","",U41&lt;=1.69,"Baja",U41&lt;=2.29,"Media",U41&lt;=3,"Alta",U41&gt;3,"Error"),"")</f>
        <v>Alta</v>
      </c>
      <c r="W41" s="149">
        <v>46179</v>
      </c>
      <c r="X41" s="149">
        <v>46237</v>
      </c>
      <c r="Y41" s="149">
        <v>46238</v>
      </c>
      <c r="Z41" s="154">
        <v>46261</v>
      </c>
      <c r="AA41" s="154">
        <v>46244</v>
      </c>
      <c r="AB41" s="154">
        <v>46310</v>
      </c>
      <c r="AC41" s="111"/>
      <c r="AD41" s="111"/>
    </row>
    <row r="42" spans="1:30" ht="69">
      <c r="A42" s="113" t="s">
        <v>405</v>
      </c>
      <c r="B42" s="113" t="s">
        <v>379</v>
      </c>
      <c r="C42" s="142" t="s">
        <v>1288</v>
      </c>
      <c r="D42" s="113" t="s">
        <v>18</v>
      </c>
      <c r="E42" s="113" t="s">
        <v>1020</v>
      </c>
      <c r="F42" s="114" t="s">
        <v>1289</v>
      </c>
      <c r="G42" s="114" t="s">
        <v>1290</v>
      </c>
      <c r="H42" s="114" t="s">
        <v>1291</v>
      </c>
      <c r="I42" s="114" t="s">
        <v>1292</v>
      </c>
      <c r="J42" s="134" t="s">
        <v>1466</v>
      </c>
      <c r="K42" s="114" t="s">
        <v>1557</v>
      </c>
      <c r="L42" s="199" t="s">
        <v>1708</v>
      </c>
      <c r="M42" s="114" t="s">
        <v>1477</v>
      </c>
      <c r="N42" s="114" t="s">
        <v>1477</v>
      </c>
      <c r="O42" s="114">
        <v>3</v>
      </c>
      <c r="P42" s="114">
        <v>4</v>
      </c>
      <c r="Q42" s="114" t="str" cm="1">
        <f t="array" ref="Q42">+_xlfn.IFS(O42="","",O42&lt;=1,"Baja",O42&lt;=3,"Media",O42&gt;3,"Alta")</f>
        <v>Media</v>
      </c>
      <c r="R42" s="114" t="str" cm="1">
        <f t="array" ref="R42">+_xlfn.IFS(P42="","",P42&lt;=0,"Baja",P42&lt;=2,"Media",P42&gt;2,"Alta")</f>
        <v>Alta</v>
      </c>
      <c r="S42" s="114" t="str" cm="1">
        <f t="array" ref="S42">+_xlfn.IFS(N42="","",N42="Componentes existentes reutilizables &gt;80%","Baja",N42="No Aplica","Baja",N42="Reutilización parcial 30-70%","Media",N42="Nuevo Desarrollo &lt;20%","Alta")</f>
        <v>Baja</v>
      </c>
      <c r="T42" s="114" t="str" cm="1">
        <f t="array" ref="T42">+_xlfn.IFS(L42="","",L42=0,"Baja",L42&lt;=2,"Media",L42&gt;=3,"Alta")</f>
        <v>Alta</v>
      </c>
      <c r="U42" s="114" cm="1">
        <f t="array" ref="U42">+IFERROR((+_xlfn.IFS(Q42="",0,Q42="Baja",1,Q42="Media",2,Q42="Alta",3)*'Scoring Complejidad'!$C$8+_xlfn.IFS(R42="Baja",1,R42="Media",2,R42="Alta",3)*'Scoring Complejidad'!$C$9+_xlfn.IFS(S42="Baja",1,S42="Media",2,S42="Alta",3)*'Scoring Complejidad'!$C$7+_xlfn.IFS(T42="",1,T42="Baja",1,T42="Media",2,T42="Alta",3)*'Scoring Complejidad'!$C$5+_xlfn.IFS(M42="Caja",1,M42="Configuración",2,M42="Desarrollo",3,M42="Desarrollo + Configuración",3,M42="No Aplica",0)*'Scoring Complejidad'!$C$6),"")</f>
        <v>1.7</v>
      </c>
      <c r="V42" s="134" t="str" cm="1">
        <f t="array" ref="V42">IFERROR(_xlfn.IFS(U42="","",U42&lt;=1.69,"Baja",U42&lt;=2.29,"Media",U42&lt;=3,"Alta",U42&gt;3,"Error"),"")</f>
        <v>Media</v>
      </c>
      <c r="W42" s="156">
        <v>46179</v>
      </c>
      <c r="X42" s="156">
        <v>46237</v>
      </c>
      <c r="Y42" s="156">
        <v>46238</v>
      </c>
      <c r="Z42" s="155">
        <v>46261</v>
      </c>
      <c r="AA42" s="155">
        <v>46244</v>
      </c>
      <c r="AB42" s="155">
        <v>46310</v>
      </c>
      <c r="AC42" s="113"/>
      <c r="AD42" s="113"/>
    </row>
    <row r="43" spans="1:30" ht="57.5">
      <c r="A43" s="111" t="s">
        <v>378</v>
      </c>
      <c r="B43" s="111" t="s">
        <v>379</v>
      </c>
      <c r="C43" s="141" t="s">
        <v>1294</v>
      </c>
      <c r="D43" s="111" t="s">
        <v>18</v>
      </c>
      <c r="E43" s="111" t="s">
        <v>1028</v>
      </c>
      <c r="F43" s="112" t="s">
        <v>1295</v>
      </c>
      <c r="G43" s="112" t="s">
        <v>1296</v>
      </c>
      <c r="H43" s="112" t="s">
        <v>1297</v>
      </c>
      <c r="I43" s="112" t="s">
        <v>1298</v>
      </c>
      <c r="J43" s="133" t="s">
        <v>1467</v>
      </c>
      <c r="K43" s="193" t="s">
        <v>1472</v>
      </c>
      <c r="L43" s="112">
        <v>0</v>
      </c>
      <c r="M43" s="112" t="s">
        <v>45</v>
      </c>
      <c r="N43" s="194" t="s">
        <v>1502</v>
      </c>
      <c r="O43" s="112">
        <v>4</v>
      </c>
      <c r="P43" s="247">
        <v>0</v>
      </c>
      <c r="Q43" s="112" t="str" cm="1">
        <f t="array" ref="Q43">+_xlfn.IFS(O43="","",O43&lt;=1,"Baja",O43&lt;=3,"Media",O43&gt;3,"Alta")</f>
        <v>Alta</v>
      </c>
      <c r="R43" s="112" t="str" cm="1">
        <f t="array" ref="R43">+_xlfn.IFS(P43="","",P43&lt;=0,"Baja",P43&lt;=2,"Media",P43&gt;2,"Alta")</f>
        <v>Baja</v>
      </c>
      <c r="S43" s="112" t="str" cm="1">
        <f t="array" ref="S43">+_xlfn.IFS(N43="","",N43="Componentes existentes reutilizables &gt;80%","Baja",N43="No Aplica","Baja",N43="Reutilización parcial 30-70%","Media",N43="Nuevo Desarrollo &lt;20%","Alta")</f>
        <v>Baja</v>
      </c>
      <c r="T43" s="112" t="str" cm="1">
        <f t="array" ref="T43">+_xlfn.IFS(L43="","",L43=0,"Baja",L43&lt;=2,"Media",L43&gt;=3,"Alta")</f>
        <v>Baja</v>
      </c>
      <c r="U43" s="112" cm="1">
        <f t="array" ref="U43">+IFERROR((+_xlfn.IFS(Q43="",0,Q43="Baja",1,Q43="Media",2,Q43="Alta",3)*'Scoring Complejidad'!$C$8+_xlfn.IFS(R43="Baja",1,R43="Media",2,R43="Alta",3)*'Scoring Complejidad'!$C$9+_xlfn.IFS(S43="Baja",1,S43="Media",2,S43="Alta",3)*'Scoring Complejidad'!$C$7+_xlfn.IFS(T43="",1,T43="Baja",1,T43="Media",2,T43="Alta",3)*'Scoring Complejidad'!$C$5+_xlfn.IFS(M43="Caja",1,M43="Configuración",2,M43="Desarrollo",3,M43="Desarrollo + Configuración",3,M43="No Aplica",0)*'Scoring Complejidad'!$C$6),"")</f>
        <v>1.8</v>
      </c>
      <c r="V43" s="133" t="str" cm="1">
        <f t="array" ref="V43">IFERROR(_xlfn.IFS(U43="","",U43&lt;=1.69,"Baja",U43&lt;=2.29,"Media",U43&lt;=3,"Alta",U43&gt;3,"Error"),"")</f>
        <v>Media</v>
      </c>
      <c r="W43" s="149">
        <v>46174</v>
      </c>
      <c r="X43" s="149">
        <v>46174</v>
      </c>
      <c r="Y43" s="149" t="s">
        <v>1477</v>
      </c>
      <c r="Z43" s="154" t="s">
        <v>1477</v>
      </c>
      <c r="AA43" s="154">
        <v>46237</v>
      </c>
      <c r="AB43" s="154">
        <v>46262</v>
      </c>
      <c r="AC43" s="141" t="s">
        <v>1700</v>
      </c>
      <c r="AD43" s="111" t="s">
        <v>1699</v>
      </c>
    </row>
    <row r="44" spans="1:30" ht="57.5">
      <c r="A44" s="113" t="s">
        <v>389</v>
      </c>
      <c r="B44" s="113" t="s">
        <v>379</v>
      </c>
      <c r="C44" s="142" t="s">
        <v>1301</v>
      </c>
      <c r="D44" s="113" t="s">
        <v>18</v>
      </c>
      <c r="E44" s="113" t="s">
        <v>1035</v>
      </c>
      <c r="F44" s="114" t="s">
        <v>1302</v>
      </c>
      <c r="G44" s="114" t="s">
        <v>1303</v>
      </c>
      <c r="H44" s="114" t="s">
        <v>1304</v>
      </c>
      <c r="I44" s="114" t="s">
        <v>1298</v>
      </c>
      <c r="J44" s="134" t="s">
        <v>1467</v>
      </c>
      <c r="K44" s="114" t="s">
        <v>1472</v>
      </c>
      <c r="L44" s="114">
        <v>0</v>
      </c>
      <c r="M44" s="114" t="s">
        <v>45</v>
      </c>
      <c r="N44" s="114" t="s">
        <v>1502</v>
      </c>
      <c r="O44" s="114">
        <v>4</v>
      </c>
      <c r="P44" s="173">
        <v>0</v>
      </c>
      <c r="Q44" s="114" t="str" cm="1">
        <f t="array" ref="Q44">+_xlfn.IFS(O44="","",O44&lt;=1,"Baja",O44&lt;=3,"Media",O44&gt;3,"Alta")</f>
        <v>Alta</v>
      </c>
      <c r="R44" s="114" t="str" cm="1">
        <f t="array" ref="R44">+_xlfn.IFS(P44="","",P44&lt;=0,"Baja",P44&lt;=2,"Media",P44&gt;2,"Alta")</f>
        <v>Baja</v>
      </c>
      <c r="S44" s="114" t="str" cm="1">
        <f t="array" ref="S44">+_xlfn.IFS(N44="","",N44="Componentes existentes reutilizables &gt;80%","Baja",N44="No Aplica","Baja",N44="Reutilización parcial 30-70%","Media",N44="Nuevo Desarrollo &lt;20%","Alta")</f>
        <v>Baja</v>
      </c>
      <c r="T44" s="114" t="str" cm="1">
        <f t="array" ref="T44">+_xlfn.IFS(L44="","",L44=0,"Baja",L44&lt;=2,"Media",L44&gt;=3,"Alta")</f>
        <v>Baja</v>
      </c>
      <c r="U44" s="114" cm="1">
        <f t="array" ref="U44">+IFERROR((+_xlfn.IFS(Q44="",0,Q44="Baja",1,Q44="Media",2,Q44="Alta",3)*'Scoring Complejidad'!$C$8+_xlfn.IFS(R44="Baja",1,R44="Media",2,R44="Alta",3)*'Scoring Complejidad'!$C$9+_xlfn.IFS(S44="Baja",1,S44="Media",2,S44="Alta",3)*'Scoring Complejidad'!$C$7+_xlfn.IFS(T44="",1,T44="Baja",1,T44="Media",2,T44="Alta",3)*'Scoring Complejidad'!$C$5+_xlfn.IFS(M44="Caja",1,M44="Configuración",2,M44="Desarrollo",3,M44="Desarrollo + Configuración",3,M44="No Aplica",0)*'Scoring Complejidad'!$C$6),"")</f>
        <v>1.8</v>
      </c>
      <c r="V44" s="134" t="str" cm="1">
        <f t="array" ref="V44">IFERROR(_xlfn.IFS(U44="","",U44&lt;=1.69,"Baja",U44&lt;=2.29,"Media",U44&lt;=3,"Alta",U44&gt;3,"Error"),"")</f>
        <v>Media</v>
      </c>
      <c r="W44" s="156">
        <v>46179</v>
      </c>
      <c r="X44" s="156">
        <v>46237</v>
      </c>
      <c r="Y44" s="156">
        <v>46238</v>
      </c>
      <c r="Z44" s="197">
        <v>46261</v>
      </c>
      <c r="AA44" s="155">
        <v>46244</v>
      </c>
      <c r="AB44" s="155">
        <v>46310</v>
      </c>
      <c r="AC44" s="113" t="s">
        <v>1711</v>
      </c>
      <c r="AD44" s="113"/>
    </row>
    <row r="45" spans="1:30" ht="69">
      <c r="A45" s="111" t="s">
        <v>399</v>
      </c>
      <c r="B45" s="111" t="s">
        <v>379</v>
      </c>
      <c r="C45" s="141" t="s">
        <v>1306</v>
      </c>
      <c r="D45" s="111" t="s">
        <v>18</v>
      </c>
      <c r="E45" s="111" t="s">
        <v>1042</v>
      </c>
      <c r="F45" s="112" t="s">
        <v>1307</v>
      </c>
      <c r="G45" s="112" t="s">
        <v>1308</v>
      </c>
      <c r="H45" s="112" t="s">
        <v>1309</v>
      </c>
      <c r="I45" s="112" t="s">
        <v>1298</v>
      </c>
      <c r="J45" s="133" t="s">
        <v>1467</v>
      </c>
      <c r="K45" s="112" t="s">
        <v>1472</v>
      </c>
      <c r="L45" s="112">
        <v>0</v>
      </c>
      <c r="M45" s="112" t="s">
        <v>45</v>
      </c>
      <c r="N45" s="112" t="s">
        <v>1502</v>
      </c>
      <c r="O45" s="112">
        <v>4</v>
      </c>
      <c r="P45" s="172">
        <v>0</v>
      </c>
      <c r="Q45" s="112" t="str" cm="1">
        <f t="array" ref="Q45">+_xlfn.IFS(O45="","",O45&lt;=1,"Baja",O45&lt;=3,"Media",O45&gt;3,"Alta")</f>
        <v>Alta</v>
      </c>
      <c r="R45" s="112" t="str" cm="1">
        <f t="array" ref="R45">+_xlfn.IFS(P45="","",P45&lt;=0,"Baja",P45&lt;=2,"Media",P45&gt;2,"Alta")</f>
        <v>Baja</v>
      </c>
      <c r="S45" s="112" t="str" cm="1">
        <f t="array" ref="S45">+_xlfn.IFS(N45="","",N45="Componentes existentes reutilizables &gt;80%","Baja",N45="No Aplica","Baja",N45="Reutilización parcial 30-70%","Media",N45="Nuevo Desarrollo &lt;20%","Alta")</f>
        <v>Baja</v>
      </c>
      <c r="T45" s="112" t="str" cm="1">
        <f t="array" ref="T45">+_xlfn.IFS(L45="","",L45=0,"Baja",L45&lt;=2,"Media",L45&gt;=3,"Alta")</f>
        <v>Baja</v>
      </c>
      <c r="U45" s="112" cm="1">
        <f t="array" ref="U45">+IFERROR((+_xlfn.IFS(Q45="",0,Q45="Baja",1,Q45="Media",2,Q45="Alta",3)*'Scoring Complejidad'!$C$8+_xlfn.IFS(R45="Baja",1,R45="Media",2,R45="Alta",3)*'Scoring Complejidad'!$C$9+_xlfn.IFS(S45="Baja",1,S45="Media",2,S45="Alta",3)*'Scoring Complejidad'!$C$7+_xlfn.IFS(T45="",1,T45="Baja",1,T45="Media",2,T45="Alta",3)*'Scoring Complejidad'!$C$5+_xlfn.IFS(M45="Caja",1,M45="Configuración",2,M45="Desarrollo",3,M45="Desarrollo + Configuración",3,M45="No Aplica",0)*'Scoring Complejidad'!$C$6),"")</f>
        <v>1.8</v>
      </c>
      <c r="V45" s="133" t="str" cm="1">
        <f t="array" ref="V45">IFERROR(_xlfn.IFS(U45="","",U45&lt;=1.69,"Baja",U45&lt;=2.29,"Media",U45&lt;=3,"Alta",U45&gt;3,"Error"),"")</f>
        <v>Media</v>
      </c>
      <c r="W45" s="149">
        <v>46179</v>
      </c>
      <c r="X45" s="149">
        <v>46237</v>
      </c>
      <c r="Y45" s="149">
        <v>46238</v>
      </c>
      <c r="Z45" s="154">
        <v>46261</v>
      </c>
      <c r="AA45" s="154">
        <v>46244</v>
      </c>
      <c r="AB45" s="154">
        <v>46310</v>
      </c>
      <c r="AC45" s="111" t="s">
        <v>1697</v>
      </c>
      <c r="AD45" s="111"/>
    </row>
    <row r="46" spans="1:30" ht="80.5">
      <c r="A46" s="113" t="s">
        <v>396</v>
      </c>
      <c r="B46" s="113" t="s">
        <v>379</v>
      </c>
      <c r="C46" s="142" t="s">
        <v>1311</v>
      </c>
      <c r="D46" s="113" t="s">
        <v>18</v>
      </c>
      <c r="E46" s="113" t="s">
        <v>1049</v>
      </c>
      <c r="F46" s="114" t="s">
        <v>1312</v>
      </c>
      <c r="G46" s="114" t="s">
        <v>1313</v>
      </c>
      <c r="H46" s="114" t="s">
        <v>1314</v>
      </c>
      <c r="I46" s="114" t="s">
        <v>1315</v>
      </c>
      <c r="J46" s="134" t="s">
        <v>1467</v>
      </c>
      <c r="K46" s="114" t="s">
        <v>1559</v>
      </c>
      <c r="L46" s="195" t="s">
        <v>1708</v>
      </c>
      <c r="M46" s="114" t="s">
        <v>1476</v>
      </c>
      <c r="N46" s="114" t="s">
        <v>1543</v>
      </c>
      <c r="O46" s="114">
        <v>9</v>
      </c>
      <c r="P46" s="114">
        <v>1</v>
      </c>
      <c r="Q46" s="114" t="str" cm="1">
        <f t="array" ref="Q46">+_xlfn.IFS(O46="","",O46&lt;=1,"Baja",O46&lt;=3,"Media",O46&gt;3,"Alta")</f>
        <v>Alta</v>
      </c>
      <c r="R46" s="114" t="str" cm="1">
        <f t="array" ref="R46">+_xlfn.IFS(P46="","",P46&lt;=0,"Baja",P46&lt;=2,"Media",P46&gt;2,"Alta")</f>
        <v>Media</v>
      </c>
      <c r="S46" s="114" t="str" cm="1">
        <f t="array" ref="S46">+_xlfn.IFS(N46="","",N46="Componentes existentes reutilizables &gt;80%","Baja",N46="No Aplica","Baja",N46="Reutilización parcial 30-70%","Media",N46="Nuevo Desarrollo &lt;20%","Alta")</f>
        <v>Alta</v>
      </c>
      <c r="T46" s="114" t="str" cm="1">
        <f t="array" ref="T46">+_xlfn.IFS(L46="","",L46=0,"Baja",L46&lt;=2,"Media",L46&gt;=3,"Alta")</f>
        <v>Alta</v>
      </c>
      <c r="U46" s="114" cm="1">
        <f t="array" ref="U46">+IFERROR((+_xlfn.IFS(Q46="",0,Q46="Baja",1,Q46="Media",2,Q46="Alta",3)*'Scoring Complejidad'!$C$8+_xlfn.IFS(R46="Baja",1,R46="Media",2,R46="Alta",3)*'Scoring Complejidad'!$C$9+_xlfn.IFS(S46="Baja",1,S46="Media",2,S46="Alta",3)*'Scoring Complejidad'!$C$7+_xlfn.IFS(T46="",1,T46="Baja",1,T46="Media",2,T46="Alta",3)*'Scoring Complejidad'!$C$5+_xlfn.IFS(M46="Caja",1,M46="Configuración",2,M46="Desarrollo",3,M46="Desarrollo + Configuración",3,M46="No Aplica",0)*'Scoring Complejidad'!$C$6),"")</f>
        <v>2.9</v>
      </c>
      <c r="V46" s="134" t="str" cm="1">
        <f t="array" ref="V46">IFERROR(_xlfn.IFS(U46="","",U46&lt;=1.69,"Baja",U46&lt;=2.29,"Media",U46&lt;=3,"Alta",U46&gt;3,"Error"),"")</f>
        <v>Alta</v>
      </c>
      <c r="W46" s="156">
        <v>46179</v>
      </c>
      <c r="X46" s="156">
        <v>46237</v>
      </c>
      <c r="Y46" s="156">
        <v>46238</v>
      </c>
      <c r="Z46" s="155">
        <v>46261</v>
      </c>
      <c r="AA46" s="155">
        <v>46244</v>
      </c>
      <c r="AB46" s="155">
        <v>46310</v>
      </c>
      <c r="AC46" s="113" t="s">
        <v>1709</v>
      </c>
      <c r="AD46" s="113"/>
    </row>
    <row r="47" spans="1:30" ht="69">
      <c r="A47" s="111" t="s">
        <v>397</v>
      </c>
      <c r="B47" s="111" t="s">
        <v>379</v>
      </c>
      <c r="C47" s="141" t="s">
        <v>1318</v>
      </c>
      <c r="D47" s="111" t="s">
        <v>18</v>
      </c>
      <c r="E47" s="111" t="s">
        <v>1049</v>
      </c>
      <c r="F47" s="112" t="s">
        <v>1319</v>
      </c>
      <c r="G47" s="112" t="s">
        <v>1320</v>
      </c>
      <c r="H47" s="112" t="s">
        <v>1314</v>
      </c>
      <c r="I47" s="112" t="s">
        <v>1321</v>
      </c>
      <c r="J47" s="133" t="s">
        <v>1467</v>
      </c>
      <c r="K47" s="112" t="s">
        <v>1559</v>
      </c>
      <c r="L47" s="198" t="s">
        <v>1708</v>
      </c>
      <c r="M47" s="112" t="s">
        <v>1476</v>
      </c>
      <c r="N47" s="112" t="s">
        <v>1543</v>
      </c>
      <c r="O47" s="112">
        <v>4</v>
      </c>
      <c r="P47" s="112">
        <v>1</v>
      </c>
      <c r="Q47" s="112" t="str" cm="1">
        <f t="array" ref="Q47">+_xlfn.IFS(O47="","",O47&lt;=1,"Baja",O47&lt;=3,"Media",O47&gt;3,"Alta")</f>
        <v>Alta</v>
      </c>
      <c r="R47" s="112" t="str" cm="1">
        <f t="array" ref="R47">+_xlfn.IFS(P47="","",P47&lt;=0,"Baja",P47&lt;=2,"Media",P47&gt;2,"Alta")</f>
        <v>Media</v>
      </c>
      <c r="S47" s="112" t="str" cm="1">
        <f t="array" ref="S47">+_xlfn.IFS(N47="","",N47="Componentes existentes reutilizables &gt;80%","Baja",N47="No Aplica","Baja",N47="Reutilización parcial 30-70%","Media",N47="Nuevo Desarrollo &lt;20%","Alta")</f>
        <v>Alta</v>
      </c>
      <c r="T47" s="112" t="str" cm="1">
        <f t="array" ref="T47">+_xlfn.IFS(L47="","",L47=0,"Baja",L47&lt;=2,"Media",L47&gt;=3,"Alta")</f>
        <v>Alta</v>
      </c>
      <c r="U47" s="112" cm="1">
        <f t="array" ref="U47">+IFERROR((+_xlfn.IFS(Q47="",0,Q47="Baja",1,Q47="Media",2,Q47="Alta",3)*'Scoring Complejidad'!$C$8+_xlfn.IFS(R47="Baja",1,R47="Media",2,R47="Alta",3)*'Scoring Complejidad'!$C$9+_xlfn.IFS(S47="Baja",1,S47="Media",2,S47="Alta",3)*'Scoring Complejidad'!$C$7+_xlfn.IFS(T47="",1,T47="Baja",1,T47="Media",2,T47="Alta",3)*'Scoring Complejidad'!$C$5+_xlfn.IFS(M47="Caja",1,M47="Configuración",2,M47="Desarrollo",3,M47="Desarrollo + Configuración",3,M47="No Aplica",0)*'Scoring Complejidad'!$C$6),"")</f>
        <v>2.9</v>
      </c>
      <c r="V47" s="133" t="str" cm="1">
        <f t="array" ref="V47">IFERROR(_xlfn.IFS(U47="","",U47&lt;=1.69,"Baja",U47&lt;=2.29,"Media",U47&lt;=3,"Alta",U47&gt;3,"Error"),"")</f>
        <v>Alta</v>
      </c>
      <c r="W47" s="149">
        <v>46179</v>
      </c>
      <c r="X47" s="149">
        <v>46237</v>
      </c>
      <c r="Y47" s="149">
        <v>46238</v>
      </c>
      <c r="Z47" s="154">
        <v>46261</v>
      </c>
      <c r="AA47" s="154">
        <v>46244</v>
      </c>
      <c r="AB47" s="154">
        <v>46310</v>
      </c>
      <c r="AC47" s="111" t="s">
        <v>1709</v>
      </c>
      <c r="AD47" s="111"/>
    </row>
    <row r="48" spans="1:30" ht="57.5">
      <c r="A48" s="113" t="s">
        <v>380</v>
      </c>
      <c r="B48" s="113" t="s">
        <v>379</v>
      </c>
      <c r="C48" s="142" t="s">
        <v>1323</v>
      </c>
      <c r="D48" s="113" t="s">
        <v>18</v>
      </c>
      <c r="E48" s="113" t="s">
        <v>1071</v>
      </c>
      <c r="F48" s="114" t="s">
        <v>1324</v>
      </c>
      <c r="G48" s="114" t="s">
        <v>1325</v>
      </c>
      <c r="H48" s="114" t="s">
        <v>1326</v>
      </c>
      <c r="I48" s="114" t="s">
        <v>381</v>
      </c>
      <c r="J48" s="134" t="s">
        <v>1466</v>
      </c>
      <c r="K48" s="114" t="s">
        <v>1472</v>
      </c>
      <c r="L48" s="114">
        <v>0</v>
      </c>
      <c r="M48" s="114" t="s">
        <v>45</v>
      </c>
      <c r="N48" s="195" t="s">
        <v>1502</v>
      </c>
      <c r="O48" s="114">
        <v>4</v>
      </c>
      <c r="P48" s="173">
        <v>0</v>
      </c>
      <c r="Q48" s="114" t="str" cm="1">
        <f t="array" ref="Q48">+_xlfn.IFS(O48="","",O48&lt;=1,"Baja",O48&lt;=3,"Media",O48&gt;3,"Alta")</f>
        <v>Alta</v>
      </c>
      <c r="R48" s="114" t="str" cm="1">
        <f t="array" ref="R48">+_xlfn.IFS(P48="","",P48&lt;=0,"Baja",P48&lt;=2,"Media",P48&gt;2,"Alta")</f>
        <v>Baja</v>
      </c>
      <c r="S48" s="114" t="str" cm="1">
        <f t="array" ref="S48">+_xlfn.IFS(N48="","",N48="Componentes existentes reutilizables &gt;80%","Baja",N48="No Aplica","Baja",N48="Reutilización parcial 30-70%","Media",N48="Nuevo Desarrollo &lt;20%","Alta")</f>
        <v>Baja</v>
      </c>
      <c r="T48" s="114" t="str" cm="1">
        <f t="array" ref="T48">+_xlfn.IFS(L48="","",L48=0,"Baja",L48&lt;=2,"Media",L48&gt;=3,"Alta")</f>
        <v>Baja</v>
      </c>
      <c r="U48" s="114" cm="1">
        <f t="array" ref="U48">+IFERROR((+_xlfn.IFS(Q48="",0,Q48="Baja",1,Q48="Media",2,Q48="Alta",3)*'Scoring Complejidad'!$C$8+_xlfn.IFS(R48="Baja",1,R48="Media",2,R48="Alta",3)*'Scoring Complejidad'!$C$9+_xlfn.IFS(S48="Baja",1,S48="Media",2,S48="Alta",3)*'Scoring Complejidad'!$C$7+_xlfn.IFS(T48="",1,T48="Baja",1,T48="Media",2,T48="Alta",3)*'Scoring Complejidad'!$C$5+_xlfn.IFS(M48="Caja",1,M48="Configuración",2,M48="Desarrollo",3,M48="Desarrollo + Configuración",3,M48="No Aplica",0)*'Scoring Complejidad'!$C$6),"")</f>
        <v>1.8</v>
      </c>
      <c r="V48" s="134" t="str" cm="1">
        <f t="array" ref="V48">IFERROR(_xlfn.IFS(U48="","",U48&lt;=1.69,"Baja",U48&lt;=2.29,"Media",U48&lt;=3,"Alta",U48&gt;3,"Error"),"")</f>
        <v>Media</v>
      </c>
      <c r="W48" s="156">
        <v>46174</v>
      </c>
      <c r="X48" s="156">
        <v>46174</v>
      </c>
      <c r="Y48" s="156" t="s">
        <v>1477</v>
      </c>
      <c r="Z48" s="155" t="s">
        <v>1477</v>
      </c>
      <c r="AA48" s="155">
        <v>46237</v>
      </c>
      <c r="AB48" s="155">
        <v>46262</v>
      </c>
      <c r="AC48" s="142" t="s">
        <v>1701</v>
      </c>
      <c r="AD48" s="113" t="s">
        <v>1699</v>
      </c>
    </row>
    <row r="49" spans="1:30" ht="69">
      <c r="A49" s="111" t="s">
        <v>390</v>
      </c>
      <c r="B49" s="111" t="s">
        <v>379</v>
      </c>
      <c r="C49" s="141" t="s">
        <v>1328</v>
      </c>
      <c r="D49" s="111" t="s">
        <v>18</v>
      </c>
      <c r="E49" s="111" t="s">
        <v>1479</v>
      </c>
      <c r="F49" s="112" t="s">
        <v>1329</v>
      </c>
      <c r="G49" s="112" t="s">
        <v>1330</v>
      </c>
      <c r="H49" s="112" t="s">
        <v>1331</v>
      </c>
      <c r="I49" s="112" t="s">
        <v>1332</v>
      </c>
      <c r="J49" s="133" t="s">
        <v>1466</v>
      </c>
      <c r="K49" s="112" t="s">
        <v>1557</v>
      </c>
      <c r="L49" s="112">
        <v>1</v>
      </c>
      <c r="M49" s="112" t="s">
        <v>1477</v>
      </c>
      <c r="N49" s="112" t="s">
        <v>1477</v>
      </c>
      <c r="O49" s="112">
        <v>4</v>
      </c>
      <c r="P49" s="172">
        <v>0</v>
      </c>
      <c r="Q49" s="112" t="str" cm="1">
        <f t="array" ref="Q49">+_xlfn.IFS(O49="","",O49&lt;=1,"Baja",O49&lt;=3,"Media",O49&gt;3,"Alta")</f>
        <v>Alta</v>
      </c>
      <c r="R49" s="112" t="str" cm="1">
        <f t="array" ref="R49">+_xlfn.IFS(P49="","",P49&lt;=0,"Baja",P49&lt;=2,"Media",P49&gt;2,"Alta")</f>
        <v>Baja</v>
      </c>
      <c r="S49" s="112" t="str" cm="1">
        <f t="array" ref="S49">+_xlfn.IFS(N49="","",N49="Componentes existentes reutilizables &gt;80%","Baja",N49="No Aplica","Baja",N49="Reutilización parcial 30-70%","Media",N49="Nuevo Desarrollo &lt;20%","Alta")</f>
        <v>Baja</v>
      </c>
      <c r="T49" s="112" t="str" cm="1">
        <f t="array" ref="T49">+_xlfn.IFS(L49="","",L49=0,"Baja",L49&lt;=2,"Media",L49&gt;=3,"Alta")</f>
        <v>Media</v>
      </c>
      <c r="U49" s="112" cm="1">
        <f t="array" ref="U49">+IFERROR((+_xlfn.IFS(Q49="",0,Q49="Baja",1,Q49="Media",2,Q49="Alta",3)*'Scoring Complejidad'!$C$8+_xlfn.IFS(R49="Baja",1,R49="Media",2,R49="Alta",3)*'Scoring Complejidad'!$C$9+_xlfn.IFS(S49="Baja",1,S49="Media",2,S49="Alta",3)*'Scoring Complejidad'!$C$7+_xlfn.IFS(T49="",1,T49="Baja",1,T49="Media",2,T49="Alta",3)*'Scoring Complejidad'!$C$5+_xlfn.IFS(M49="Caja",1,M49="Configuración",2,M49="Desarrollo",3,M49="Desarrollo + Configuración",3,M49="No Aplica",0)*'Scoring Complejidad'!$C$6),"")</f>
        <v>1.35</v>
      </c>
      <c r="V49" s="133" t="str" cm="1">
        <f t="array" ref="V49">IFERROR(_xlfn.IFS(U49="","",U49&lt;=1.69,"Baja",U49&lt;=2.29,"Media",U49&lt;=3,"Alta",U49&gt;3,"Error"),"")</f>
        <v>Baja</v>
      </c>
      <c r="W49" s="149">
        <v>46179</v>
      </c>
      <c r="X49" s="149">
        <v>46237</v>
      </c>
      <c r="Y49" s="149">
        <v>46238</v>
      </c>
      <c r="Z49" s="154">
        <v>46261</v>
      </c>
      <c r="AA49" s="154">
        <v>46244</v>
      </c>
      <c r="AB49" s="154">
        <v>46310</v>
      </c>
      <c r="AC49" s="111" t="s">
        <v>1705</v>
      </c>
      <c r="AD49" s="111"/>
    </row>
    <row r="50" spans="1:30" ht="57.5">
      <c r="A50" s="113" t="s">
        <v>393</v>
      </c>
      <c r="B50" s="113" t="s">
        <v>379</v>
      </c>
      <c r="C50" s="142" t="s">
        <v>1335</v>
      </c>
      <c r="D50" s="113" t="s">
        <v>18</v>
      </c>
      <c r="E50" s="113" t="s">
        <v>1102</v>
      </c>
      <c r="F50" s="114" t="s">
        <v>1336</v>
      </c>
      <c r="G50" s="114" t="s">
        <v>1337</v>
      </c>
      <c r="H50" s="114" t="s">
        <v>1338</v>
      </c>
      <c r="I50" s="114" t="s">
        <v>1339</v>
      </c>
      <c r="J50" s="134" t="s">
        <v>1466</v>
      </c>
      <c r="K50" s="114" t="s">
        <v>1557</v>
      </c>
      <c r="L50" s="114">
        <v>1</v>
      </c>
      <c r="M50" s="114" t="s">
        <v>1477</v>
      </c>
      <c r="N50" s="114" t="s">
        <v>1477</v>
      </c>
      <c r="O50" s="114">
        <v>4</v>
      </c>
      <c r="P50" s="114">
        <v>6</v>
      </c>
      <c r="Q50" s="114" t="str" cm="1">
        <f t="array" ref="Q50">+_xlfn.IFS(O50="","",O50&lt;=1,"Baja",O50&lt;=3,"Media",O50&gt;3,"Alta")</f>
        <v>Alta</v>
      </c>
      <c r="R50" s="114" t="str" cm="1">
        <f t="array" ref="R50">+_xlfn.IFS(P50="","",P50&lt;=0,"Baja",P50&lt;=2,"Media",P50&gt;2,"Alta")</f>
        <v>Alta</v>
      </c>
      <c r="S50" s="114" t="str" cm="1">
        <f t="array" ref="S50">+_xlfn.IFS(N50="","",N50="Componentes existentes reutilizables &gt;80%","Baja",N50="No Aplica","Baja",N50="Reutilización parcial 30-70%","Media",N50="Nuevo Desarrollo &lt;20%","Alta")</f>
        <v>Baja</v>
      </c>
      <c r="T50" s="114" t="str" cm="1">
        <f t="array" ref="T50">+_xlfn.IFS(L50="","",L50=0,"Baja",L50&lt;=2,"Media",L50&gt;=3,"Alta")</f>
        <v>Media</v>
      </c>
      <c r="U50" s="114" cm="1">
        <f t="array" ref="U50">+IFERROR((+_xlfn.IFS(Q50="",0,Q50="Baja",1,Q50="Media",2,Q50="Alta",3)*'Scoring Complejidad'!$C$8+_xlfn.IFS(R50="Baja",1,R50="Media",2,R50="Alta",3)*'Scoring Complejidad'!$C$9+_xlfn.IFS(S50="Baja",1,S50="Media",2,S50="Alta",3)*'Scoring Complejidad'!$C$7+_xlfn.IFS(T50="",1,T50="Baja",1,T50="Media",2,T50="Alta",3)*'Scoring Complejidad'!$C$5+_xlfn.IFS(M50="Caja",1,M50="Configuración",2,M50="Desarrollo",3,M50="Desarrollo + Configuración",3,M50="No Aplica",0)*'Scoring Complejidad'!$C$6),"")</f>
        <v>1.5499999999999998</v>
      </c>
      <c r="V50" s="134" t="str" cm="1">
        <f t="array" ref="V50">IFERROR(_xlfn.IFS(U50="","",U50&lt;=1.69,"Baja",U50&lt;=2.29,"Media",U50&lt;=3,"Alta",U50&gt;3,"Error"),"")</f>
        <v>Baja</v>
      </c>
      <c r="W50" s="156">
        <v>46179</v>
      </c>
      <c r="X50" s="156">
        <v>46237</v>
      </c>
      <c r="Y50" s="156">
        <v>46238</v>
      </c>
      <c r="Z50" s="155">
        <v>46261</v>
      </c>
      <c r="AA50" s="155">
        <v>46244</v>
      </c>
      <c r="AB50" s="155">
        <v>46310</v>
      </c>
      <c r="AC50" s="113" t="s">
        <v>1704</v>
      </c>
      <c r="AD50" s="113"/>
    </row>
    <row r="51" spans="1:30" ht="57.5">
      <c r="A51" s="111" t="s">
        <v>394</v>
      </c>
      <c r="B51" s="111" t="s">
        <v>379</v>
      </c>
      <c r="C51" s="141" t="s">
        <v>1341</v>
      </c>
      <c r="D51" s="111" t="s">
        <v>18</v>
      </c>
      <c r="E51" s="111" t="s">
        <v>1118</v>
      </c>
      <c r="F51" s="112" t="s">
        <v>1342</v>
      </c>
      <c r="G51" s="112" t="s">
        <v>1343</v>
      </c>
      <c r="H51" s="112" t="s">
        <v>1344</v>
      </c>
      <c r="I51" s="112" t="s">
        <v>1345</v>
      </c>
      <c r="J51" s="133" t="s">
        <v>1466</v>
      </c>
      <c r="K51" s="112" t="s">
        <v>1557</v>
      </c>
      <c r="L51" s="112">
        <v>1</v>
      </c>
      <c r="M51" s="112" t="s">
        <v>1477</v>
      </c>
      <c r="N51" s="112" t="s">
        <v>1477</v>
      </c>
      <c r="O51" s="112">
        <v>4</v>
      </c>
      <c r="P51" s="172">
        <v>0</v>
      </c>
      <c r="Q51" s="112" t="str" cm="1">
        <f t="array" ref="Q51">+_xlfn.IFS(O51="","",O51&lt;=1,"Baja",O51&lt;=3,"Media",O51&gt;3,"Alta")</f>
        <v>Alta</v>
      </c>
      <c r="R51" s="112" t="str" cm="1">
        <f t="array" ref="R51">+_xlfn.IFS(P51="","",P51&lt;=0,"Baja",P51&lt;=2,"Media",P51&gt;2,"Alta")</f>
        <v>Baja</v>
      </c>
      <c r="S51" s="112" t="str" cm="1">
        <f t="array" ref="S51">+_xlfn.IFS(N51="","",N51="Componentes existentes reutilizables &gt;80%","Baja",N51="No Aplica","Baja",N51="Reutilización parcial 30-70%","Media",N51="Nuevo Desarrollo &lt;20%","Alta")</f>
        <v>Baja</v>
      </c>
      <c r="T51" s="112" t="str" cm="1">
        <f t="array" ref="T51">+_xlfn.IFS(L51="","",L51=0,"Baja",L51&lt;=2,"Media",L51&gt;=3,"Alta")</f>
        <v>Media</v>
      </c>
      <c r="U51" s="112" cm="1">
        <f t="array" ref="U51">+IFERROR((+_xlfn.IFS(Q51="",0,Q51="Baja",1,Q51="Media",2,Q51="Alta",3)*'Scoring Complejidad'!$C$8+_xlfn.IFS(R51="Baja",1,R51="Media",2,R51="Alta",3)*'Scoring Complejidad'!$C$9+_xlfn.IFS(S51="Baja",1,S51="Media",2,S51="Alta",3)*'Scoring Complejidad'!$C$7+_xlfn.IFS(T51="",1,T51="Baja",1,T51="Media",2,T51="Alta",3)*'Scoring Complejidad'!$C$5+_xlfn.IFS(M51="Caja",1,M51="Configuración",2,M51="Desarrollo",3,M51="Desarrollo + Configuración",3,M51="No Aplica",0)*'Scoring Complejidad'!$C$6),"")</f>
        <v>1.35</v>
      </c>
      <c r="V51" s="133" t="str" cm="1">
        <f t="array" ref="V51">IFERROR(_xlfn.IFS(U51="","",U51&lt;=1.69,"Baja",U51&lt;=2.29,"Media",U51&lt;=3,"Alta",U51&gt;3,"Error"),"")</f>
        <v>Baja</v>
      </c>
      <c r="W51" s="149">
        <v>46179</v>
      </c>
      <c r="X51" s="149">
        <v>46237</v>
      </c>
      <c r="Y51" s="149">
        <v>46238</v>
      </c>
      <c r="Z51" s="154">
        <v>46261</v>
      </c>
      <c r="AA51" s="154">
        <v>46244</v>
      </c>
      <c r="AB51" s="154">
        <v>46310</v>
      </c>
      <c r="AC51" s="111" t="s">
        <v>1704</v>
      </c>
      <c r="AD51" s="111"/>
    </row>
    <row r="52" spans="1:30" ht="92">
      <c r="A52" s="113" t="s">
        <v>400</v>
      </c>
      <c r="B52" s="113" t="s">
        <v>379</v>
      </c>
      <c r="C52" s="142" t="s">
        <v>1347</v>
      </c>
      <c r="D52" s="113" t="s">
        <v>18</v>
      </c>
      <c r="E52" s="113" t="s">
        <v>1125</v>
      </c>
      <c r="F52" s="114" t="s">
        <v>1348</v>
      </c>
      <c r="G52" s="114" t="s">
        <v>1349</v>
      </c>
      <c r="H52" s="114" t="s">
        <v>1350</v>
      </c>
      <c r="I52" s="114" t="s">
        <v>1315</v>
      </c>
      <c r="J52" s="134" t="s">
        <v>1466</v>
      </c>
      <c r="K52" s="114" t="s">
        <v>1472</v>
      </c>
      <c r="L52" s="114">
        <v>0</v>
      </c>
      <c r="M52" s="114" t="s">
        <v>45</v>
      </c>
      <c r="N52" s="114" t="s">
        <v>1502</v>
      </c>
      <c r="O52" s="114">
        <v>6</v>
      </c>
      <c r="P52" s="114">
        <v>8</v>
      </c>
      <c r="Q52" s="114" t="str" cm="1">
        <f t="array" ref="Q52">+_xlfn.IFS(O52="","",O52&lt;=1,"Baja",O52&lt;=3,"Media",O52&gt;3,"Alta")</f>
        <v>Alta</v>
      </c>
      <c r="R52" s="114" t="str" cm="1">
        <f t="array" ref="R52">+_xlfn.IFS(P52="","",P52&lt;=0,"Baja",P52&lt;=2,"Media",P52&gt;2,"Alta")</f>
        <v>Alta</v>
      </c>
      <c r="S52" s="114" t="str" cm="1">
        <f t="array" ref="S52">+_xlfn.IFS(N52="","",N52="Componentes existentes reutilizables &gt;80%","Baja",N52="No Aplica","Baja",N52="Reutilización parcial 30-70%","Media",N52="Nuevo Desarrollo &lt;20%","Alta")</f>
        <v>Baja</v>
      </c>
      <c r="T52" s="114" t="str" cm="1">
        <f t="array" ref="T52">+_xlfn.IFS(L52="","",L52=0,"Baja",L52&lt;=2,"Media",L52&gt;=3,"Alta")</f>
        <v>Baja</v>
      </c>
      <c r="U52" s="114" cm="1">
        <f t="array" ref="U52">+IFERROR((+_xlfn.IFS(Q52="",0,Q52="Baja",1,Q52="Media",2,Q52="Alta",3)*'Scoring Complejidad'!$C$8+_xlfn.IFS(R52="Baja",1,R52="Media",2,R52="Alta",3)*'Scoring Complejidad'!$C$9+_xlfn.IFS(S52="Baja",1,S52="Media",2,S52="Alta",3)*'Scoring Complejidad'!$C$7+_xlfn.IFS(T52="",1,T52="Baja",1,T52="Media",2,T52="Alta",3)*'Scoring Complejidad'!$C$5+_xlfn.IFS(M52="Caja",1,M52="Configuración",2,M52="Desarrollo",3,M52="Desarrollo + Configuración",3,M52="No Aplica",0)*'Scoring Complejidad'!$C$6),"")</f>
        <v>2</v>
      </c>
      <c r="V52" s="134" t="str" cm="1">
        <f t="array" ref="V52">IFERROR(_xlfn.IFS(U52="","",U52&lt;=1.69,"Baja",U52&lt;=2.29,"Media",U52&lt;=3,"Alta",U52&gt;3,"Error"),"")</f>
        <v>Media</v>
      </c>
      <c r="W52" s="156">
        <v>46179</v>
      </c>
      <c r="X52" s="156">
        <v>46237</v>
      </c>
      <c r="Y52" s="156">
        <v>46238</v>
      </c>
      <c r="Z52" s="155">
        <v>46261</v>
      </c>
      <c r="AA52" s="155">
        <v>46244</v>
      </c>
      <c r="AB52" s="155">
        <v>46310</v>
      </c>
      <c r="AC52" s="113"/>
      <c r="AD52" s="113"/>
    </row>
    <row r="53" spans="1:30" ht="69">
      <c r="A53" s="111" t="s">
        <v>401</v>
      </c>
      <c r="B53" s="111" t="s">
        <v>379</v>
      </c>
      <c r="C53" s="141" t="s">
        <v>1353</v>
      </c>
      <c r="D53" s="111" t="s">
        <v>18</v>
      </c>
      <c r="E53" s="111" t="s">
        <v>1011</v>
      </c>
      <c r="F53" s="112" t="s">
        <v>1354</v>
      </c>
      <c r="G53" s="112" t="s">
        <v>1355</v>
      </c>
      <c r="H53" s="112" t="s">
        <v>1350</v>
      </c>
      <c r="I53" s="112" t="s">
        <v>1315</v>
      </c>
      <c r="J53" s="133" t="s">
        <v>1466</v>
      </c>
      <c r="K53" s="112" t="s">
        <v>1472</v>
      </c>
      <c r="L53" s="112">
        <v>0</v>
      </c>
      <c r="M53" s="112" t="s">
        <v>45</v>
      </c>
      <c r="N53" s="112" t="s">
        <v>1502</v>
      </c>
      <c r="O53" s="112">
        <v>3</v>
      </c>
      <c r="P53" s="112">
        <v>8</v>
      </c>
      <c r="Q53" s="112" t="str" cm="1">
        <f t="array" ref="Q53">+_xlfn.IFS(O53="","",O53&lt;=1,"Baja",O53&lt;=3,"Media",O53&gt;3,"Alta")</f>
        <v>Media</v>
      </c>
      <c r="R53" s="112" t="str" cm="1">
        <f t="array" ref="R53">+_xlfn.IFS(P53="","",P53&lt;=0,"Baja",P53&lt;=2,"Media",P53&gt;2,"Alta")</f>
        <v>Alta</v>
      </c>
      <c r="S53" s="112" t="str" cm="1">
        <f t="array" ref="S53">+_xlfn.IFS(N53="","",N53="Componentes existentes reutilizables &gt;80%","Baja",N53="No Aplica","Baja",N53="Reutilización parcial 30-70%","Media",N53="Nuevo Desarrollo &lt;20%","Alta")</f>
        <v>Baja</v>
      </c>
      <c r="T53" s="112" t="str" cm="1">
        <f t="array" ref="T53">+_xlfn.IFS(L53="","",L53=0,"Baja",L53&lt;=2,"Media",L53&gt;=3,"Alta")</f>
        <v>Baja</v>
      </c>
      <c r="U53" s="112" cm="1">
        <f t="array" ref="U53">+IFERROR((+_xlfn.IFS(Q53="",0,Q53="Baja",1,Q53="Media",2,Q53="Alta",3)*'Scoring Complejidad'!$C$8+_xlfn.IFS(R53="Baja",1,R53="Media",2,R53="Alta",3)*'Scoring Complejidad'!$C$9+_xlfn.IFS(S53="Baja",1,S53="Media",2,S53="Alta",3)*'Scoring Complejidad'!$C$7+_xlfn.IFS(T53="",1,T53="Baja",1,T53="Media",2,T53="Alta",3)*'Scoring Complejidad'!$C$5+_xlfn.IFS(M53="Caja",1,M53="Configuración",2,M53="Desarrollo",3,M53="Desarrollo + Configuración",3,M53="No Aplica",0)*'Scoring Complejidad'!$C$6),"")</f>
        <v>1.85</v>
      </c>
      <c r="V53" s="133" t="str" cm="1">
        <f t="array" ref="V53">IFERROR(_xlfn.IFS(U53="","",U53&lt;=1.69,"Baja",U53&lt;=2.29,"Media",U53&lt;=3,"Alta",U53&gt;3,"Error"),"")</f>
        <v>Media</v>
      </c>
      <c r="W53" s="149">
        <v>46179</v>
      </c>
      <c r="X53" s="149">
        <v>46237</v>
      </c>
      <c r="Y53" s="149">
        <v>46238</v>
      </c>
      <c r="Z53" s="154">
        <v>46261</v>
      </c>
      <c r="AA53" s="154">
        <v>46244</v>
      </c>
      <c r="AB53" s="154">
        <v>46310</v>
      </c>
      <c r="AC53" s="111" t="s">
        <v>1710</v>
      </c>
      <c r="AD53" s="111"/>
    </row>
    <row r="54" spans="1:30" ht="69">
      <c r="A54" s="113" t="s">
        <v>402</v>
      </c>
      <c r="B54" s="113" t="s">
        <v>379</v>
      </c>
      <c r="C54" s="142" t="s">
        <v>1357</v>
      </c>
      <c r="D54" s="113" t="s">
        <v>18</v>
      </c>
      <c r="E54" s="113" t="s">
        <v>1011</v>
      </c>
      <c r="F54" s="114" t="s">
        <v>1358</v>
      </c>
      <c r="G54" s="114" t="s">
        <v>1359</v>
      </c>
      <c r="H54" s="114" t="s">
        <v>1350</v>
      </c>
      <c r="I54" s="114" t="s">
        <v>1315</v>
      </c>
      <c r="J54" s="134" t="s">
        <v>1467</v>
      </c>
      <c r="K54" s="114" t="s">
        <v>1472</v>
      </c>
      <c r="L54" s="114">
        <v>0</v>
      </c>
      <c r="M54" s="114" t="s">
        <v>45</v>
      </c>
      <c r="N54" s="114" t="s">
        <v>1543</v>
      </c>
      <c r="O54" s="114">
        <v>5</v>
      </c>
      <c r="P54" s="114">
        <v>8</v>
      </c>
      <c r="Q54" s="114" t="str" cm="1">
        <f t="array" ref="Q54">+_xlfn.IFS(O54="","",O54&lt;=1,"Baja",O54&lt;=3,"Media",O54&gt;3,"Alta")</f>
        <v>Alta</v>
      </c>
      <c r="R54" s="114" t="str" cm="1">
        <f t="array" ref="R54">+_xlfn.IFS(P54="","",P54&lt;=0,"Baja",P54&lt;=2,"Media",P54&gt;2,"Alta")</f>
        <v>Alta</v>
      </c>
      <c r="S54" s="114" t="str" cm="1">
        <f t="array" ref="S54">+_xlfn.IFS(N54="","",N54="Componentes existentes reutilizables &gt;80%","Baja",N54="No Aplica","Baja",N54="Reutilización parcial 30-70%","Media",N54="Nuevo Desarrollo &lt;20%","Alta")</f>
        <v>Alta</v>
      </c>
      <c r="T54" s="114" t="str" cm="1">
        <f t="array" ref="T54">+_xlfn.IFS(L54="","",L54=0,"Baja",L54&lt;=2,"Media",L54&gt;=3,"Alta")</f>
        <v>Baja</v>
      </c>
      <c r="U54" s="114" cm="1">
        <f t="array" ref="U54">+IFERROR((+_xlfn.IFS(Q54="",0,Q54="Baja",1,Q54="Media",2,Q54="Alta",3)*'Scoring Complejidad'!$C$8+_xlfn.IFS(R54="Baja",1,R54="Media",2,R54="Alta",3)*'Scoring Complejidad'!$C$9+_xlfn.IFS(S54="Baja",1,S54="Media",2,S54="Alta",3)*'Scoring Complejidad'!$C$7+_xlfn.IFS(T54="",1,T54="Baja",1,T54="Media",2,T54="Alta",3)*'Scoring Complejidad'!$C$5+_xlfn.IFS(M54="Caja",1,M54="Configuración",2,M54="Desarrollo",3,M54="Desarrollo + Configuración",3,M54="No Aplica",0)*'Scoring Complejidad'!$C$6),"")</f>
        <v>2.4000000000000004</v>
      </c>
      <c r="V54" s="134" t="str" cm="1">
        <f t="array" ref="V54">IFERROR(_xlfn.IFS(U54="","",U54&lt;=1.69,"Baja",U54&lt;=2.29,"Media",U54&lt;=3,"Alta",U54&gt;3,"Error"),"")</f>
        <v>Alta</v>
      </c>
      <c r="W54" s="156">
        <v>46179</v>
      </c>
      <c r="X54" s="156">
        <v>46237</v>
      </c>
      <c r="Y54" s="156">
        <v>46238</v>
      </c>
      <c r="Z54" s="155">
        <v>46261</v>
      </c>
      <c r="AA54" s="155">
        <v>46244</v>
      </c>
      <c r="AB54" s="155">
        <v>46310</v>
      </c>
      <c r="AC54" s="113" t="s">
        <v>1698</v>
      </c>
      <c r="AD54" s="113"/>
    </row>
    <row r="55" spans="1:30" ht="69">
      <c r="A55" s="111" t="s">
        <v>403</v>
      </c>
      <c r="B55" s="111" t="s">
        <v>379</v>
      </c>
      <c r="C55" s="141" t="s">
        <v>1361</v>
      </c>
      <c r="D55" s="111" t="s">
        <v>18</v>
      </c>
      <c r="E55" s="111" t="s">
        <v>1144</v>
      </c>
      <c r="F55" s="112" t="s">
        <v>1362</v>
      </c>
      <c r="G55" s="112" t="s">
        <v>1363</v>
      </c>
      <c r="H55" s="112" t="s">
        <v>1350</v>
      </c>
      <c r="I55" s="112" t="s">
        <v>1364</v>
      </c>
      <c r="J55" s="133" t="s">
        <v>1466</v>
      </c>
      <c r="K55" s="112" t="s">
        <v>1559</v>
      </c>
      <c r="L55" s="194" t="s">
        <v>1708</v>
      </c>
      <c r="M55" s="112" t="s">
        <v>1476</v>
      </c>
      <c r="N55" s="112" t="s">
        <v>1558</v>
      </c>
      <c r="O55" s="112">
        <v>4</v>
      </c>
      <c r="P55" s="112">
        <v>8</v>
      </c>
      <c r="Q55" s="112" t="str" cm="1">
        <f t="array" ref="Q55">+_xlfn.IFS(O55="","",O55&lt;=1,"Baja",O55&lt;=3,"Media",O55&gt;3,"Alta")</f>
        <v>Alta</v>
      </c>
      <c r="R55" s="112" t="str" cm="1">
        <f t="array" ref="R55">+_xlfn.IFS(P55="","",P55&lt;=0,"Baja",P55&lt;=2,"Media",P55&gt;2,"Alta")</f>
        <v>Alta</v>
      </c>
      <c r="S55" s="112" t="str" cm="1">
        <f t="array" ref="S55">+_xlfn.IFS(N55="","",N55="Componentes existentes reutilizables &gt;80%","Baja",N55="No Aplica","Baja",N55="Reutilización parcial 30-70%","Media",N55="Nuevo Desarrollo &lt;20%","Alta")</f>
        <v>Media</v>
      </c>
      <c r="T55" s="112" t="str" cm="1">
        <f t="array" ref="T55">+_xlfn.IFS(L55="","",L55=0,"Baja",L55&lt;=2,"Media",L55&gt;=3,"Alta")</f>
        <v>Alta</v>
      </c>
      <c r="U55" s="112" cm="1">
        <f t="array" ref="U55">+IFERROR((+_xlfn.IFS(Q55="",0,Q55="Baja",1,Q55="Media",2,Q55="Alta",3)*'Scoring Complejidad'!$C$8+_xlfn.IFS(R55="Baja",1,R55="Media",2,R55="Alta",3)*'Scoring Complejidad'!$C$9+_xlfn.IFS(S55="Baja",1,S55="Media",2,S55="Alta",3)*'Scoring Complejidad'!$C$7+_xlfn.IFS(T55="",1,T55="Baja",1,T55="Media",2,T55="Alta",3)*'Scoring Complejidad'!$C$5+_xlfn.IFS(M55="Caja",1,M55="Configuración",2,M55="Desarrollo",3,M55="Desarrollo + Configuración",3,M55="No Aplica",0)*'Scoring Complejidad'!$C$6),"")</f>
        <v>2.8</v>
      </c>
      <c r="V55" s="133" t="str" cm="1">
        <f t="array" ref="V55">IFERROR(_xlfn.IFS(U55="","",U55&lt;=1.69,"Baja",U55&lt;=2.29,"Media",U55&lt;=3,"Alta",U55&gt;3,"Error"),"")</f>
        <v>Alta</v>
      </c>
      <c r="W55" s="149">
        <v>46179</v>
      </c>
      <c r="X55" s="149">
        <v>46237</v>
      </c>
      <c r="Y55" s="149">
        <v>46238</v>
      </c>
      <c r="Z55" s="154">
        <v>46261</v>
      </c>
      <c r="AA55" s="154">
        <v>46244</v>
      </c>
      <c r="AB55" s="154">
        <v>46310</v>
      </c>
      <c r="AC55" s="111"/>
      <c r="AD55" s="111"/>
    </row>
    <row r="56" spans="1:30" ht="57.5">
      <c r="A56" s="113" t="s">
        <v>395</v>
      </c>
      <c r="B56" s="113" t="s">
        <v>379</v>
      </c>
      <c r="C56" s="142" t="s">
        <v>1367</v>
      </c>
      <c r="D56" s="113" t="s">
        <v>18</v>
      </c>
      <c r="E56" s="113" t="s">
        <v>1151</v>
      </c>
      <c r="F56" s="114" t="s">
        <v>1368</v>
      </c>
      <c r="G56" s="114" t="s">
        <v>1369</v>
      </c>
      <c r="H56" s="114" t="s">
        <v>1370</v>
      </c>
      <c r="I56" s="114" t="s">
        <v>1332</v>
      </c>
      <c r="J56" s="134" t="s">
        <v>1468</v>
      </c>
      <c r="K56" s="114" t="s">
        <v>1559</v>
      </c>
      <c r="L56" s="195" t="s">
        <v>1707</v>
      </c>
      <c r="M56" s="114" t="s">
        <v>45</v>
      </c>
      <c r="N56" s="114" t="s">
        <v>1558</v>
      </c>
      <c r="O56" s="114">
        <v>3</v>
      </c>
      <c r="P56" s="114">
        <v>4</v>
      </c>
      <c r="Q56" s="114" t="str" cm="1">
        <f t="array" ref="Q56">+_xlfn.IFS(O56="","",O56&lt;=1,"Baja",O56&lt;=3,"Media",O56&gt;3,"Alta")</f>
        <v>Media</v>
      </c>
      <c r="R56" s="114" t="str" cm="1">
        <f t="array" ref="R56">+_xlfn.IFS(P56="","",P56&lt;=0,"Baja",P56&lt;=2,"Media",P56&gt;2,"Alta")</f>
        <v>Alta</v>
      </c>
      <c r="S56" s="114" t="str" cm="1">
        <f t="array" ref="S56">+_xlfn.IFS(N56="","",N56="Componentes existentes reutilizables &gt;80%","Baja",N56="No Aplica","Baja",N56="Reutilización parcial 30-70%","Media",N56="Nuevo Desarrollo &lt;20%","Alta")</f>
        <v>Media</v>
      </c>
      <c r="T56" s="114" t="str" cm="1">
        <f t="array" ref="T56">+_xlfn.IFS(L56="","",L56=0,"Baja",L56&lt;=2,"Media",L56&gt;=3,"Alta")</f>
        <v>Alta</v>
      </c>
      <c r="U56" s="114" cm="1">
        <f t="array" ref="U56">+IFERROR((+_xlfn.IFS(Q56="",0,Q56="Baja",1,Q56="Media",2,Q56="Alta",3)*'Scoring Complejidad'!$C$8+_xlfn.IFS(R56="Baja",1,R56="Media",2,R56="Alta",3)*'Scoring Complejidad'!$C$9+_xlfn.IFS(S56="Baja",1,S56="Media",2,S56="Alta",3)*'Scoring Complejidad'!$C$7+_xlfn.IFS(T56="",1,T56="Baja",1,T56="Media",2,T56="Alta",3)*'Scoring Complejidad'!$C$5+_xlfn.IFS(M56="Caja",1,M56="Configuración",2,M56="Desarrollo",3,M56="Desarrollo + Configuración",3,M56="No Aplica",0)*'Scoring Complejidad'!$C$6),"")</f>
        <v>2.65</v>
      </c>
      <c r="V56" s="134" t="str" cm="1">
        <f t="array" ref="V56">IFERROR(_xlfn.IFS(U56="","",U56&lt;=1.69,"Baja",U56&lt;=2.29,"Media",U56&lt;=3,"Alta",U56&gt;3,"Error"),"")</f>
        <v>Alta</v>
      </c>
      <c r="W56" s="156">
        <v>46179</v>
      </c>
      <c r="X56" s="156">
        <v>46237</v>
      </c>
      <c r="Y56" s="156">
        <v>46238</v>
      </c>
      <c r="Z56" s="155">
        <v>46261</v>
      </c>
      <c r="AA56" s="155">
        <v>46244</v>
      </c>
      <c r="AB56" s="155">
        <v>46310</v>
      </c>
      <c r="AC56" s="113" t="s">
        <v>1696</v>
      </c>
      <c r="AD56" s="113"/>
    </row>
    <row r="57" spans="1:30" ht="57.5">
      <c r="A57" s="111" t="s">
        <v>383</v>
      </c>
      <c r="B57" s="111" t="s">
        <v>379</v>
      </c>
      <c r="C57" s="141" t="s">
        <v>1373</v>
      </c>
      <c r="D57" s="111" t="s">
        <v>18</v>
      </c>
      <c r="E57" s="111" t="s">
        <v>1166</v>
      </c>
      <c r="F57" s="112" t="s">
        <v>1374</v>
      </c>
      <c r="G57" s="112" t="s">
        <v>1375</v>
      </c>
      <c r="H57" s="112" t="s">
        <v>1376</v>
      </c>
      <c r="I57" s="112" t="s">
        <v>1315</v>
      </c>
      <c r="J57" s="133" t="s">
        <v>1467</v>
      </c>
      <c r="K57" s="112" t="s">
        <v>1472</v>
      </c>
      <c r="L57" s="112">
        <v>0</v>
      </c>
      <c r="M57" s="112" t="s">
        <v>45</v>
      </c>
      <c r="N57" s="194" t="s">
        <v>1558</v>
      </c>
      <c r="O57" s="112">
        <v>5</v>
      </c>
      <c r="P57" s="172">
        <v>0</v>
      </c>
      <c r="Q57" s="112" t="str" cm="1">
        <f t="array" ref="Q57">+_xlfn.IFS(O57="","",O57&lt;=1,"Baja",O57&lt;=3,"Media",O57&gt;3,"Alta")</f>
        <v>Alta</v>
      </c>
      <c r="R57" s="112" t="str" cm="1">
        <f t="array" ref="R57">+_xlfn.IFS(P57="","",P57&lt;=0,"Baja",P57&lt;=2,"Media",P57&gt;2,"Alta")</f>
        <v>Baja</v>
      </c>
      <c r="S57" s="112" t="str" cm="1">
        <f t="array" ref="S57">+_xlfn.IFS(N57="","",N57="Componentes existentes reutilizables &gt;80%","Baja",N57="No Aplica","Baja",N57="Reutilización parcial 30-70%","Media",N57="Nuevo Desarrollo &lt;20%","Alta")</f>
        <v>Media</v>
      </c>
      <c r="T57" s="112" t="str" cm="1">
        <f t="array" ref="T57">+_xlfn.IFS(L57="","",L57=0,"Baja",L57&lt;=2,"Media",L57&gt;=3,"Alta")</f>
        <v>Baja</v>
      </c>
      <c r="U57" s="112" cm="1">
        <f t="array" ref="U57">+IFERROR((+_xlfn.IFS(Q57="",0,Q57="Baja",1,Q57="Media",2,Q57="Alta",3)*'Scoring Complejidad'!$C$8+_xlfn.IFS(R57="Baja",1,R57="Media",2,R57="Alta",3)*'Scoring Complejidad'!$C$9+_xlfn.IFS(S57="Baja",1,S57="Media",2,S57="Alta",3)*'Scoring Complejidad'!$C$7+_xlfn.IFS(T57="",1,T57="Baja",1,T57="Media",2,T57="Alta",3)*'Scoring Complejidad'!$C$5+_xlfn.IFS(M57="Caja",1,M57="Configuración",2,M57="Desarrollo",3,M57="Desarrollo + Configuración",3,M57="No Aplica",0)*'Scoring Complejidad'!$C$6),"")</f>
        <v>2</v>
      </c>
      <c r="V57" s="133" t="str" cm="1">
        <f t="array" ref="V57">IFERROR(_xlfn.IFS(U57="","",U57&lt;=1.69,"Baja",U57&lt;=2.29,"Media",U57&lt;=3,"Alta",U57&gt;3,"Error"),"")</f>
        <v>Media</v>
      </c>
      <c r="W57" s="149">
        <v>46174</v>
      </c>
      <c r="X57" s="149">
        <v>46174</v>
      </c>
      <c r="Y57" s="149" t="s">
        <v>1477</v>
      </c>
      <c r="Z57" s="154" t="s">
        <v>1477</v>
      </c>
      <c r="AA57" s="154">
        <v>46237</v>
      </c>
      <c r="AB57" s="154">
        <v>46262</v>
      </c>
      <c r="AC57" s="141" t="s">
        <v>1700</v>
      </c>
      <c r="AD57" s="111" t="s">
        <v>1699</v>
      </c>
    </row>
    <row r="58" spans="1:30" ht="69">
      <c r="A58" s="113" t="s">
        <v>384</v>
      </c>
      <c r="B58" s="113" t="s">
        <v>379</v>
      </c>
      <c r="C58" s="142" t="s">
        <v>1378</v>
      </c>
      <c r="D58" s="113" t="s">
        <v>18</v>
      </c>
      <c r="E58" s="113" t="s">
        <v>1173</v>
      </c>
      <c r="F58" s="114" t="s">
        <v>1379</v>
      </c>
      <c r="G58" s="114" t="s">
        <v>1380</v>
      </c>
      <c r="H58" s="114" t="s">
        <v>1381</v>
      </c>
      <c r="I58" s="114" t="s">
        <v>1321</v>
      </c>
      <c r="J58" s="134" t="s">
        <v>1466</v>
      </c>
      <c r="K58" s="114" t="s">
        <v>1557</v>
      </c>
      <c r="L58" s="199" t="s">
        <v>1708</v>
      </c>
      <c r="M58" s="114" t="s">
        <v>1477</v>
      </c>
      <c r="N58" s="114" t="s">
        <v>1477</v>
      </c>
      <c r="O58" s="114">
        <v>4</v>
      </c>
      <c r="P58" s="173">
        <v>0</v>
      </c>
      <c r="Q58" s="114" t="str" cm="1">
        <f t="array" ref="Q58">+_xlfn.IFS(O58="","",O58&lt;=1,"Baja",O58&lt;=3,"Media",O58&gt;3,"Alta")</f>
        <v>Alta</v>
      </c>
      <c r="R58" s="114" t="str" cm="1">
        <f t="array" ref="R58">+_xlfn.IFS(P58="","",P58&lt;=0,"Baja",P58&lt;=2,"Media",P58&gt;2,"Alta")</f>
        <v>Baja</v>
      </c>
      <c r="S58" s="114" t="str" cm="1">
        <f t="array" ref="S58">+_xlfn.IFS(N58="","",N58="Componentes existentes reutilizables &gt;80%","Baja",N58="No Aplica","Baja",N58="Reutilización parcial 30-70%","Media",N58="Nuevo Desarrollo &lt;20%","Alta")</f>
        <v>Baja</v>
      </c>
      <c r="T58" s="114" t="str" cm="1">
        <f t="array" ref="T58">+_xlfn.IFS(L58="","",L58=0,"Baja",L58&lt;=2,"Media",L58&gt;=3,"Alta")</f>
        <v>Alta</v>
      </c>
      <c r="U58" s="114" cm="1">
        <f t="array" ref="U58">+IFERROR((+_xlfn.IFS(Q58="",0,Q58="Baja",1,Q58="Media",2,Q58="Alta",3)*'Scoring Complejidad'!$C$8+_xlfn.IFS(R58="Baja",1,R58="Media",2,R58="Alta",3)*'Scoring Complejidad'!$C$9+_xlfn.IFS(S58="Baja",1,S58="Media",2,S58="Alta",3)*'Scoring Complejidad'!$C$7+_xlfn.IFS(T58="",1,T58="Baja",1,T58="Media",2,T58="Alta",3)*'Scoring Complejidad'!$C$5+_xlfn.IFS(M58="Caja",1,M58="Configuración",2,M58="Desarrollo",3,M58="Desarrollo + Configuración",3,M58="No Aplica",0)*'Scoring Complejidad'!$C$6),"")</f>
        <v>1.65</v>
      </c>
      <c r="V58" s="134" t="str" cm="1">
        <f t="array" ref="V58">IFERROR(_xlfn.IFS(U58="","",U58&lt;=1.69,"Baja",U58&lt;=2.29,"Media",U58&lt;=3,"Alta",U58&gt;3,"Error"),"")</f>
        <v>Baja</v>
      </c>
      <c r="W58" s="156">
        <v>46179</v>
      </c>
      <c r="X58" s="156">
        <v>46237</v>
      </c>
      <c r="Y58" s="156">
        <v>46238</v>
      </c>
      <c r="Z58" s="155">
        <v>46261</v>
      </c>
      <c r="AA58" s="155">
        <v>46244</v>
      </c>
      <c r="AB58" s="155">
        <v>46310</v>
      </c>
      <c r="AC58" s="113"/>
      <c r="AD58" s="113"/>
    </row>
    <row r="59" spans="1:30" ht="57.5">
      <c r="A59" s="111" t="s">
        <v>404</v>
      </c>
      <c r="B59" s="111" t="s">
        <v>379</v>
      </c>
      <c r="C59" s="141" t="s">
        <v>1384</v>
      </c>
      <c r="D59" s="111" t="s">
        <v>18</v>
      </c>
      <c r="E59" s="111" t="s">
        <v>1180</v>
      </c>
      <c r="F59" s="112" t="s">
        <v>1385</v>
      </c>
      <c r="G59" s="112" t="s">
        <v>1386</v>
      </c>
      <c r="H59" s="112" t="s">
        <v>1350</v>
      </c>
      <c r="I59" s="112" t="s">
        <v>1387</v>
      </c>
      <c r="J59" s="133" t="s">
        <v>1466</v>
      </c>
      <c r="K59" s="112" t="s">
        <v>1557</v>
      </c>
      <c r="L59" s="199" t="s">
        <v>1708</v>
      </c>
      <c r="M59" s="112" t="s">
        <v>1477</v>
      </c>
      <c r="N59" s="112" t="s">
        <v>1477</v>
      </c>
      <c r="O59" s="112">
        <v>4</v>
      </c>
      <c r="P59" s="112">
        <v>8</v>
      </c>
      <c r="Q59" s="112" t="str" cm="1">
        <f t="array" ref="Q59">+_xlfn.IFS(O59="","",O59&lt;=1,"Baja",O59&lt;=3,"Media",O59&gt;3,"Alta")</f>
        <v>Alta</v>
      </c>
      <c r="R59" s="112" t="str" cm="1">
        <f t="array" ref="R59">+_xlfn.IFS(P59="","",P59&lt;=0,"Baja",P59&lt;=2,"Media",P59&gt;2,"Alta")</f>
        <v>Alta</v>
      </c>
      <c r="S59" s="112" t="str" cm="1">
        <f t="array" ref="S59">+_xlfn.IFS(N59="","",N59="Componentes existentes reutilizables &gt;80%","Baja",N59="No Aplica","Baja",N59="Reutilización parcial 30-70%","Media",N59="Nuevo Desarrollo &lt;20%","Alta")</f>
        <v>Baja</v>
      </c>
      <c r="T59" s="112" t="str" cm="1">
        <f t="array" ref="T59">+_xlfn.IFS(L59="","",L59=0,"Baja",L59&lt;=2,"Media",L59&gt;=3,"Alta")</f>
        <v>Alta</v>
      </c>
      <c r="U59" s="112" cm="1">
        <f t="array" ref="U59">+IFERROR((+_xlfn.IFS(Q59="",0,Q59="Baja",1,Q59="Media",2,Q59="Alta",3)*'Scoring Complejidad'!$C$8+_xlfn.IFS(R59="Baja",1,R59="Media",2,R59="Alta",3)*'Scoring Complejidad'!$C$9+_xlfn.IFS(S59="Baja",1,S59="Media",2,S59="Alta",3)*'Scoring Complejidad'!$C$7+_xlfn.IFS(T59="",1,T59="Baja",1,T59="Media",2,T59="Alta",3)*'Scoring Complejidad'!$C$5+_xlfn.IFS(M59="Caja",1,M59="Configuración",2,M59="Desarrollo",3,M59="Desarrollo + Configuración",3,M59="No Aplica",0)*'Scoring Complejidad'!$C$6),"")</f>
        <v>1.8499999999999999</v>
      </c>
      <c r="V59" s="133" t="str" cm="1">
        <f t="array" ref="V59">IFERROR(_xlfn.IFS(U59="","",U59&lt;=1.69,"Baja",U59&lt;=2.29,"Media",U59&lt;=3,"Alta",U59&gt;3,"Error"),"")</f>
        <v>Media</v>
      </c>
      <c r="W59" s="149">
        <v>46179</v>
      </c>
      <c r="X59" s="149">
        <v>46237</v>
      </c>
      <c r="Y59" s="149">
        <v>46238</v>
      </c>
      <c r="Z59" s="154">
        <v>46261</v>
      </c>
      <c r="AA59" s="154">
        <v>46244</v>
      </c>
      <c r="AB59" s="154">
        <v>46310</v>
      </c>
      <c r="AC59" s="111"/>
      <c r="AD59" s="111"/>
    </row>
    <row r="60" spans="1:30" ht="69">
      <c r="A60" s="113" t="s">
        <v>386</v>
      </c>
      <c r="B60" s="113" t="s">
        <v>379</v>
      </c>
      <c r="C60" s="142" t="s">
        <v>1389</v>
      </c>
      <c r="D60" s="113" t="s">
        <v>18</v>
      </c>
      <c r="E60" s="113" t="s">
        <v>1187</v>
      </c>
      <c r="F60" s="114" t="s">
        <v>1390</v>
      </c>
      <c r="G60" s="114" t="s">
        <v>1391</v>
      </c>
      <c r="H60" s="114" t="s">
        <v>1392</v>
      </c>
      <c r="I60" s="114" t="s">
        <v>1321</v>
      </c>
      <c r="J60" s="134" t="s">
        <v>1467</v>
      </c>
      <c r="K60" s="114" t="s">
        <v>1472</v>
      </c>
      <c r="L60" s="114">
        <v>0</v>
      </c>
      <c r="M60" s="114" t="s">
        <v>45</v>
      </c>
      <c r="N60" s="195" t="s">
        <v>1558</v>
      </c>
      <c r="O60" s="114">
        <v>5</v>
      </c>
      <c r="P60" s="173">
        <v>0</v>
      </c>
      <c r="Q60" s="114" t="str" cm="1">
        <f t="array" ref="Q60">+_xlfn.IFS(O60="","",O60&lt;=1,"Baja",O60&lt;=3,"Media",O60&gt;3,"Alta")</f>
        <v>Alta</v>
      </c>
      <c r="R60" s="114" t="str" cm="1">
        <f t="array" ref="R60">+_xlfn.IFS(P60="","",P60&lt;=0,"Baja",P60&lt;=2,"Media",P60&gt;2,"Alta")</f>
        <v>Baja</v>
      </c>
      <c r="S60" s="114" t="str" cm="1">
        <f t="array" ref="S60">+_xlfn.IFS(N60="","",N60="Componentes existentes reutilizables &gt;80%","Baja",N60="No Aplica","Baja",N60="Reutilización parcial 30-70%","Media",N60="Nuevo Desarrollo &lt;20%","Alta")</f>
        <v>Media</v>
      </c>
      <c r="T60" s="114" t="str" cm="1">
        <f t="array" ref="T60">+_xlfn.IFS(L60="","",L60=0,"Baja",L60&lt;=2,"Media",L60&gt;=3,"Alta")</f>
        <v>Baja</v>
      </c>
      <c r="U60" s="114" cm="1">
        <f t="array" ref="U60">+IFERROR((+_xlfn.IFS(Q60="",0,Q60="Baja",1,Q60="Media",2,Q60="Alta",3)*'Scoring Complejidad'!$C$8+_xlfn.IFS(R60="Baja",1,R60="Media",2,R60="Alta",3)*'Scoring Complejidad'!$C$9+_xlfn.IFS(S60="Baja",1,S60="Media",2,S60="Alta",3)*'Scoring Complejidad'!$C$7+_xlfn.IFS(T60="",1,T60="Baja",1,T60="Media",2,T60="Alta",3)*'Scoring Complejidad'!$C$5+_xlfn.IFS(M60="Caja",1,M60="Configuración",2,M60="Desarrollo",3,M60="Desarrollo + Configuración",3,M60="No Aplica",0)*'Scoring Complejidad'!$C$6),"")</f>
        <v>2</v>
      </c>
      <c r="V60" s="134" t="str" cm="1">
        <f t="array" ref="V60">IFERROR(_xlfn.IFS(U60="","",U60&lt;=1.69,"Baja",U60&lt;=2.29,"Media",U60&lt;=3,"Alta",U60&gt;3,"Error"),"")</f>
        <v>Media</v>
      </c>
      <c r="W60" s="156">
        <v>46174</v>
      </c>
      <c r="X60" s="156">
        <v>46174</v>
      </c>
      <c r="Y60" s="156" t="s">
        <v>1477</v>
      </c>
      <c r="Z60" s="155" t="s">
        <v>1477</v>
      </c>
      <c r="AA60" s="155">
        <v>46237</v>
      </c>
      <c r="AB60" s="155">
        <v>46262</v>
      </c>
      <c r="AC60" s="113" t="s">
        <v>1702</v>
      </c>
      <c r="AD60" s="113"/>
    </row>
    <row r="61" spans="1:30" ht="69">
      <c r="A61" s="111" t="s">
        <v>388</v>
      </c>
      <c r="B61" s="111" t="s">
        <v>379</v>
      </c>
      <c r="C61" s="141" t="s">
        <v>1395</v>
      </c>
      <c r="D61" s="111" t="s">
        <v>18</v>
      </c>
      <c r="E61" s="111" t="s">
        <v>1187</v>
      </c>
      <c r="F61" s="112" t="s">
        <v>1396</v>
      </c>
      <c r="G61" s="112" t="s">
        <v>1397</v>
      </c>
      <c r="H61" s="112" t="s">
        <v>1392</v>
      </c>
      <c r="I61" s="112" t="s">
        <v>1315</v>
      </c>
      <c r="J61" s="133" t="s">
        <v>1467</v>
      </c>
      <c r="K61" s="112" t="s">
        <v>1472</v>
      </c>
      <c r="L61" s="112">
        <v>0</v>
      </c>
      <c r="M61" s="112" t="s">
        <v>45</v>
      </c>
      <c r="N61" s="194" t="s">
        <v>1558</v>
      </c>
      <c r="O61" s="112">
        <v>4</v>
      </c>
      <c r="P61" s="172">
        <v>0</v>
      </c>
      <c r="Q61" s="112" t="str" cm="1">
        <f t="array" ref="Q61">+_xlfn.IFS(O61="","",O61&lt;=1,"Baja",O61&lt;=3,"Media",O61&gt;3,"Alta")</f>
        <v>Alta</v>
      </c>
      <c r="R61" s="112" t="str" cm="1">
        <f t="array" ref="R61">+_xlfn.IFS(P61="","",P61&lt;=0,"Baja",P61&lt;=2,"Media",P61&gt;2,"Alta")</f>
        <v>Baja</v>
      </c>
      <c r="S61" s="112" t="str" cm="1">
        <f t="array" ref="S61">+_xlfn.IFS(N61="","",N61="Componentes existentes reutilizables &gt;80%","Baja",N61="No Aplica","Baja",N61="Reutilización parcial 30-70%","Media",N61="Nuevo Desarrollo &lt;20%","Alta")</f>
        <v>Media</v>
      </c>
      <c r="T61" s="112" t="str" cm="1">
        <f t="array" ref="T61">+_xlfn.IFS(L61="","",L61=0,"Baja",L61&lt;=2,"Media",L61&gt;=3,"Alta")</f>
        <v>Baja</v>
      </c>
      <c r="U61" s="112" cm="1">
        <f t="array" ref="U61">+IFERROR((+_xlfn.IFS(Q61="",0,Q61="Baja",1,Q61="Media",2,Q61="Alta",3)*'Scoring Complejidad'!$C$8+_xlfn.IFS(R61="Baja",1,R61="Media",2,R61="Alta",3)*'Scoring Complejidad'!$C$9+_xlfn.IFS(S61="Baja",1,S61="Media",2,S61="Alta",3)*'Scoring Complejidad'!$C$7+_xlfn.IFS(T61="",1,T61="Baja",1,T61="Media",2,T61="Alta",3)*'Scoring Complejidad'!$C$5+_xlfn.IFS(M61="Caja",1,M61="Configuración",2,M61="Desarrollo",3,M61="Desarrollo + Configuración",3,M61="No Aplica",0)*'Scoring Complejidad'!$C$6),"")</f>
        <v>2</v>
      </c>
      <c r="V61" s="133" t="str" cm="1">
        <f t="array" ref="V61">IFERROR(_xlfn.IFS(U61="","",U61&lt;=1.69,"Baja",U61&lt;=2.29,"Media",U61&lt;=3,"Alta",U61&gt;3,"Error"),"")</f>
        <v>Media</v>
      </c>
      <c r="W61" s="149">
        <v>46174</v>
      </c>
      <c r="X61" s="149">
        <v>46174</v>
      </c>
      <c r="Y61" s="149" t="s">
        <v>1477</v>
      </c>
      <c r="Z61" s="154" t="s">
        <v>1477</v>
      </c>
      <c r="AA61" s="196">
        <v>46237</v>
      </c>
      <c r="AB61" s="196">
        <v>46262</v>
      </c>
      <c r="AC61" s="111" t="s">
        <v>1703</v>
      </c>
      <c r="AD61" s="111"/>
    </row>
    <row r="62" spans="1:30" ht="57.5">
      <c r="A62" s="113" t="s">
        <v>391</v>
      </c>
      <c r="B62" s="113" t="s">
        <v>379</v>
      </c>
      <c r="C62" s="142" t="s">
        <v>1399</v>
      </c>
      <c r="D62" s="113" t="s">
        <v>18</v>
      </c>
      <c r="E62" s="113" t="s">
        <v>1248</v>
      </c>
      <c r="F62" s="114" t="s">
        <v>1400</v>
      </c>
      <c r="G62" s="114" t="s">
        <v>1401</v>
      </c>
      <c r="H62" s="114" t="s">
        <v>1402</v>
      </c>
      <c r="I62" s="114" t="s">
        <v>392</v>
      </c>
      <c r="J62" s="134" t="s">
        <v>1467</v>
      </c>
      <c r="K62" s="114" t="s">
        <v>1557</v>
      </c>
      <c r="L62" s="199" t="s">
        <v>1708</v>
      </c>
      <c r="M62" s="114" t="s">
        <v>1477</v>
      </c>
      <c r="N62" s="114" t="s">
        <v>1477</v>
      </c>
      <c r="O62" s="114">
        <v>2</v>
      </c>
      <c r="P62" s="173">
        <v>0</v>
      </c>
      <c r="Q62" s="114" t="str" cm="1">
        <f t="array" ref="Q62">+_xlfn.IFS(O62="","",O62&lt;=1,"Baja",O62&lt;=3,"Media",O62&gt;3,"Alta")</f>
        <v>Media</v>
      </c>
      <c r="R62" s="114" t="str" cm="1">
        <f t="array" ref="R62">+_xlfn.IFS(P62="","",P62&lt;=0,"Baja",P62&lt;=2,"Media",P62&gt;2,"Alta")</f>
        <v>Baja</v>
      </c>
      <c r="S62" s="114" t="str" cm="1">
        <f t="array" ref="S62">+_xlfn.IFS(N62="","",N62="Componentes existentes reutilizables &gt;80%","Baja",N62="No Aplica","Baja",N62="Reutilización parcial 30-70%","Media",N62="Nuevo Desarrollo &lt;20%","Alta")</f>
        <v>Baja</v>
      </c>
      <c r="T62" s="114" t="str" cm="1">
        <f t="array" ref="T62">+_xlfn.IFS(L62="","",L62=0,"Baja",L62&lt;=2,"Media",L62&gt;=3,"Alta")</f>
        <v>Alta</v>
      </c>
      <c r="U62" s="114" cm="1">
        <f t="array" ref="U62">+IFERROR((+_xlfn.IFS(Q62="",0,Q62="Baja",1,Q62="Media",2,Q62="Alta",3)*'Scoring Complejidad'!$C$8+_xlfn.IFS(R62="Baja",1,R62="Media",2,R62="Alta",3)*'Scoring Complejidad'!$C$9+_xlfn.IFS(S62="Baja",1,S62="Media",2,S62="Alta",3)*'Scoring Complejidad'!$C$7+_xlfn.IFS(T62="",1,T62="Baja",1,T62="Media",2,T62="Alta",3)*'Scoring Complejidad'!$C$5+_xlfn.IFS(M62="Caja",1,M62="Configuración",2,M62="Desarrollo",3,M62="Desarrollo + Configuración",3,M62="No Aplica",0)*'Scoring Complejidad'!$C$6),"")</f>
        <v>1.5</v>
      </c>
      <c r="V62" s="134" t="str" cm="1">
        <f t="array" ref="V62">IFERROR(_xlfn.IFS(U62="","",U62&lt;=1.69,"Baja",U62&lt;=2.29,"Media",U62&lt;=3,"Alta",U62&gt;3,"Error"),"")</f>
        <v>Baja</v>
      </c>
      <c r="W62" s="156">
        <v>46179</v>
      </c>
      <c r="X62" s="156">
        <v>46237</v>
      </c>
      <c r="Y62" s="156">
        <v>46238</v>
      </c>
      <c r="Z62" s="155">
        <v>46261</v>
      </c>
      <c r="AA62" s="155">
        <v>46244</v>
      </c>
      <c r="AB62" s="155">
        <v>46310</v>
      </c>
      <c r="AC62" s="113" t="s">
        <v>1706</v>
      </c>
      <c r="AD62" s="113"/>
    </row>
    <row r="63" spans="1:30" ht="126.5">
      <c r="A63" s="111" t="s">
        <v>1571</v>
      </c>
      <c r="B63" s="111" t="s">
        <v>162</v>
      </c>
      <c r="C63" s="111" t="s">
        <v>1424</v>
      </c>
      <c r="D63" s="111" t="s">
        <v>18</v>
      </c>
      <c r="E63" s="111" t="s">
        <v>1424</v>
      </c>
      <c r="F63" s="141" t="s">
        <v>1667</v>
      </c>
      <c r="G63" s="141" t="s">
        <v>1668</v>
      </c>
      <c r="H63" s="111" t="s">
        <v>1669</v>
      </c>
      <c r="I63" s="111" t="s">
        <v>1670</v>
      </c>
      <c r="J63" s="162" t="s">
        <v>1466</v>
      </c>
      <c r="K63" s="111" t="s">
        <v>1472</v>
      </c>
      <c r="L63" s="166">
        <v>0</v>
      </c>
      <c r="M63" s="111" t="s">
        <v>45</v>
      </c>
      <c r="N63" s="111" t="s">
        <v>1543</v>
      </c>
      <c r="O63" s="166">
        <v>12</v>
      </c>
      <c r="P63" s="166">
        <v>1</v>
      </c>
      <c r="Q63" s="111" t="str" cm="1">
        <f t="array" ref="Q63">+_xlfn.IFS(O63="","",O63&lt;=1,"Baja",O63&lt;=3,"Media",O63&gt;3,"Alta")</f>
        <v>Alta</v>
      </c>
      <c r="R63" s="111" t="str" cm="1">
        <f t="array" ref="R63">+_xlfn.IFS(P63="","",P63&lt;=0,"Baja",P63&lt;=2,"Media",P63&gt;2,"Alta")</f>
        <v>Media</v>
      </c>
      <c r="S63" s="111" t="str" cm="1">
        <f t="array" ref="S63">+_xlfn.IFS(N63="","",N63="Componentes existentes reutilizables &gt;80%","Baja",N63="No Aplica","Baja",N63="Reutilización parcial 30-70%","Media",N63="Nuevo Desarrollo &lt;20%","Alta")</f>
        <v>Alta</v>
      </c>
      <c r="T63" s="111" t="str" cm="1">
        <f t="array" ref="T63">+_xlfn.IFS(L63="","",L63=0,"Baja",L63&lt;=2,"Media",L63&gt;=3,"Alta")</f>
        <v>Baja</v>
      </c>
      <c r="U63" s="177" cm="1">
        <f t="array" ref="U63">+IFERROR((+_xlfn.IFS(Q63="",0,Q63="Baja",1,Q63="Media",2,Q63="Alta",3)*'Scoring Complejidad'!$C$8+_xlfn.IFS(R63="Baja",1,R63="Media",2,R63="Alta",3)*'Scoring Complejidad'!$C$9+_xlfn.IFS(S63="Baja",1,S63="Media",2,S63="Alta",3)*'Scoring Complejidad'!$C$7+_xlfn.IFS(T63="",1,T63="Baja",1,T63="Media",2,T63="Alta",3)*'Scoring Complejidad'!$C$5+_xlfn.IFS(M63="Caja",1,M63="Configuración",2,M63="Desarrollo",3,M63="Desarrollo + Configuración",3,M63="No Aplica",0)*'Scoring Complejidad'!$C$6),"")</f>
        <v>2.2999999999999998</v>
      </c>
      <c r="V63" s="162" t="str" cm="1">
        <f t="array" ref="V63">IFERROR(_xlfn.IFS(U63="","",U63&lt;=1.69,"Baja",U63&lt;=2.29,"Media",U63&lt;=3,"Alta",U63&gt;3,"Error"),"")</f>
        <v>Alta</v>
      </c>
      <c r="W63" s="154">
        <v>46181</v>
      </c>
      <c r="X63" s="154">
        <v>46192</v>
      </c>
      <c r="Y63" s="154">
        <v>46195</v>
      </c>
      <c r="Z63" s="154" t="s">
        <v>1575</v>
      </c>
      <c r="AA63" s="154">
        <v>46195</v>
      </c>
      <c r="AB63" s="154">
        <v>46241</v>
      </c>
      <c r="AC63" s="111" t="s">
        <v>1576</v>
      </c>
      <c r="AD63" s="154">
        <v>46238</v>
      </c>
    </row>
    <row r="64" spans="1:30" ht="115">
      <c r="A64" s="113" t="s">
        <v>1572</v>
      </c>
      <c r="B64" s="113" t="s">
        <v>162</v>
      </c>
      <c r="C64" s="113" t="s">
        <v>1418</v>
      </c>
      <c r="D64" s="113" t="s">
        <v>18</v>
      </c>
      <c r="E64" s="113" t="s">
        <v>1418</v>
      </c>
      <c r="F64" s="113" t="s">
        <v>1642</v>
      </c>
      <c r="G64" s="142" t="s">
        <v>1643</v>
      </c>
      <c r="H64" s="113" t="s">
        <v>1485</v>
      </c>
      <c r="I64" s="113" t="s">
        <v>1644</v>
      </c>
      <c r="J64" s="163" t="s">
        <v>1466</v>
      </c>
      <c r="K64" s="113" t="s">
        <v>1472</v>
      </c>
      <c r="L64" s="167">
        <v>0</v>
      </c>
      <c r="M64" s="113" t="s">
        <v>45</v>
      </c>
      <c r="N64" s="113" t="s">
        <v>1543</v>
      </c>
      <c r="O64" s="167">
        <v>4</v>
      </c>
      <c r="P64" s="167">
        <v>1</v>
      </c>
      <c r="Q64" s="113" t="str" cm="1">
        <f t="array" ref="Q64">+_xlfn.IFS(O64="","",O64&lt;=1,"Baja",O64&lt;=3,"Media",O64&gt;3,"Alta")</f>
        <v>Alta</v>
      </c>
      <c r="R64" s="113" t="str" cm="1">
        <f t="array" ref="R64">+_xlfn.IFS(P64="","",P64&lt;=0,"Baja",P64&lt;=2,"Media",P64&gt;2,"Alta")</f>
        <v>Media</v>
      </c>
      <c r="S64" s="113" t="str" cm="1">
        <f t="array" ref="S64">+_xlfn.IFS(N64="","",N64="Componentes existentes reutilizables &gt;80%","Baja",N64="No Aplica","Baja",N64="Reutilización parcial 30-70%","Media",N64="Nuevo Desarrollo &lt;20%","Alta")</f>
        <v>Alta</v>
      </c>
      <c r="T64" s="113" t="str" cm="1">
        <f t="array" ref="T64">+_xlfn.IFS(L64="","",L64=0,"Baja",L64&lt;=2,"Media",L64&gt;=3,"Alta")</f>
        <v>Baja</v>
      </c>
      <c r="U64" s="181" cm="1">
        <f t="array" ref="U64">+IFERROR((+_xlfn.IFS(Q64="",0,Q64="Baja",1,Q64="Media",2,Q64="Alta",3)*'Scoring Complejidad'!$C$8+_xlfn.IFS(R64="Baja",1,R64="Media",2,R64="Alta",3)*'Scoring Complejidad'!$C$9+_xlfn.IFS(S64="Baja",1,S64="Media",2,S64="Alta",3)*'Scoring Complejidad'!$C$7+_xlfn.IFS(T64="",1,T64="Baja",1,T64="Media",2,T64="Alta",3)*'Scoring Complejidad'!$C$5+_xlfn.IFS(M64="Caja",1,M64="Configuración",2,M64="Desarrollo",3,M64="Desarrollo + Configuración",3,M64="No Aplica",0)*'Scoring Complejidad'!$C$6),"")</f>
        <v>2.2999999999999998</v>
      </c>
      <c r="V64" s="163" t="str" cm="1">
        <f t="array" ref="V64">IFERROR(_xlfn.IFS(U64="","",U64&lt;=1.69,"Baja",U64&lt;=2.29,"Media",U64&lt;=3,"Alta",U64&gt;3,"Error"),"")</f>
        <v>Alta</v>
      </c>
      <c r="W64" s="155">
        <v>46181</v>
      </c>
      <c r="X64" s="155">
        <v>46192</v>
      </c>
      <c r="Y64" s="155">
        <v>46206</v>
      </c>
      <c r="Z64" s="155">
        <v>46210</v>
      </c>
      <c r="AA64" s="155">
        <v>46209</v>
      </c>
      <c r="AB64" s="155">
        <v>46241</v>
      </c>
      <c r="AC64" s="113" t="s">
        <v>1576</v>
      </c>
      <c r="AD64" s="155">
        <v>46238</v>
      </c>
    </row>
    <row r="65" spans="1:30" ht="103.5">
      <c r="A65" s="111" t="s">
        <v>1573</v>
      </c>
      <c r="B65" s="111" t="s">
        <v>162</v>
      </c>
      <c r="C65" s="111" t="s">
        <v>1420</v>
      </c>
      <c r="D65" s="111" t="s">
        <v>18</v>
      </c>
      <c r="E65" s="111" t="s">
        <v>1420</v>
      </c>
      <c r="F65" s="111" t="s">
        <v>1671</v>
      </c>
      <c r="G65" s="111" t="s">
        <v>1672</v>
      </c>
      <c r="H65" s="111" t="s">
        <v>1673</v>
      </c>
      <c r="I65" s="111" t="s">
        <v>1674</v>
      </c>
      <c r="J65" s="162" t="s">
        <v>1466</v>
      </c>
      <c r="K65" s="111" t="s">
        <v>1472</v>
      </c>
      <c r="L65" s="166">
        <v>0</v>
      </c>
      <c r="M65" s="111" t="s">
        <v>45</v>
      </c>
      <c r="N65" s="111" t="s">
        <v>1543</v>
      </c>
      <c r="O65" s="166">
        <v>10</v>
      </c>
      <c r="P65" s="166">
        <v>1</v>
      </c>
      <c r="Q65" s="111" t="str" cm="1">
        <f t="array" ref="Q65">+_xlfn.IFS(O65="","",O65&lt;=1,"Baja",O65&lt;=3,"Media",O65&gt;3,"Alta")</f>
        <v>Alta</v>
      </c>
      <c r="R65" s="111" t="str" cm="1">
        <f t="array" ref="R65">+_xlfn.IFS(P65="","",P65&lt;=0,"Baja",P65&lt;=2,"Media",P65&gt;2,"Alta")</f>
        <v>Media</v>
      </c>
      <c r="S65" s="111" t="str" cm="1">
        <f t="array" ref="S65">+_xlfn.IFS(N65="","",N65="Componentes existentes reutilizables &gt;80%","Baja",N65="No Aplica","Baja",N65="Reutilización parcial 30-70%","Media",N65="Nuevo Desarrollo &lt;20%","Alta")</f>
        <v>Alta</v>
      </c>
      <c r="T65" s="111" t="str" cm="1">
        <f t="array" ref="T65">+_xlfn.IFS(L65="","",L65=0,"Baja",L65&lt;=2,"Media",L65&gt;=3,"Alta")</f>
        <v>Baja</v>
      </c>
      <c r="U65" s="177" cm="1">
        <f t="array" ref="U65">+IFERROR((+_xlfn.IFS(Q65="",0,Q65="Baja",1,Q65="Media",2,Q65="Alta",3)*'Scoring Complejidad'!$C$8+_xlfn.IFS(R65="Baja",1,R65="Media",2,R65="Alta",3)*'Scoring Complejidad'!$C$9+_xlfn.IFS(S65="Baja",1,S65="Media",2,S65="Alta",3)*'Scoring Complejidad'!$C$7+_xlfn.IFS(T65="",1,T65="Baja",1,T65="Media",2,T65="Alta",3)*'Scoring Complejidad'!$C$5+_xlfn.IFS(M65="Caja",1,M65="Configuración",2,M65="Desarrollo",3,M65="Desarrollo + Configuración",3,M65="No Aplica",0)*'Scoring Complejidad'!$C$6),"")</f>
        <v>2.2999999999999998</v>
      </c>
      <c r="V65" s="162" t="str" cm="1">
        <f t="array" ref="V65">IFERROR(_xlfn.IFS(U65="","",U65&lt;=1.69,"Baja",U65&lt;=2.29,"Media",U65&lt;=3,"Alta",U65&gt;3,"Error"),"")</f>
        <v>Alta</v>
      </c>
      <c r="W65" s="154">
        <v>46181</v>
      </c>
      <c r="X65" s="154">
        <v>46192</v>
      </c>
      <c r="Y65" s="154">
        <v>46209</v>
      </c>
      <c r="Z65" s="154">
        <v>46220</v>
      </c>
      <c r="AA65" s="154">
        <v>46223</v>
      </c>
      <c r="AB65" s="154">
        <v>46241</v>
      </c>
      <c r="AC65" s="111" t="s">
        <v>1576</v>
      </c>
      <c r="AD65" s="154">
        <v>46238</v>
      </c>
    </row>
    <row r="66" spans="1:30" ht="77.5" customHeight="1">
      <c r="A66" s="158"/>
      <c r="B66" s="113" t="s">
        <v>162</v>
      </c>
      <c r="C66" s="114" t="s">
        <v>1580</v>
      </c>
      <c r="D66" s="113" t="s">
        <v>18</v>
      </c>
      <c r="E66" s="113" t="s">
        <v>1579</v>
      </c>
      <c r="F66" s="113" t="s">
        <v>1646</v>
      </c>
      <c r="G66" s="113" t="s">
        <v>1650</v>
      </c>
      <c r="H66" s="113" t="s">
        <v>1485</v>
      </c>
      <c r="I66" s="113" t="s">
        <v>1652</v>
      </c>
      <c r="J66" s="163" t="s">
        <v>1466</v>
      </c>
      <c r="K66" s="113" t="s">
        <v>1472</v>
      </c>
      <c r="L66" s="167">
        <v>0</v>
      </c>
      <c r="M66" s="113" t="s">
        <v>45</v>
      </c>
      <c r="N66" s="113" t="s">
        <v>1502</v>
      </c>
      <c r="O66" s="167">
        <v>7</v>
      </c>
      <c r="P66" s="167">
        <v>2</v>
      </c>
      <c r="Q66" s="111" t="str" cm="1">
        <f t="array" ref="Q66">+_xlfn.IFS(O66="","",O66&lt;=1,"Baja",O66&lt;=3,"Media",O66&gt;3,"Alta")</f>
        <v>Alta</v>
      </c>
      <c r="R66" s="111" t="str" cm="1">
        <f t="array" ref="R66">+_xlfn.IFS(P66="","",P66&lt;=0,"Baja",P66&lt;=2,"Media",P66&gt;2,"Alta")</f>
        <v>Media</v>
      </c>
      <c r="S66" s="111" t="str" cm="1">
        <f t="array" ref="S66">+_xlfn.IFS(N66="","",N66="Componentes existentes reutilizables &gt;80%","Baja",N66="No Aplica","Baja",N66="Reutilización parcial 30-70%","Media",N66="Nuevo Desarrollo &lt;20%","Alta")</f>
        <v>Baja</v>
      </c>
      <c r="T66" s="111" t="str" cm="1">
        <f t="array" ref="T66">+_xlfn.IFS(L66="","",L66=0,"Baja",L66&lt;=2,"Media",L66&gt;=3,"Alta")</f>
        <v>Baja</v>
      </c>
      <c r="U66" s="177" cm="1">
        <f t="array" ref="U66">+IFERROR((+_xlfn.IFS(Q66="",0,Q66="Baja",1,Q66="Media",2,Q66="Alta",3)*'Scoring Complejidad'!$C$8+_xlfn.IFS(R66="Baja",1,R66="Media",2,R66="Alta",3)*'Scoring Complejidad'!$C$9+_xlfn.IFS(S66="Baja",1,S66="Media",2,S66="Alta",3)*'Scoring Complejidad'!$C$7+_xlfn.IFS(T66="",1,T66="Baja",1,T66="Media",2,T66="Alta",3)*'Scoring Complejidad'!$C$5+_xlfn.IFS(M66="Caja",1,M66="Configuración",2,M66="Desarrollo",3,M66="Desarrollo + Configuración",3,M66="No Aplica",0)*'Scoring Complejidad'!$C$6),"")</f>
        <v>1.9</v>
      </c>
      <c r="V66" s="163" t="str" cm="1">
        <f t="array" ref="V66">IFERROR(_xlfn.IFS(U66="","",U66&lt;=1.69,"Baja",U66&lt;=2.29,"Media",U66&lt;=3,"Alta",U66&gt;3,"Error"),"")</f>
        <v>Media</v>
      </c>
      <c r="W66" s="155">
        <v>46223</v>
      </c>
      <c r="X66" s="155">
        <v>46234</v>
      </c>
      <c r="Y66" s="155">
        <v>46237</v>
      </c>
      <c r="Z66" s="155">
        <v>46239</v>
      </c>
      <c r="AA66" s="155">
        <v>46244</v>
      </c>
      <c r="AB66" s="155" t="s">
        <v>1583</v>
      </c>
      <c r="AC66" s="113" t="s">
        <v>1682</v>
      </c>
      <c r="AD66" s="155">
        <v>46238</v>
      </c>
    </row>
    <row r="67" spans="1:30" ht="67.5" customHeight="1">
      <c r="A67" s="158"/>
      <c r="B67" s="111" t="s">
        <v>162</v>
      </c>
      <c r="C67" s="112" t="s">
        <v>1581</v>
      </c>
      <c r="D67" s="111" t="s">
        <v>18</v>
      </c>
      <c r="E67" s="111" t="s">
        <v>1579</v>
      </c>
      <c r="F67" s="111" t="s">
        <v>1647</v>
      </c>
      <c r="G67" s="111" t="s">
        <v>1650</v>
      </c>
      <c r="H67" s="111" t="s">
        <v>1485</v>
      </c>
      <c r="I67" s="111" t="s">
        <v>1653</v>
      </c>
      <c r="J67" s="162" t="s">
        <v>1466</v>
      </c>
      <c r="K67" s="111" t="s">
        <v>1472</v>
      </c>
      <c r="L67" s="166">
        <v>0</v>
      </c>
      <c r="M67" s="111" t="s">
        <v>45</v>
      </c>
      <c r="N67" s="111" t="s">
        <v>1502</v>
      </c>
      <c r="O67" s="166">
        <v>6</v>
      </c>
      <c r="P67" s="166">
        <v>2</v>
      </c>
      <c r="Q67" s="111" t="str" cm="1">
        <f t="array" ref="Q67">+_xlfn.IFS(O67="","",O67&lt;=1,"Baja",O67&lt;=3,"Media",O67&gt;3,"Alta")</f>
        <v>Alta</v>
      </c>
      <c r="R67" s="111" t="str" cm="1">
        <f t="array" ref="R67">+_xlfn.IFS(P67="","",P67&lt;=0,"Baja",P67&lt;=2,"Media",P67&gt;2,"Alta")</f>
        <v>Media</v>
      </c>
      <c r="S67" s="111" t="str" cm="1">
        <f t="array" ref="S67">+_xlfn.IFS(N67="","",N67="Componentes existentes reutilizables &gt;80%","Baja",N67="No Aplica","Baja",N67="Reutilización parcial 30-70%","Media",N67="Nuevo Desarrollo &lt;20%","Alta")</f>
        <v>Baja</v>
      </c>
      <c r="T67" s="111" t="str" cm="1">
        <f t="array" ref="T67">+_xlfn.IFS(L67="","",L67=0,"Baja",L67&lt;=2,"Media",L67&gt;=3,"Alta")</f>
        <v>Baja</v>
      </c>
      <c r="U67" s="177" cm="1">
        <f t="array" ref="U67">+IFERROR((+_xlfn.IFS(Q67="",0,Q67="Baja",1,Q67="Media",2,Q67="Alta",3)*'Scoring Complejidad'!$C$8+_xlfn.IFS(R67="Baja",1,R67="Media",2,R67="Alta",3)*'Scoring Complejidad'!$C$9+_xlfn.IFS(S67="Baja",1,S67="Media",2,S67="Alta",3)*'Scoring Complejidad'!$C$7+_xlfn.IFS(T67="",1,T67="Baja",1,T67="Media",2,T67="Alta",3)*'Scoring Complejidad'!$C$5+_xlfn.IFS(M67="Caja",1,M67="Configuración",2,M67="Desarrollo",3,M67="Desarrollo + Configuración",3,M67="No Aplica",0)*'Scoring Complejidad'!$C$6),"")</f>
        <v>1.9</v>
      </c>
      <c r="V67" s="162" t="str" cm="1">
        <f t="array" ref="V67">IFERROR(_xlfn.IFS(U67="","",U67&lt;=1.69,"Baja",U67&lt;=2.29,"Media",U67&lt;=3,"Alta",U67&gt;3,"Error"),"")</f>
        <v>Media</v>
      </c>
      <c r="W67" s="154">
        <v>46223</v>
      </c>
      <c r="X67" s="154">
        <v>46234</v>
      </c>
      <c r="Y67" s="154">
        <v>46237</v>
      </c>
      <c r="Z67" s="154">
        <v>46239</v>
      </c>
      <c r="AA67" s="159" t="s">
        <v>1631</v>
      </c>
      <c r="AB67" s="159" t="s">
        <v>1631</v>
      </c>
      <c r="AC67" s="111" t="s">
        <v>1683</v>
      </c>
      <c r="AD67" s="154">
        <v>46238</v>
      </c>
    </row>
    <row r="68" spans="1:30" ht="80.5">
      <c r="A68" s="157"/>
      <c r="B68" s="160" t="s">
        <v>162</v>
      </c>
      <c r="C68" s="171" t="s">
        <v>1582</v>
      </c>
      <c r="D68" s="160" t="s">
        <v>18</v>
      </c>
      <c r="E68" s="160" t="s">
        <v>1579</v>
      </c>
      <c r="F68" s="160" t="s">
        <v>1648</v>
      </c>
      <c r="G68" s="186" t="s">
        <v>1650</v>
      </c>
      <c r="H68" s="160" t="s">
        <v>1485</v>
      </c>
      <c r="I68" s="160" t="s">
        <v>1653</v>
      </c>
      <c r="J68" s="164" t="s">
        <v>1466</v>
      </c>
      <c r="K68" s="160" t="s">
        <v>1472</v>
      </c>
      <c r="L68" s="168">
        <v>0</v>
      </c>
      <c r="M68" s="160" t="s">
        <v>45</v>
      </c>
      <c r="N68" s="160" t="s">
        <v>1502</v>
      </c>
      <c r="O68" s="168"/>
      <c r="P68" s="168">
        <v>2</v>
      </c>
      <c r="Q68" s="111" t="str" cm="1">
        <f t="array" ref="Q68">+_xlfn.IFS(O68="","",O68&lt;=1,"Baja",O68&lt;=3,"Media",O68&gt;3,"Alta")</f>
        <v/>
      </c>
      <c r="R68" s="111" t="str" cm="1">
        <f t="array" ref="R68">+_xlfn.IFS(P68="","",P68&lt;=0,"Baja",P68&lt;=2,"Media",P68&gt;2,"Alta")</f>
        <v>Media</v>
      </c>
      <c r="S68" s="111" t="str" cm="1">
        <f t="array" ref="S68">+_xlfn.IFS(N68="","",N68="Componentes existentes reutilizables &gt;80%","Baja",N68="No Aplica","Baja",N68="Reutilización parcial 30-70%","Media",N68="Nuevo Desarrollo &lt;20%","Alta")</f>
        <v>Baja</v>
      </c>
      <c r="T68" s="111" t="str" cm="1">
        <f t="array" ref="T68">+_xlfn.IFS(L68="","",L68=0,"Baja",L68&lt;=2,"Media",L68&gt;=3,"Alta")</f>
        <v>Baja</v>
      </c>
      <c r="U68" s="177" cm="1">
        <f t="array" ref="U68">+IFERROR((+_xlfn.IFS(Q68="",0,Q68="Baja",1,Q68="Media",2,Q68="Alta",3)*'Scoring Complejidad'!$C$8+_xlfn.IFS(R68="Baja",1,R68="Media",2,R68="Alta",3)*'Scoring Complejidad'!$C$9+_xlfn.IFS(S68="Baja",1,S68="Media",2,S68="Alta",3)*'Scoring Complejidad'!$C$7+_xlfn.IFS(T68="",1,T68="Baja",1,T68="Media",2,T68="Alta",3)*'Scoring Complejidad'!$C$5+_xlfn.IFS(M68="Caja",1,M68="Configuración",2,M68="Desarrollo",3,M68="Desarrollo + Configuración",3,M68="No Aplica",0)*'Scoring Complejidad'!$C$6),"")</f>
        <v>1.45</v>
      </c>
      <c r="V68" s="164" t="str" cm="1">
        <f t="array" ref="V68">IFERROR(_xlfn.IFS(U68="","",U68&lt;=1.69,"Baja",U68&lt;=2.29,"Media",U68&lt;=3,"Alta",U68&gt;3,"Error"),"")</f>
        <v>Baja</v>
      </c>
      <c r="W68" s="153">
        <v>46223</v>
      </c>
      <c r="X68" s="153">
        <v>46234</v>
      </c>
      <c r="Y68" s="153">
        <v>46237</v>
      </c>
      <c r="Z68" s="153">
        <v>46239</v>
      </c>
      <c r="AA68" s="159" t="s">
        <v>1631</v>
      </c>
      <c r="AB68" s="159" t="s">
        <v>1631</v>
      </c>
      <c r="AC68" s="160" t="s">
        <v>1684</v>
      </c>
      <c r="AD68" s="153">
        <v>46238</v>
      </c>
    </row>
    <row r="69" spans="1:30" ht="103.5">
      <c r="A69" s="161" t="s">
        <v>1584</v>
      </c>
      <c r="B69" s="161" t="s">
        <v>162</v>
      </c>
      <c r="C69" s="161" t="s">
        <v>1585</v>
      </c>
      <c r="D69" s="161" t="s">
        <v>18</v>
      </c>
      <c r="E69" s="161" t="s">
        <v>1585</v>
      </c>
      <c r="F69" s="161" t="s">
        <v>1645</v>
      </c>
      <c r="G69" s="187" t="s">
        <v>1649</v>
      </c>
      <c r="H69" s="161" t="s">
        <v>1485</v>
      </c>
      <c r="I69" s="161" t="s">
        <v>1651</v>
      </c>
      <c r="J69" s="165" t="s">
        <v>1466</v>
      </c>
      <c r="K69" s="161" t="s">
        <v>1472</v>
      </c>
      <c r="L69" s="169">
        <v>0</v>
      </c>
      <c r="M69" s="161" t="s">
        <v>45</v>
      </c>
      <c r="N69" s="161" t="s">
        <v>1543</v>
      </c>
      <c r="O69" s="169">
        <v>24</v>
      </c>
      <c r="P69" s="169">
        <v>1</v>
      </c>
      <c r="Q69" s="111" t="str" cm="1">
        <f t="array" ref="Q69">+_xlfn.IFS(O69="","",O69&lt;=1,"Baja",O69&lt;=3,"Media",O69&gt;3,"Alta")</f>
        <v>Alta</v>
      </c>
      <c r="R69" s="111" t="str" cm="1">
        <f t="array" ref="R69">+_xlfn.IFS(P69="","",P69&lt;=0,"Baja",P69&lt;=2,"Media",P69&gt;2,"Alta")</f>
        <v>Media</v>
      </c>
      <c r="S69" s="111" t="str" cm="1">
        <f t="array" ref="S69">+_xlfn.IFS(N69="","",N69="Componentes existentes reutilizables &gt;80%","Baja",N69="No Aplica","Baja",N69="Reutilización parcial 30-70%","Media",N69="Nuevo Desarrollo &lt;20%","Alta")</f>
        <v>Alta</v>
      </c>
      <c r="T69" s="111" t="str" cm="1">
        <f t="array" ref="T69">+_xlfn.IFS(L69="","",L69=0,"Baja",L69&lt;=2,"Media",L69&gt;=3,"Alta")</f>
        <v>Baja</v>
      </c>
      <c r="U69" s="177" cm="1">
        <f t="array" ref="U69">+IFERROR((+_xlfn.IFS(Q69="",0,Q69="Baja",1,Q69="Media",2,Q69="Alta",3)*'Scoring Complejidad'!$C$8+_xlfn.IFS(R69="Baja",1,R69="Media",2,R69="Alta",3)*'Scoring Complejidad'!$C$9+_xlfn.IFS(S69="Baja",1,S69="Media",2,S69="Alta",3)*'Scoring Complejidad'!$C$7+_xlfn.IFS(T69="",1,T69="Baja",1,T69="Media",2,T69="Alta",3)*'Scoring Complejidad'!$C$5+_xlfn.IFS(M69="Caja",1,M69="Configuración",2,M69="Desarrollo",3,M69="Desarrollo + Configuración",3,M69="No Aplica",0)*'Scoring Complejidad'!$C$6),"")</f>
        <v>2.2999999999999998</v>
      </c>
      <c r="V69" s="165" t="str" cm="1">
        <f t="array" ref="V69">IFERROR(_xlfn.IFS(U69="","",U69&lt;=1.69,"Baja",U69&lt;=2.29,"Media",U69&lt;=3,"Alta",U69&gt;3,"Error"),"")</f>
        <v>Alta</v>
      </c>
      <c r="W69" s="170">
        <v>46240</v>
      </c>
      <c r="X69" s="170">
        <v>46245</v>
      </c>
      <c r="Y69" s="170">
        <v>46246</v>
      </c>
      <c r="Z69" s="170">
        <v>46248</v>
      </c>
      <c r="AA69" s="170">
        <v>46251</v>
      </c>
      <c r="AB69" s="170">
        <v>46276</v>
      </c>
      <c r="AC69" s="161" t="s">
        <v>1590</v>
      </c>
      <c r="AD69" s="170">
        <v>46238</v>
      </c>
    </row>
    <row r="70" spans="1:30" ht="126.5">
      <c r="A70" s="160" t="s">
        <v>1586</v>
      </c>
      <c r="B70" s="160" t="s">
        <v>162</v>
      </c>
      <c r="C70" s="160" t="s">
        <v>1587</v>
      </c>
      <c r="D70" s="160" t="s">
        <v>18</v>
      </c>
      <c r="E70" s="160" t="s">
        <v>1587</v>
      </c>
      <c r="F70" s="160" t="s">
        <v>1654</v>
      </c>
      <c r="G70" s="186" t="s">
        <v>1655</v>
      </c>
      <c r="H70" s="160" t="s">
        <v>1485</v>
      </c>
      <c r="I70" s="160" t="s">
        <v>1656</v>
      </c>
      <c r="J70" s="164" t="s">
        <v>1466</v>
      </c>
      <c r="K70" s="160" t="s">
        <v>1472</v>
      </c>
      <c r="L70" s="168">
        <v>0</v>
      </c>
      <c r="M70" s="160" t="s">
        <v>45</v>
      </c>
      <c r="N70" s="160" t="s">
        <v>1502</v>
      </c>
      <c r="O70" s="168">
        <v>4</v>
      </c>
      <c r="P70" s="168">
        <v>3</v>
      </c>
      <c r="Q70" s="111" t="str" cm="1">
        <f t="array" ref="Q70">+_xlfn.IFS(O70="","",O70&lt;=1,"Baja",O70&lt;=3,"Media",O70&gt;3,"Alta")</f>
        <v>Alta</v>
      </c>
      <c r="R70" s="111" t="str" cm="1">
        <f t="array" ref="R70">+_xlfn.IFS(P70="","",P70&lt;=0,"Baja",P70&lt;=2,"Media",P70&gt;2,"Alta")</f>
        <v>Alta</v>
      </c>
      <c r="S70" s="111" t="str" cm="1">
        <f t="array" ref="S70">+_xlfn.IFS(N70="","",N70="Componentes existentes reutilizables &gt;80%","Baja",N70="No Aplica","Baja",N70="Reutilización parcial 30-70%","Media",N70="Nuevo Desarrollo &lt;20%","Alta")</f>
        <v>Baja</v>
      </c>
      <c r="T70" s="111" t="str" cm="1">
        <f t="array" ref="T70">+_xlfn.IFS(L70="","",L70=0,"Baja",L70&lt;=2,"Media",L70&gt;=3,"Alta")</f>
        <v>Baja</v>
      </c>
      <c r="U70" s="177" cm="1">
        <f t="array" ref="U70">+IFERROR((+_xlfn.IFS(Q70="",0,Q70="Baja",1,Q70="Media",2,Q70="Alta",3)*'Scoring Complejidad'!$C$8+_xlfn.IFS(R70="Baja",1,R70="Media",2,R70="Alta",3)*'Scoring Complejidad'!$C$9+_xlfn.IFS(S70="Baja",1,S70="Media",2,S70="Alta",3)*'Scoring Complejidad'!$C$7+_xlfn.IFS(T70="",1,T70="Baja",1,T70="Media",2,T70="Alta",3)*'Scoring Complejidad'!$C$5+_xlfn.IFS(M70="Caja",1,M70="Configuración",2,M70="Desarrollo",3,M70="Desarrollo + Configuración",3,M70="No Aplica",0)*'Scoring Complejidad'!$C$6),"")</f>
        <v>2</v>
      </c>
      <c r="V70" s="164" t="str" cm="1">
        <f t="array" ref="V70">IFERROR(_xlfn.IFS(U70="","",U70&lt;=1.69,"Baja",U70&lt;=2.29,"Media",U70&lt;=3,"Alta",U70&gt;3,"Error"),"")</f>
        <v>Media</v>
      </c>
      <c r="W70" s="153">
        <v>46251</v>
      </c>
      <c r="X70" s="153">
        <v>46255</v>
      </c>
      <c r="Y70" s="153">
        <v>46258</v>
      </c>
      <c r="Z70" s="153">
        <v>46262</v>
      </c>
      <c r="AA70" s="153">
        <v>46265</v>
      </c>
      <c r="AB70" s="153">
        <v>46276</v>
      </c>
      <c r="AC70" s="160" t="s">
        <v>1591</v>
      </c>
      <c r="AD70" s="153">
        <v>46238</v>
      </c>
    </row>
    <row r="71" spans="1:30" ht="138">
      <c r="A71" s="111" t="s">
        <v>1678</v>
      </c>
      <c r="B71" s="111" t="s">
        <v>162</v>
      </c>
      <c r="C71" s="111" t="s">
        <v>1578</v>
      </c>
      <c r="D71" s="111" t="s">
        <v>18</v>
      </c>
      <c r="E71" s="111" t="s">
        <v>1578</v>
      </c>
      <c r="F71" s="111" t="s">
        <v>1679</v>
      </c>
      <c r="G71" s="141" t="s">
        <v>1680</v>
      </c>
      <c r="H71" s="111" t="s">
        <v>1485</v>
      </c>
      <c r="I71" s="111" t="s">
        <v>1681</v>
      </c>
      <c r="J71" s="162" t="s">
        <v>1466</v>
      </c>
      <c r="K71" s="111" t="s">
        <v>1472</v>
      </c>
      <c r="L71" s="166">
        <v>0</v>
      </c>
      <c r="M71" s="111" t="s">
        <v>45</v>
      </c>
      <c r="N71" s="111" t="s">
        <v>1543</v>
      </c>
      <c r="O71" s="166">
        <v>2</v>
      </c>
      <c r="P71" s="166">
        <v>1</v>
      </c>
      <c r="Q71" s="111" t="str" cm="1">
        <f t="array" ref="Q71">+_xlfn.IFS(O71="","",O71&lt;=1,"Baja",O71&lt;=3,"Media",O71&gt;3,"Alta")</f>
        <v>Media</v>
      </c>
      <c r="R71" s="111" t="str" cm="1">
        <f t="array" ref="R71">+_xlfn.IFS(P71="","",P71&lt;=0,"Baja",P71&lt;=2,"Media",P71&gt;2,"Alta")</f>
        <v>Media</v>
      </c>
      <c r="S71" s="111" t="str" cm="1">
        <f t="array" ref="S71">+_xlfn.IFS(N71="","",N71="Componentes existentes reutilizables &gt;80%","Baja",N71="No Aplica","Baja",N71="Reutilización parcial 30-70%","Media",N71="Nuevo Desarrollo &lt;20%","Alta")</f>
        <v>Alta</v>
      </c>
      <c r="T71" s="111" t="str" cm="1">
        <f t="array" ref="T71">+_xlfn.IFS(L71="","",L71=0,"Baja",L71&lt;=2,"Media",L71&gt;=3,"Alta")</f>
        <v>Baja</v>
      </c>
      <c r="U71" s="177" cm="1">
        <f t="array" ref="U71">+IFERROR((+_xlfn.IFS(Q71="",0,Q71="Baja",1,Q71="Media",2,Q71="Alta",3)*'Scoring Complejidad'!$C$8+_xlfn.IFS(R71="Baja",1,R71="Media",2,R71="Alta",3)*'Scoring Complejidad'!$C$9+_xlfn.IFS(S71="Baja",1,S71="Media",2,S71="Alta",3)*'Scoring Complejidad'!$C$7+_xlfn.IFS(T71="",1,T71="Baja",1,T71="Media",2,T71="Alta",3)*'Scoring Complejidad'!$C$5+_xlfn.IFS(M71="Caja",1,M71="Configuración",2,M71="Desarrollo",3,M71="Desarrollo + Configuración",3,M71="No Aplica",0)*'Scoring Complejidad'!$C$6),"")</f>
        <v>2.1500000000000004</v>
      </c>
      <c r="V71" s="162" t="str" cm="1">
        <f t="array" ref="V71">IFERROR(_xlfn.IFS(U71="","",U71&lt;=1.69,"Baja",U71&lt;=2.29,"Media",U71&lt;=3,"Alta",U71&gt;3,"Error"),"")</f>
        <v>Media</v>
      </c>
      <c r="W71" s="154">
        <v>46265</v>
      </c>
      <c r="X71" s="154">
        <v>46269</v>
      </c>
      <c r="Y71" s="154">
        <v>46272</v>
      </c>
      <c r="Z71" s="154">
        <v>46276</v>
      </c>
      <c r="AA71" s="154">
        <v>46279</v>
      </c>
      <c r="AB71" s="154">
        <v>46304</v>
      </c>
      <c r="AC71" s="111" t="s">
        <v>1590</v>
      </c>
      <c r="AD71" s="154">
        <v>46238</v>
      </c>
    </row>
    <row r="72" spans="1:30" ht="103.5">
      <c r="A72" s="160" t="s">
        <v>1588</v>
      </c>
      <c r="B72" s="160" t="s">
        <v>162</v>
      </c>
      <c r="C72" s="160" t="s">
        <v>1589</v>
      </c>
      <c r="D72" s="160" t="s">
        <v>18</v>
      </c>
      <c r="E72" s="160" t="s">
        <v>1589</v>
      </c>
      <c r="F72" s="160" t="s">
        <v>1639</v>
      </c>
      <c r="G72" s="186" t="s">
        <v>1640</v>
      </c>
      <c r="H72" s="160" t="s">
        <v>1485</v>
      </c>
      <c r="I72" s="160" t="s">
        <v>1641</v>
      </c>
      <c r="J72" s="164" t="s">
        <v>1466</v>
      </c>
      <c r="K72" s="160" t="s">
        <v>1559</v>
      </c>
      <c r="L72" s="168">
        <v>1</v>
      </c>
      <c r="M72" s="160" t="s">
        <v>45</v>
      </c>
      <c r="N72" s="160" t="s">
        <v>1543</v>
      </c>
      <c r="O72" s="168">
        <v>7</v>
      </c>
      <c r="P72" s="168">
        <v>1</v>
      </c>
      <c r="Q72" s="111" t="str" cm="1">
        <f t="array" ref="Q72">+_xlfn.IFS(O72="","",O72&lt;=1,"Baja",O72&lt;=3,"Media",O72&gt;3,"Alta")</f>
        <v>Alta</v>
      </c>
      <c r="R72" s="111" t="str" cm="1">
        <f t="array" ref="R72">+_xlfn.IFS(P72="","",P72&lt;=0,"Baja",P72&lt;=2,"Media",P72&gt;2,"Alta")</f>
        <v>Media</v>
      </c>
      <c r="S72" s="111" t="str" cm="1">
        <f t="array" ref="S72">+_xlfn.IFS(N72="","",N72="Componentes existentes reutilizables &gt;80%","Baja",N72="No Aplica","Baja",N72="Reutilización parcial 30-70%","Media",N72="Nuevo Desarrollo &lt;20%","Alta")</f>
        <v>Alta</v>
      </c>
      <c r="T72" s="111" t="str" cm="1">
        <f t="array" ref="T72">+_xlfn.IFS(L72="","",L72=0,"Baja",L72&lt;=2,"Media",L72&gt;=3,"Alta")</f>
        <v>Media</v>
      </c>
      <c r="U72" s="177" cm="1">
        <f t="array" ref="U72">+IFERROR((+_xlfn.IFS(Q72="",0,Q72="Baja",1,Q72="Media",2,Q72="Alta",3)*'Scoring Complejidad'!$C$8+_xlfn.IFS(R72="Baja",1,R72="Media",2,R72="Alta",3)*'Scoring Complejidad'!$C$9+_xlfn.IFS(S72="Baja",1,S72="Media",2,S72="Alta",3)*'Scoring Complejidad'!$C$7+_xlfn.IFS(T72="",1,T72="Baja",1,T72="Media",2,T72="Alta",3)*'Scoring Complejidad'!$C$5+_xlfn.IFS(M72="Caja",1,M72="Configuración",2,M72="Desarrollo",3,M72="Desarrollo + Configuración",3,M72="No Aplica",0)*'Scoring Complejidad'!$C$6),"")</f>
        <v>2.6</v>
      </c>
      <c r="V72" s="164" t="str" cm="1">
        <f t="array" ref="V72">IFERROR(_xlfn.IFS(U72="","",U72&lt;=1.69,"Baja",U72&lt;=2.29,"Media",U72&lt;=3,"Alta",U72&gt;3,"Error"),"")</f>
        <v>Alta</v>
      </c>
      <c r="W72" s="153">
        <v>46279</v>
      </c>
      <c r="X72" s="153">
        <v>46290</v>
      </c>
      <c r="Y72" s="153">
        <v>46293</v>
      </c>
      <c r="Z72" s="153">
        <v>46304</v>
      </c>
      <c r="AA72" s="153">
        <v>46307</v>
      </c>
      <c r="AB72" s="153">
        <v>46332</v>
      </c>
      <c r="AC72" s="160" t="s">
        <v>1590</v>
      </c>
      <c r="AD72" s="153">
        <v>46238</v>
      </c>
    </row>
    <row r="73" spans="1:30" ht="43" customHeight="1">
      <c r="A73" s="161" t="s">
        <v>1600</v>
      </c>
      <c r="B73" s="161" t="s">
        <v>162</v>
      </c>
      <c r="C73" s="161" t="s">
        <v>1601</v>
      </c>
      <c r="D73" s="161" t="s">
        <v>18</v>
      </c>
      <c r="E73" s="161" t="s">
        <v>1601</v>
      </c>
      <c r="F73" s="161" t="s">
        <v>1688</v>
      </c>
      <c r="G73" s="187" t="s">
        <v>1689</v>
      </c>
      <c r="H73" s="161" t="s">
        <v>1485</v>
      </c>
      <c r="I73" s="161" t="s">
        <v>1677</v>
      </c>
      <c r="J73" s="162" t="s">
        <v>1466</v>
      </c>
      <c r="K73" s="111" t="s">
        <v>1472</v>
      </c>
      <c r="L73" s="166">
        <v>0</v>
      </c>
      <c r="M73" s="111" t="s">
        <v>45</v>
      </c>
      <c r="N73" s="111" t="s">
        <v>1543</v>
      </c>
      <c r="O73" s="169">
        <v>1</v>
      </c>
      <c r="P73" s="169">
        <v>0</v>
      </c>
      <c r="Q73" s="111" t="str" cm="1">
        <f t="array" ref="Q73">+_xlfn.IFS(O73="","",O73&lt;=1,"Baja",O73&lt;=3,"Media",O73&gt;3,"Alta")</f>
        <v>Baja</v>
      </c>
      <c r="R73" s="156" t="str" cm="1">
        <f t="array" ref="R73">+_xlfn.IFS(P73="","",P73&lt;=0,"Baja",P73&lt;=2,"Media",P73&gt;2,"Alta")</f>
        <v>Baja</v>
      </c>
      <c r="S73" s="156" t="str" cm="1">
        <f t="array" ref="S73">+_xlfn.IFS(N73="","",N73="Componentes existentes reutilizables &gt;80%","Baja",N73="No Aplica","Baja",N73="Reutilización parcial 30-70%","Media",N73="Nuevo Desarrollo &lt;20%","Alta")</f>
        <v>Alta</v>
      </c>
      <c r="T73" s="156" t="str" cm="1">
        <f t="array" ref="T73">+_xlfn.IFS(L73="","",L73=0,"Baja",L73&lt;=2,"Media",L73&gt;=3,"Alta")</f>
        <v>Baja</v>
      </c>
      <c r="U73" s="176" cm="1">
        <f t="array" ref="U73">+IFERROR((+_xlfn.IFS(Q73="",0,Q73="Baja",1,Q73="Media",2,Q73="Alta",3)*'Scoring Complejidad'!$C$8+_xlfn.IFS(R73="Baja",1,R73="Media",2,R73="Alta",3)*'Scoring Complejidad'!$C$9+_xlfn.IFS(S73="Baja",1,S73="Media",2,S73="Alta",3)*'Scoring Complejidad'!$C$7+_xlfn.IFS(T73="",1,T73="Baja",1,T73="Media",2,T73="Alta",3)*'Scoring Complejidad'!$C$5+_xlfn.IFS(M73="Caja",1,M73="Configuración",2,M73="Desarrollo",3,M73="Desarrollo + Configuración",3,M73="No Aplica",0)*'Scoring Complejidad'!$C$6),"")</f>
        <v>1.9000000000000001</v>
      </c>
      <c r="V73" s="165" t="str" cm="1">
        <f t="array" ref="V73">IFERROR(_xlfn.IFS(U73="","",U73&lt;=1.69,"Baja",U73&lt;=2.29,"Media",U73&lt;=3,"Alta",U73&gt;3,"Error"),"")</f>
        <v>Media</v>
      </c>
      <c r="W73" s="174" t="s">
        <v>1623</v>
      </c>
      <c r="X73" s="174" t="s">
        <v>1623</v>
      </c>
      <c r="Y73" s="174" t="s">
        <v>1623</v>
      </c>
      <c r="Z73" s="174" t="s">
        <v>1623</v>
      </c>
      <c r="AA73" s="170">
        <v>46321</v>
      </c>
      <c r="AB73" s="170">
        <v>46332</v>
      </c>
      <c r="AC73" s="161" t="s">
        <v>1622</v>
      </c>
      <c r="AD73" s="170">
        <v>46240</v>
      </c>
    </row>
    <row r="74" spans="1:30" ht="103.5">
      <c r="A74" s="160" t="s">
        <v>1603</v>
      </c>
      <c r="B74" s="160" t="s">
        <v>162</v>
      </c>
      <c r="C74" s="160" t="s">
        <v>1602</v>
      </c>
      <c r="D74" s="160" t="s">
        <v>18</v>
      </c>
      <c r="E74" s="160" t="s">
        <v>1602</v>
      </c>
      <c r="F74" s="186" t="s">
        <v>1664</v>
      </c>
      <c r="G74" s="186" t="s">
        <v>1665</v>
      </c>
      <c r="H74" s="160" t="s">
        <v>1485</v>
      </c>
      <c r="I74" s="160" t="s">
        <v>1666</v>
      </c>
      <c r="J74" s="164" t="s">
        <v>1466</v>
      </c>
      <c r="K74" s="160" t="s">
        <v>1557</v>
      </c>
      <c r="L74" s="168">
        <v>1</v>
      </c>
      <c r="M74" s="160" t="s">
        <v>1477</v>
      </c>
      <c r="N74" s="160" t="s">
        <v>1477</v>
      </c>
      <c r="O74" s="168">
        <v>0</v>
      </c>
      <c r="P74" s="168">
        <v>0</v>
      </c>
      <c r="Q74" s="111" t="str" cm="1">
        <f t="array" ref="Q74">+_xlfn.IFS(O74="","",O74&lt;=1,"Baja",O74&lt;=3,"Media",O74&gt;3,"Alta")</f>
        <v>Baja</v>
      </c>
      <c r="R74" s="149" t="str" cm="1">
        <f t="array" ref="R74">+_xlfn.IFS(P74="","",P74&lt;=0,"Baja",P74&lt;=2,"Media",P74&gt;2,"Alta")</f>
        <v>Baja</v>
      </c>
      <c r="S74" s="149" t="str" cm="1">
        <f t="array" ref="S74">+_xlfn.IFS(N74="","",N74="Componentes existentes reutilizables &gt;80%","Baja",N74="No Aplica","Baja",N74="Reutilización parcial 30-70%","Media",N74="Nuevo Desarrollo &lt;20%","Alta")</f>
        <v>Baja</v>
      </c>
      <c r="T74" s="149" t="str" cm="1">
        <f t="array" ref="T74">+_xlfn.IFS(L74="","",L74=0,"Baja",L74&lt;=2,"Media",L74&gt;=3,"Alta")</f>
        <v>Media</v>
      </c>
      <c r="U74" s="177" cm="1">
        <f t="array" ref="U74">+IFERROR((+_xlfn.IFS(Q74="",0,Q74="Baja",1,Q74="Media",2,Q74="Alta",3)*'Scoring Complejidad'!$C$8+_xlfn.IFS(R74="Baja",1,R74="Media",2,R74="Alta",3)*'Scoring Complejidad'!$C$9+_xlfn.IFS(S74="Baja",1,S74="Media",2,S74="Alta",3)*'Scoring Complejidad'!$C$7+_xlfn.IFS(T74="",1,T74="Baja",1,T74="Media",2,T74="Alta",3)*'Scoring Complejidad'!$C$5+_xlfn.IFS(M74="Caja",1,M74="Configuración",2,M74="Desarrollo",3,M74="Desarrollo + Configuración",3,M74="No Aplica",0)*'Scoring Complejidad'!$C$6),"")</f>
        <v>1.05</v>
      </c>
      <c r="V74" s="164" t="str" cm="1">
        <f t="array" ref="V74">IFERROR(_xlfn.IFS(U74="","",U74&lt;=1.69,"Baja",U74&lt;=2.29,"Media",U74&lt;=3,"Alta",U74&gt;3,"Error"),"")</f>
        <v>Baja</v>
      </c>
      <c r="W74" s="153">
        <v>46279</v>
      </c>
      <c r="X74" s="153">
        <v>46290</v>
      </c>
      <c r="Y74" s="153">
        <v>46293</v>
      </c>
      <c r="Z74" s="153">
        <v>46304</v>
      </c>
      <c r="AA74" s="153">
        <v>46307</v>
      </c>
      <c r="AB74" s="153">
        <v>46332</v>
      </c>
      <c r="AC74" s="160" t="s">
        <v>1624</v>
      </c>
      <c r="AD74" s="153">
        <v>46240</v>
      </c>
    </row>
    <row r="75" spans="1:30" ht="59.5" customHeight="1">
      <c r="A75" s="157" t="s">
        <v>1717</v>
      </c>
      <c r="B75" s="161" t="s">
        <v>162</v>
      </c>
      <c r="C75" s="161" t="s">
        <v>1604</v>
      </c>
      <c r="D75" s="161" t="s">
        <v>18</v>
      </c>
      <c r="E75" s="161" t="s">
        <v>1604</v>
      </c>
      <c r="F75" s="161"/>
      <c r="G75" s="161"/>
      <c r="H75" s="161" t="s">
        <v>1485</v>
      </c>
      <c r="I75" s="161" t="s">
        <v>1666</v>
      </c>
      <c r="J75" s="162" t="s">
        <v>1466</v>
      </c>
      <c r="K75" s="111" t="s">
        <v>1557</v>
      </c>
      <c r="L75" s="166">
        <v>1</v>
      </c>
      <c r="M75" s="111" t="s">
        <v>1477</v>
      </c>
      <c r="N75" s="111" t="s">
        <v>1477</v>
      </c>
      <c r="O75" s="169">
        <v>0</v>
      </c>
      <c r="P75" s="169">
        <v>0</v>
      </c>
      <c r="Q75" s="156" t="str" cm="1">
        <f t="array" ref="Q75">+_xlfn.IFS(O75="","",O75&lt;=1,"Baja",O75&lt;=3,"Media",O75&gt;3,"Alta")</f>
        <v>Baja</v>
      </c>
      <c r="R75" s="156" t="str" cm="1">
        <f t="array" ref="R75">+_xlfn.IFS(P75="","",P75&lt;=0,"Baja",P75&lt;=2,"Media",P75&gt;2,"Alta")</f>
        <v>Baja</v>
      </c>
      <c r="S75" s="111" t="str" cm="1">
        <f t="array" ref="S75">+_xlfn.IFS(N75="","",N75="Componentes existentes reutilizables &gt;80%","Baja",N75="No Aplica","Baja",N75="Reutilización parcial 30-70%","Media",N75="Nuevo Desarrollo &lt;20%","Alta")</f>
        <v>Baja</v>
      </c>
      <c r="T75" s="182" t="str" cm="1">
        <f t="array" ref="T75">+_xlfn.IFS(L75="","",L75=0,"Baja",L75&lt;=2,"Media",L75&gt;=3,"Alta")</f>
        <v>Media</v>
      </c>
      <c r="U75" s="183" cm="1">
        <f t="array" ref="U75">+IFERROR((+_xlfn.IFS(Q75="",0,Q75="Baja",1,Q75="Media",2,Q75="Alta",3)*'Scoring Complejidad'!$C$8+_xlfn.IFS(R75="Baja",1,R75="Media",2,R75="Alta",3)*'Scoring Complejidad'!$C$9+_xlfn.IFS(S75="Baja",1,S75="Media",2,S75="Alta",3)*'Scoring Complejidad'!$C$7+_xlfn.IFS(T75="",1,T75="Baja",1,T75="Media",2,T75="Alta",3)*'Scoring Complejidad'!$C$5+_xlfn.IFS(M75="Caja",1,M75="Configuración",2,M75="Desarrollo",3,M75="Desarrollo + Configuración",3,M75="No Aplica",0)*'Scoring Complejidad'!$C$6),"")</f>
        <v>1.05</v>
      </c>
      <c r="V75" s="165" t="str" cm="1">
        <f t="array" ref="V75">IFERROR(_xlfn.IFS(U75="","",U75&lt;=1.69,"Baja",U75&lt;=2.29,"Media",U75&lt;=3,"Alta",U75&gt;3,"Error"),"")</f>
        <v>Baja</v>
      </c>
      <c r="W75" s="170">
        <v>46279</v>
      </c>
      <c r="X75" s="170">
        <v>46290</v>
      </c>
      <c r="Y75" s="170">
        <v>46293</v>
      </c>
      <c r="Z75" s="170">
        <v>46304</v>
      </c>
      <c r="AA75" s="170">
        <v>46321</v>
      </c>
      <c r="AB75" s="170">
        <v>46332</v>
      </c>
      <c r="AC75" s="161" t="s">
        <v>1626</v>
      </c>
      <c r="AD75" s="170">
        <v>46240</v>
      </c>
    </row>
    <row r="76" spans="1:30" ht="43" customHeight="1">
      <c r="A76" s="160" t="s">
        <v>1605</v>
      </c>
      <c r="B76" s="160" t="s">
        <v>162</v>
      </c>
      <c r="C76" s="160" t="s">
        <v>1616</v>
      </c>
      <c r="D76" s="160" t="s">
        <v>18</v>
      </c>
      <c r="E76" s="160" t="s">
        <v>1616</v>
      </c>
      <c r="F76" s="160" t="s">
        <v>1686</v>
      </c>
      <c r="G76" s="186" t="s">
        <v>1687</v>
      </c>
      <c r="H76" s="160" t="s">
        <v>1485</v>
      </c>
      <c r="I76" s="160" t="s">
        <v>1666</v>
      </c>
      <c r="J76" s="164" t="s">
        <v>1466</v>
      </c>
      <c r="K76" s="160" t="s">
        <v>1557</v>
      </c>
      <c r="L76" s="168">
        <v>1</v>
      </c>
      <c r="M76" s="160" t="s">
        <v>1477</v>
      </c>
      <c r="N76" s="160" t="s">
        <v>1477</v>
      </c>
      <c r="O76" s="168">
        <v>0</v>
      </c>
      <c r="P76" s="168">
        <v>0</v>
      </c>
      <c r="Q76" s="113" t="str" cm="1">
        <f t="array" ref="Q76">+_xlfn.IFS(O76="","",O76&lt;=1,"Baja",O76&lt;=3,"Media",O76&gt;3,"Alta")</f>
        <v>Baja</v>
      </c>
      <c r="R76" s="113" t="str" cm="1">
        <f t="array" ref="R76">+_xlfn.IFS(P76="","",P76&lt;=0,"Baja",P76&lt;=2,"Media",P76&gt;2,"Alta")</f>
        <v>Baja</v>
      </c>
      <c r="S76" s="113" t="str" cm="1">
        <f t="array" ref="S76">+_xlfn.IFS(N76="","",N76="Componentes existentes reutilizables &gt;80%","Baja",N76="No Aplica","Baja",N76="Reutilización parcial 30-70%","Media",N76="Nuevo Desarrollo &lt;20%","Alta")</f>
        <v>Baja</v>
      </c>
      <c r="T76" s="113" t="str" cm="1">
        <f t="array" ref="T76">+_xlfn.IFS(L76="","",L76=0,"Baja",L76&lt;=2,"Media",L76&gt;=3,"Alta")</f>
        <v>Media</v>
      </c>
      <c r="U76" s="181" cm="1">
        <f t="array" ref="U76">+IFERROR((+_xlfn.IFS(Q76="",0,Q76="Baja",1,Q76="Media",2,Q76="Alta",3)*'Scoring Complejidad'!$C$8+_xlfn.IFS(R76="Baja",1,R76="Media",2,R76="Alta",3)*'Scoring Complejidad'!$C$9+_xlfn.IFS(S76="Baja",1,S76="Media",2,S76="Alta",3)*'Scoring Complejidad'!$C$7+_xlfn.IFS(T76="",1,T76="Baja",1,T76="Media",2,T76="Alta",3)*'Scoring Complejidad'!$C$5+_xlfn.IFS(M76="Caja",1,M76="Configuración",2,M76="Desarrollo",3,M76="Desarrollo + Configuración",3,M76="No Aplica",0)*'Scoring Complejidad'!$C$6),"")</f>
        <v>1.05</v>
      </c>
      <c r="V76" s="163" t="str" cm="1">
        <f t="array" ref="V76">IFERROR(_xlfn.IFS(U76="","",U76&lt;=1.69,"Baja",U76&lt;=2.29,"Media",U76&lt;=3,"Alta",U76&gt;3,"Error"),"")</f>
        <v>Baja</v>
      </c>
      <c r="W76" s="153">
        <v>46279</v>
      </c>
      <c r="X76" s="153">
        <v>46290</v>
      </c>
      <c r="Y76" s="153">
        <v>46293</v>
      </c>
      <c r="Z76" s="153">
        <v>46304</v>
      </c>
      <c r="AA76" s="153">
        <v>46321</v>
      </c>
      <c r="AB76" s="153">
        <v>46332</v>
      </c>
      <c r="AC76" s="160" t="s">
        <v>1625</v>
      </c>
      <c r="AD76" s="153">
        <v>46240</v>
      </c>
    </row>
    <row r="77" spans="1:30" ht="80.5">
      <c r="A77" s="161" t="s">
        <v>1607</v>
      </c>
      <c r="B77" s="161" t="s">
        <v>162</v>
      </c>
      <c r="C77" s="161" t="s">
        <v>1606</v>
      </c>
      <c r="D77" s="161" t="s">
        <v>18</v>
      </c>
      <c r="E77" s="161" t="s">
        <v>1606</v>
      </c>
      <c r="F77" s="187" t="s">
        <v>1660</v>
      </c>
      <c r="G77" s="187" t="s">
        <v>1661</v>
      </c>
      <c r="H77" s="161" t="s">
        <v>1485</v>
      </c>
      <c r="I77" s="161" t="s">
        <v>1651</v>
      </c>
      <c r="J77" s="162" t="s">
        <v>1466</v>
      </c>
      <c r="K77" s="111" t="s">
        <v>1559</v>
      </c>
      <c r="L77" s="166">
        <v>1</v>
      </c>
      <c r="M77" s="111" t="s">
        <v>45</v>
      </c>
      <c r="N77" s="111" t="s">
        <v>1502</v>
      </c>
      <c r="O77" s="169">
        <v>2</v>
      </c>
      <c r="P77" s="169">
        <v>1</v>
      </c>
      <c r="Q77" s="156" t="str" cm="1">
        <f t="array" ref="Q77">+_xlfn.IFS(O77="","",O77&lt;=1,"Baja",O77&lt;=3,"Media",O77&gt;3,"Alta")</f>
        <v>Media</v>
      </c>
      <c r="R77" s="156" t="str" cm="1">
        <f t="array" ref="R77">+_xlfn.IFS(P77="","",P77&lt;=0,"Baja",P77&lt;=2,"Media",P77&gt;2,"Alta")</f>
        <v>Media</v>
      </c>
      <c r="S77" s="156" t="str" cm="1">
        <f t="array" ref="S77">+_xlfn.IFS(N77="","",N77="Componentes existentes reutilizables &gt;80%","Baja",N77="No Aplica","Baja",N77="Reutilización parcial 30-70%","Media",N77="Nuevo Desarrollo &lt;20%","Alta")</f>
        <v>Baja</v>
      </c>
      <c r="T77" s="156" t="str" cm="1">
        <f t="array" ref="T77">+_xlfn.IFS(L77="","",L77=0,"Baja",L77&lt;=2,"Media",L77&gt;=3,"Alta")</f>
        <v>Media</v>
      </c>
      <c r="U77" s="176" cm="1">
        <f t="array" ref="U77">+IFERROR((+_xlfn.IFS(Q77="",0,Q77="Baja",1,Q77="Media",2,Q77="Alta",3)*'Scoring Complejidad'!$C$8+_xlfn.IFS(R77="Baja",1,R77="Media",2,R77="Alta",3)*'Scoring Complejidad'!$C$9+_xlfn.IFS(S77="Baja",1,S77="Media",2,S77="Alta",3)*'Scoring Complejidad'!$C$7+_xlfn.IFS(T77="",1,T77="Baja",1,T77="Media",2,T77="Alta",3)*'Scoring Complejidad'!$C$5+_xlfn.IFS(M77="Caja",1,M77="Configuración",2,M77="Desarrollo",3,M77="Desarrollo + Configuración",3,M77="No Aplica",0)*'Scoring Complejidad'!$C$6),"")</f>
        <v>2.0499999999999998</v>
      </c>
      <c r="V77" s="165" t="str" cm="1">
        <f t="array" ref="V77">IFERROR(_xlfn.IFS(U77="","",U77&lt;=1.69,"Baja",U77&lt;=2.29,"Media",U77&lt;=3,"Alta",U77&gt;3,"Error"),"")</f>
        <v>Media</v>
      </c>
      <c r="W77" s="170">
        <v>46223</v>
      </c>
      <c r="X77" s="170">
        <v>46234</v>
      </c>
      <c r="Y77" s="170">
        <v>46230</v>
      </c>
      <c r="Z77" s="170">
        <v>46234</v>
      </c>
      <c r="AA77" s="170">
        <v>46335</v>
      </c>
      <c r="AB77" s="170">
        <v>46346</v>
      </c>
      <c r="AC77" s="161"/>
      <c r="AD77" s="170">
        <v>46240</v>
      </c>
    </row>
    <row r="78" spans="1:30" ht="80.5">
      <c r="A78" s="160" t="s">
        <v>1609</v>
      </c>
      <c r="B78" s="160" t="s">
        <v>162</v>
      </c>
      <c r="C78" s="160" t="s">
        <v>1608</v>
      </c>
      <c r="D78" s="160" t="s">
        <v>18</v>
      </c>
      <c r="E78" s="160" t="s">
        <v>1608</v>
      </c>
      <c r="F78" s="160" t="s">
        <v>1662</v>
      </c>
      <c r="G78" s="186" t="s">
        <v>1663</v>
      </c>
      <c r="H78" s="160" t="s">
        <v>1485</v>
      </c>
      <c r="I78" s="160" t="s">
        <v>1651</v>
      </c>
      <c r="J78" s="164" t="s">
        <v>1560</v>
      </c>
      <c r="K78" s="160" t="s">
        <v>1559</v>
      </c>
      <c r="L78" s="168">
        <v>1</v>
      </c>
      <c r="M78" s="160" t="s">
        <v>45</v>
      </c>
      <c r="N78" s="160" t="s">
        <v>1543</v>
      </c>
      <c r="O78" s="168">
        <v>7</v>
      </c>
      <c r="P78" s="168">
        <v>1</v>
      </c>
      <c r="Q78" s="160" t="str" cm="1">
        <f t="array" ref="Q78">+_xlfn.IFS(O78="","",O78&lt;=1,"Baja",O78&lt;=3,"Media",O78&gt;3,"Alta")</f>
        <v>Alta</v>
      </c>
      <c r="R78" s="153" t="str" cm="1">
        <f t="array" ref="R78">+_xlfn.IFS(P78="","",P78&lt;=0,"Baja",P78&lt;=2,"Media",P78&gt;2,"Alta")</f>
        <v>Media</v>
      </c>
      <c r="S78" s="153" t="str" cm="1">
        <f t="array" ref="S78">+_xlfn.IFS(N78="","",N78="Componentes existentes reutilizables &gt;80%","Baja",N78="No Aplica","Baja",N78="Reutilización parcial 30-70%","Media",N78="Nuevo Desarrollo &lt;20%","Alta")</f>
        <v>Alta</v>
      </c>
      <c r="T78" s="153" t="str" cm="1">
        <f t="array" ref="T78">+_xlfn.IFS(L78="","",L78=0,"Baja",L78&lt;=2,"Media",L78&gt;=3,"Alta")</f>
        <v>Media</v>
      </c>
      <c r="U78" s="179" cm="1">
        <f t="array" ref="U78">+IFERROR((+_xlfn.IFS(Q78="",0,Q78="Baja",1,Q78="Media",2,Q78="Alta",3)*'Scoring Complejidad'!$C$8+_xlfn.IFS(R78="Baja",1,R78="Media",2,R78="Alta",3)*'Scoring Complejidad'!$C$9+_xlfn.IFS(S78="Baja",1,S78="Media",2,S78="Alta",3)*'Scoring Complejidad'!$C$7+_xlfn.IFS(T78="",1,T78="Baja",1,T78="Media",2,T78="Alta",3)*'Scoring Complejidad'!$C$5+_xlfn.IFS(M78="Caja",1,M78="Configuración",2,M78="Desarrollo",3,M78="Desarrollo + Configuración",3,M78="No Aplica",0)*'Scoring Complejidad'!$C$6),"")</f>
        <v>2.6</v>
      </c>
      <c r="V78" s="184" t="str" cm="1">
        <f t="array" ref="V78">IFERROR(_xlfn.IFS(U78="","",U78&lt;=1.69,"Baja",U78&lt;=2.29,"Media",U78&lt;=3,"Alta",U78&gt;3,"Error"),"")</f>
        <v>Alta</v>
      </c>
      <c r="W78" s="153">
        <v>46223</v>
      </c>
      <c r="X78" s="153">
        <v>46234</v>
      </c>
      <c r="Y78" s="153">
        <v>46230</v>
      </c>
      <c r="Z78" s="153">
        <v>46234</v>
      </c>
      <c r="AA78" s="153">
        <v>46349</v>
      </c>
      <c r="AB78" s="153">
        <v>46360</v>
      </c>
      <c r="AC78" s="160" t="s">
        <v>1630</v>
      </c>
      <c r="AD78" s="153">
        <v>46240</v>
      </c>
    </row>
    <row r="79" spans="1:30" ht="115">
      <c r="A79" s="161" t="s">
        <v>1610</v>
      </c>
      <c r="B79" s="161" t="s">
        <v>162</v>
      </c>
      <c r="C79" s="161" t="s">
        <v>1615</v>
      </c>
      <c r="D79" s="161" t="s">
        <v>18</v>
      </c>
      <c r="E79" s="161" t="s">
        <v>1615</v>
      </c>
      <c r="F79" s="187" t="s">
        <v>1675</v>
      </c>
      <c r="G79" s="187" t="s">
        <v>1676</v>
      </c>
      <c r="H79" s="161" t="s">
        <v>1485</v>
      </c>
      <c r="I79" s="161" t="s">
        <v>1677</v>
      </c>
      <c r="J79" s="162" t="s">
        <v>1560</v>
      </c>
      <c r="K79" s="111" t="s">
        <v>1559</v>
      </c>
      <c r="L79" s="166">
        <v>1</v>
      </c>
      <c r="M79" s="111" t="s">
        <v>45</v>
      </c>
      <c r="N79" s="111" t="s">
        <v>1543</v>
      </c>
      <c r="O79" s="169">
        <v>7</v>
      </c>
      <c r="P79" s="169">
        <v>2</v>
      </c>
      <c r="Q79" s="161" t="str" cm="1">
        <f t="array" ref="Q79">+_xlfn.IFS(O79="","",O79&lt;=1,"Baja",O79&lt;=3,"Media",O79&gt;3,"Alta")</f>
        <v>Alta</v>
      </c>
      <c r="R79" s="170" t="str" cm="1">
        <f t="array" ref="R79">+_xlfn.IFS(P79="","",P79&lt;=0,"Baja",P79&lt;=2,"Media",P79&gt;2,"Alta")</f>
        <v>Media</v>
      </c>
      <c r="S79" s="170" t="str" cm="1">
        <f t="array" ref="S79">+_xlfn.IFS(N79="","",N79="Componentes existentes reutilizables &gt;80%","Baja",N79="No Aplica","Baja",N79="Reutilización parcial 30-70%","Media",N79="Nuevo Desarrollo &lt;20%","Alta")</f>
        <v>Alta</v>
      </c>
      <c r="T79" s="170" t="str" cm="1">
        <f t="array" ref="T79">+_xlfn.IFS(L79="","",L79=0,"Baja",L79&lt;=2,"Media",L79&gt;=3,"Alta")</f>
        <v>Media</v>
      </c>
      <c r="U79" s="180" cm="1">
        <f t="array" ref="U79">+IFERROR((+_xlfn.IFS(Q79="",0,Q79="Baja",1,Q79="Media",2,Q79="Alta",3)*'Scoring Complejidad'!$C$8+_xlfn.IFS(R79="Baja",1,R79="Media",2,R79="Alta",3)*'Scoring Complejidad'!$C$9+_xlfn.IFS(S79="Baja",1,S79="Media",2,S79="Alta",3)*'Scoring Complejidad'!$C$7+_xlfn.IFS(T79="",1,T79="Baja",1,T79="Media",2,T79="Alta",3)*'Scoring Complejidad'!$C$5+_xlfn.IFS(M79="Caja",1,M79="Configuración",2,M79="Desarrollo",3,M79="Desarrollo + Configuración",3,M79="No Aplica",0)*'Scoring Complejidad'!$C$6),"")</f>
        <v>2.6</v>
      </c>
      <c r="V79" s="185" t="str" cm="1">
        <f t="array" ref="V79">IFERROR(_xlfn.IFS(U79="","",U79&lt;=1.69,"Baja",U79&lt;=2.29,"Media",U79&lt;=3,"Alta",U79&gt;3,"Error"),"")</f>
        <v>Alta</v>
      </c>
      <c r="W79" s="170">
        <v>46272</v>
      </c>
      <c r="X79" s="170">
        <v>46283</v>
      </c>
      <c r="Y79" s="170">
        <v>46286</v>
      </c>
      <c r="Z79" s="170">
        <v>46297</v>
      </c>
      <c r="AA79" s="170">
        <v>46376</v>
      </c>
      <c r="AB79" s="170">
        <v>46387</v>
      </c>
      <c r="AC79" s="161" t="s">
        <v>1627</v>
      </c>
      <c r="AD79" s="170">
        <v>46240</v>
      </c>
    </row>
    <row r="80" spans="1:30" ht="67.5" customHeight="1">
      <c r="A80" s="160" t="s">
        <v>1611</v>
      </c>
      <c r="B80" s="160" t="s">
        <v>162</v>
      </c>
      <c r="C80" s="160" t="s">
        <v>1628</v>
      </c>
      <c r="D80" s="160" t="s">
        <v>18</v>
      </c>
      <c r="E80" s="160" t="s">
        <v>1614</v>
      </c>
      <c r="F80" s="186" t="s">
        <v>1657</v>
      </c>
      <c r="G80" s="186" t="s">
        <v>1658</v>
      </c>
      <c r="H80" s="160" t="s">
        <v>1485</v>
      </c>
      <c r="I80" s="160" t="s">
        <v>1659</v>
      </c>
      <c r="J80" s="164" t="s">
        <v>1468</v>
      </c>
      <c r="K80" s="160" t="s">
        <v>1557</v>
      </c>
      <c r="L80" s="168">
        <v>1</v>
      </c>
      <c r="M80" s="160" t="s">
        <v>1477</v>
      </c>
      <c r="N80" s="160" t="s">
        <v>1477</v>
      </c>
      <c r="O80" s="168">
        <v>0</v>
      </c>
      <c r="P80" s="168">
        <v>0</v>
      </c>
      <c r="Q80" s="160" t="str" cm="1">
        <f t="array" ref="Q80">+_xlfn.IFS(O80="","",O80&lt;=1,"Baja",O80&lt;=3,"Media",O80&gt;3,"Alta")</f>
        <v>Baja</v>
      </c>
      <c r="R80" s="153" t="str" cm="1">
        <f t="array" ref="R80">+_xlfn.IFS(P80="","",P80&lt;=0,"Baja",P80&lt;=2,"Media",P80&gt;2,"Alta")</f>
        <v>Baja</v>
      </c>
      <c r="S80" s="153" t="str" cm="1">
        <f t="array" ref="S80">+_xlfn.IFS(N80="","",N80="Componentes existentes reutilizables &gt;80%","Baja",N80="No Aplica","Baja",N80="Reutilización parcial 30-70%","Media",N80="Nuevo Desarrollo &lt;20%","Alta")</f>
        <v>Baja</v>
      </c>
      <c r="T80" s="153" t="str" cm="1">
        <f t="array" ref="T80">+_xlfn.IFS(L80="","",L80=0,"Baja",L80&lt;=2,"Media",L80&gt;=3,"Alta")</f>
        <v>Media</v>
      </c>
      <c r="U80" s="179" cm="1">
        <f t="array" ref="U80">+IFERROR((+_xlfn.IFS(Q80="",0,Q80="Baja",1,Q80="Media",2,Q80="Alta",3)*'Scoring Complejidad'!$C$8+_xlfn.IFS(R80="Baja",1,R80="Media",2,R80="Alta",3)*'Scoring Complejidad'!$C$9+_xlfn.IFS(S80="Baja",1,S80="Media",2,S80="Alta",3)*'Scoring Complejidad'!$C$7+_xlfn.IFS(T80="",1,T80="Baja",1,T80="Media",2,T80="Alta",3)*'Scoring Complejidad'!$C$5+_xlfn.IFS(M80="Caja",1,M80="Configuración",2,M80="Desarrollo",3,M80="Desarrollo + Configuración",3,M80="No Aplica",0)*'Scoring Complejidad'!$C$6),"")</f>
        <v>1.05</v>
      </c>
      <c r="V80" s="184" t="str" cm="1">
        <f t="array" ref="V80">IFERROR(_xlfn.IFS(U80="","",U80&lt;=1.69,"Baja",U80&lt;=2.29,"Media",U80&lt;=3,"Alta",U80&gt;3,"Error"),"")</f>
        <v>Baja</v>
      </c>
      <c r="W80" s="153">
        <v>46223</v>
      </c>
      <c r="X80" s="153">
        <v>46234</v>
      </c>
      <c r="Y80" s="153">
        <v>46230</v>
      </c>
      <c r="Z80" s="153">
        <v>46234</v>
      </c>
      <c r="AA80" s="153">
        <v>46265</v>
      </c>
      <c r="AB80" s="153">
        <v>46276</v>
      </c>
      <c r="AC80" s="160" t="s">
        <v>1629</v>
      </c>
      <c r="AD80" s="153">
        <v>46240</v>
      </c>
    </row>
    <row r="81" spans="1:30" ht="57.5">
      <c r="A81" s="105" t="s">
        <v>1690</v>
      </c>
      <c r="B81" s="105" t="s">
        <v>16</v>
      </c>
      <c r="C81" s="139" t="s">
        <v>1637</v>
      </c>
      <c r="D81" s="105" t="s">
        <v>18</v>
      </c>
      <c r="E81" s="105" t="s">
        <v>1637</v>
      </c>
      <c r="F81" s="106" t="s">
        <v>1712</v>
      </c>
      <c r="G81" s="106" t="s">
        <v>1713</v>
      </c>
      <c r="H81" s="106" t="s">
        <v>16</v>
      </c>
      <c r="I81" s="106" t="s">
        <v>1666</v>
      </c>
      <c r="J81" s="131" t="s">
        <v>1467</v>
      </c>
      <c r="K81" s="106" t="s">
        <v>1472</v>
      </c>
      <c r="L81" s="106">
        <v>0</v>
      </c>
      <c r="M81" s="106" t="s">
        <v>1476</v>
      </c>
      <c r="N81" s="106" t="s">
        <v>1558</v>
      </c>
      <c r="O81" s="106">
        <v>1</v>
      </c>
      <c r="P81" s="106">
        <v>0</v>
      </c>
      <c r="Q81" s="106" t="str" cm="1">
        <f t="array" ref="Q81">+_xlfn.IFS(O81="","",O81&lt;=1,"Baja",O81&lt;=3,"Media",O81&gt;3,"Alta")</f>
        <v>Baja</v>
      </c>
      <c r="R81" s="106" t="str" cm="1">
        <f t="array" ref="R81">+_xlfn.IFS(P81="","",P81&lt;=0,"Baja",P81&lt;=2,"Media",P81&gt;2,"Alta")</f>
        <v>Baja</v>
      </c>
      <c r="S81" s="106" t="str" cm="1">
        <f t="array" ref="S81">+_xlfn.IFS(N81="","",N81="Componentes existentes reutilizables &gt;80%","Baja",N81="No Aplica","Baja",N81="Reutilización parcial 30-70%","Media",N81="Nuevo Desarrollo &lt;20%","Alta")</f>
        <v>Media</v>
      </c>
      <c r="T81" s="106" t="str" cm="1">
        <f t="array" ref="T81">+_xlfn.IFS(L81="","",L81=0,"Baja",L81&lt;=2,"Media",L81&gt;=3,"Alta")</f>
        <v>Baja</v>
      </c>
      <c r="U81" s="106" cm="1">
        <f t="array" ref="U81">+IFERROR((+_xlfn.IFS(Q81="",0,Q81="Baja",1,Q81="Media",2,Q81="Alta",3)*'Scoring Complejidad'!$C$8+_xlfn.IFS(R81="Baja",1,R81="Media",2,R81="Alta",3)*'Scoring Complejidad'!$C$9+_xlfn.IFS(S81="Baja",1,S81="Media",2,S81="Alta",3)*'Scoring Complejidad'!$C$7+_xlfn.IFS(T81="",1,T81="Baja",1,T81="Media",2,T81="Alta",3)*'Scoring Complejidad'!$C$5+_xlfn.IFS(M81="Caja",1,M81="Configuración",2,M81="Desarrollo",3,M81="Desarrollo + Configuración",3,M81="No Aplica",0)*'Scoring Complejidad'!$C$6),"")</f>
        <v>1.7</v>
      </c>
      <c r="V81" s="131" t="str" cm="1">
        <f t="array" ref="V81">IFERROR(_xlfn.IFS(U81="","",U81&lt;=1.69,"Baja",U81&lt;=2.29,"Media",U81&lt;=3,"Alta",U81&gt;3,"Error"),"")</f>
        <v>Media</v>
      </c>
      <c r="W81" s="144">
        <v>46214</v>
      </c>
      <c r="X81" s="144">
        <v>46269</v>
      </c>
      <c r="Y81" s="144">
        <v>46223</v>
      </c>
      <c r="Z81" s="144">
        <v>46233</v>
      </c>
      <c r="AA81" s="154">
        <v>46230</v>
      </c>
      <c r="AB81" s="154">
        <v>46295</v>
      </c>
      <c r="AC81" s="105" t="s">
        <v>1632</v>
      </c>
      <c r="AD81" s="146">
        <v>46240</v>
      </c>
    </row>
    <row r="84" spans="1:30">
      <c r="K84" s="200"/>
    </row>
    <row r="85" spans="1:30">
      <c r="I85" s="200"/>
    </row>
    <row r="88" spans="1:30">
      <c r="J88" s="201"/>
    </row>
    <row r="92" spans="1:30">
      <c r="L92" s="94">
        <f>1/3</f>
        <v>0.33333333333333331</v>
      </c>
    </row>
  </sheetData>
  <autoFilter ref="A2:AD81" xr:uid="{00000000-0001-0000-0000-000000000000}"/>
  <mergeCells count="9">
    <mergeCell ref="A1:E1"/>
    <mergeCell ref="J1:P1"/>
    <mergeCell ref="Q1:V1"/>
    <mergeCell ref="AC1:AC2"/>
    <mergeCell ref="AD1:AD2"/>
    <mergeCell ref="F1:I1"/>
    <mergeCell ref="W1:X1"/>
    <mergeCell ref="Y1:Z1"/>
    <mergeCell ref="AA1:AB1"/>
  </mergeCells>
  <conditionalFormatting sqref="J82:K177 M82:N177">
    <cfRule type="cellIs" dxfId="30" priority="100" operator="equal">
      <formula>"Alta"</formula>
    </cfRule>
    <cfRule type="cellIs" dxfId="29" priority="101" operator="equal">
      <formula>"Media"</formula>
    </cfRule>
    <cfRule type="cellIs" dxfId="28" priority="102" operator="equal">
      <formula>"Baja"</formula>
    </cfRule>
  </conditionalFormatting>
  <conditionalFormatting sqref="Q75:R75">
    <cfRule type="cellIs" dxfId="27" priority="47" operator="equal">
      <formula>"Caja"</formula>
    </cfRule>
    <cfRule type="cellIs" dxfId="26" priority="48" operator="equal">
      <formula>"Desarrollo"</formula>
    </cfRule>
  </conditionalFormatting>
  <conditionalFormatting sqref="Q77:U77">
    <cfRule type="cellIs" dxfId="25" priority="25" operator="equal">
      <formula>"Caja"</formula>
    </cfRule>
    <cfRule type="cellIs" dxfId="24" priority="26" operator="equal">
      <formula>"Desarrollo"</formula>
    </cfRule>
  </conditionalFormatting>
  <conditionalFormatting sqref="R74:T74">
    <cfRule type="cellIs" dxfId="23" priority="33" operator="equal">
      <formula>"Caja"</formula>
    </cfRule>
    <cfRule type="cellIs" dxfId="22" priority="34" operator="equal">
      <formula>"Desarrollo"</formula>
    </cfRule>
  </conditionalFormatting>
  <conditionalFormatting sqref="R73:U73">
    <cfRule type="cellIs" dxfId="21" priority="53" operator="equal">
      <formula>"Caja"</formula>
    </cfRule>
    <cfRule type="cellIs" dxfId="20" priority="54" operator="equal">
      <formula>"Desarrollo"</formula>
    </cfRule>
  </conditionalFormatting>
  <conditionalFormatting sqref="W3:Y12 W13 Y13 W14:Y17 W21:X23 W24:Y43 W44:Z44 W45:Y62 W81:Z81 W82:Y177">
    <cfRule type="cellIs" dxfId="19" priority="103" operator="equal">
      <formula>"Caja"</formula>
    </cfRule>
    <cfRule type="cellIs" dxfId="18" priority="104" operator="equal">
      <formula>"Desarrollo"</formula>
    </cfRule>
  </conditionalFormatting>
  <conditionalFormatting sqref="W18:AB20">
    <cfRule type="cellIs" dxfId="17" priority="1" operator="equal">
      <formula>"Caja"</formula>
    </cfRule>
    <cfRule type="cellIs" dxfId="16" priority="2" operator="equal">
      <formula>"Desarrollo"</formula>
    </cfRule>
  </conditionalFormatting>
  <conditionalFormatting sqref="Z3:AB3">
    <cfRule type="cellIs" dxfId="15" priority="97" operator="equal">
      <formula>"Caja"</formula>
    </cfRule>
    <cfRule type="cellIs" dxfId="14" priority="98" operator="equal">
      <formula>"Desarrollo"</formula>
    </cfRule>
  </conditionalFormatting>
  <conditionalFormatting sqref="Z11:AB12">
    <cfRule type="cellIs" dxfId="13" priority="19" operator="equal">
      <formula>"Caja"</formula>
    </cfRule>
    <cfRule type="cellIs" dxfId="12" priority="20" operator="equal">
      <formula>"Desarrollo"</formula>
    </cfRule>
  </conditionalFormatting>
  <dataValidations count="8">
    <dataValidation type="list" allowBlank="1" sqref="B63:B81 B3:B40" xr:uid="{00000000-0002-0000-0000-000000000000}">
      <formula1>"Smart Vista,APP,CAT,SIWEB,Apolo,Transact,Contabilidad,Cobranza,Transversal"</formula1>
      <formula2>0</formula2>
    </dataValidation>
    <dataValidation type="list" allowBlank="1" sqref="K70:K81 K3:K68" xr:uid="{6A6DD7C7-FFBB-4BBE-BA67-99B855BA3D27}">
      <formula1>"Solución,Integración, Solución e Integración"</formula1>
    </dataValidation>
    <dataValidation type="list" allowBlank="1" sqref="N5 N8:N9 M3:M81" xr:uid="{5EF7EE5F-7491-45D4-8813-5ACF7E6D67E1}">
      <formula1>"Caja,Configuración,Desarrollo,Desarrollo + Configuración,No Aplica"</formula1>
    </dataValidation>
    <dataValidation type="list" allowBlank="1" showInputMessage="1" showErrorMessage="1" sqref="N3:N9 N11:N17" xr:uid="{A2488F03-0466-4491-9DBB-9AB6F4331C32}">
      <formula1>"Componentes existentes reutilizables &gt;80%, Reutilización parcial 30-70%,Nuevo Desarrollo &lt;20%"</formula1>
    </dataValidation>
    <dataValidation allowBlank="1" sqref="N3:N4 N6:N7 N11:N17" xr:uid="{D4720CDB-7F1D-46D4-B237-BAB555D35003}"/>
    <dataValidation type="list" allowBlank="1" sqref="N10 N18:N81" xr:uid="{07B0D6D8-D951-4B80-AFF6-408E23E383AC}">
      <formula1>"Componentes existentes reutilizables &gt;80%, Reutilización parcial 30-70%,Nuevo Desarrollo &lt;20%, No Aplica"</formula1>
    </dataValidation>
    <dataValidation type="list" allowBlank="1" sqref="J3:J68 J73:J81" xr:uid="{D24F4062-74B6-4EF4-946C-C97313E41BBC}">
      <formula1>"Must,Could, Should, Wont"</formula1>
    </dataValidation>
    <dataValidation type="list" allowBlank="1" showInputMessage="1" showErrorMessage="1" sqref="T3:T72" xr:uid="{EBC8FC75-A77D-44AA-A338-ABD96FFBAFB4}">
      <formula1>"Alta,Media,Baja"</formula1>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590A-1A2E-40A9-B033-D746417EFB1B}">
  <sheetPr filterMode="1"/>
  <dimension ref="A1:O82"/>
  <sheetViews>
    <sheetView showGridLines="0" topLeftCell="F1" zoomScale="80" zoomScaleNormal="80" workbookViewId="0">
      <pane ySplit="2" topLeftCell="A61" activePane="bottomLeft" state="frozen"/>
      <selection pane="bottomLeft" activeCell="L82" sqref="L82"/>
    </sheetView>
  </sheetViews>
  <sheetFormatPr defaultColWidth="8.6328125" defaultRowHeight="14.5"/>
  <cols>
    <col min="1" max="1" width="14.453125" customWidth="1"/>
    <col min="2" max="2" width="19.453125" customWidth="1"/>
    <col min="3" max="3" width="16" customWidth="1"/>
    <col min="4" max="4" width="42" customWidth="1"/>
    <col min="5" max="5" width="14" customWidth="1"/>
    <col min="6" max="6" width="44" customWidth="1"/>
    <col min="7" max="7" width="34" customWidth="1"/>
    <col min="8" max="9" width="22" customWidth="1"/>
    <col min="10" max="10" width="14" customWidth="1"/>
    <col min="11" max="11" width="30" customWidth="1"/>
    <col min="12" max="12" width="16" customWidth="1"/>
    <col min="13" max="13" width="14" customWidth="1"/>
    <col min="14" max="14" width="13" customWidth="1"/>
    <col min="15" max="15" width="16" customWidth="1"/>
  </cols>
  <sheetData>
    <row r="1" spans="1:15" ht="23" customHeight="1">
      <c r="A1" s="231" t="s">
        <v>0</v>
      </c>
      <c r="B1" s="232"/>
      <c r="C1" s="232"/>
      <c r="D1" s="232"/>
      <c r="E1" s="233"/>
      <c r="F1" s="228" t="s">
        <v>1</v>
      </c>
      <c r="G1" s="228"/>
      <c r="H1" s="228"/>
      <c r="I1" s="228"/>
      <c r="J1" s="229" t="s">
        <v>2</v>
      </c>
      <c r="K1" s="229"/>
      <c r="L1" s="230" t="s">
        <v>3</v>
      </c>
      <c r="M1" s="230"/>
      <c r="N1" s="230"/>
      <c r="O1" s="230"/>
    </row>
    <row r="2" spans="1:15" ht="31.5">
      <c r="A2" s="1" t="s">
        <v>1460</v>
      </c>
      <c r="B2" s="1" t="s">
        <v>4</v>
      </c>
      <c r="C2" s="1" t="s">
        <v>5</v>
      </c>
      <c r="D2" s="1" t="s">
        <v>6</v>
      </c>
      <c r="E2" s="1" t="s">
        <v>7</v>
      </c>
      <c r="F2" s="2" t="s">
        <v>8</v>
      </c>
      <c r="G2" s="2" t="s">
        <v>9</v>
      </c>
      <c r="H2" s="2" t="s">
        <v>10</v>
      </c>
      <c r="I2" s="2" t="s">
        <v>11</v>
      </c>
      <c r="J2" s="11" t="s">
        <v>409</v>
      </c>
      <c r="K2" s="11" t="s">
        <v>12</v>
      </c>
      <c r="L2" s="12" t="s">
        <v>407</v>
      </c>
      <c r="M2" s="12" t="s">
        <v>408</v>
      </c>
      <c r="N2" s="12" t="s">
        <v>13</v>
      </c>
      <c r="O2" s="12" t="s">
        <v>14</v>
      </c>
    </row>
    <row r="3" spans="1:15" ht="70" hidden="1">
      <c r="A3" s="15" t="str">
        <f>+VLOOKUP(B3,Diccionario!$B$2:$C$81,2,0)</f>
        <v>Solicitud de Maquila automatizada</v>
      </c>
      <c r="B3" s="15" t="s">
        <v>15</v>
      </c>
      <c r="C3" s="15" t="s">
        <v>16</v>
      </c>
      <c r="D3" s="16" t="s">
        <v>17</v>
      </c>
      <c r="E3" s="15" t="s">
        <v>18</v>
      </c>
      <c r="F3" s="16" t="s">
        <v>19</v>
      </c>
      <c r="G3" s="16" t="s">
        <v>20</v>
      </c>
      <c r="H3" s="16" t="s">
        <v>16</v>
      </c>
      <c r="I3" s="16" t="s">
        <v>21</v>
      </c>
      <c r="J3" s="3" t="s">
        <v>22</v>
      </c>
      <c r="K3" s="16" t="s">
        <v>23</v>
      </c>
      <c r="L3" s="17" t="s">
        <v>24</v>
      </c>
      <c r="M3" s="15" t="s">
        <v>25</v>
      </c>
      <c r="N3" s="13">
        <v>20</v>
      </c>
      <c r="O3" s="15" t="s">
        <v>26</v>
      </c>
    </row>
    <row r="4" spans="1:15" ht="50" hidden="1">
      <c r="A4" s="4" t="str">
        <f>+VLOOKUP(B4,Diccionario!$B$2:$C$81,2,0)</f>
        <v xml:space="preserve">Solicitud de Maquila automatizada </v>
      </c>
      <c r="B4" s="4" t="s">
        <v>27</v>
      </c>
      <c r="C4" s="4" t="s">
        <v>16</v>
      </c>
      <c r="D4" s="5" t="s">
        <v>28</v>
      </c>
      <c r="E4" s="4" t="s">
        <v>18</v>
      </c>
      <c r="F4" s="5" t="s">
        <v>29</v>
      </c>
      <c r="G4" s="5" t="s">
        <v>30</v>
      </c>
      <c r="H4" s="5" t="s">
        <v>16</v>
      </c>
      <c r="I4" s="5" t="s">
        <v>31</v>
      </c>
      <c r="J4" s="6" t="s">
        <v>22</v>
      </c>
      <c r="K4" s="5" t="s">
        <v>32</v>
      </c>
      <c r="L4" s="7" t="s">
        <v>33</v>
      </c>
      <c r="M4" s="4" t="s">
        <v>34</v>
      </c>
      <c r="N4" s="14">
        <v>5</v>
      </c>
      <c r="O4" s="4" t="s">
        <v>26</v>
      </c>
    </row>
    <row r="5" spans="1:15" ht="60" hidden="1">
      <c r="A5" s="15" t="str">
        <f>+VLOOKUP(B5,Diccionario!$B$2:$C$81,2,0)</f>
        <v xml:space="preserve">Solicitud de Maquila automatizada </v>
      </c>
      <c r="B5" s="15" t="s">
        <v>35</v>
      </c>
      <c r="C5" s="15" t="s">
        <v>16</v>
      </c>
      <c r="D5" s="16" t="s">
        <v>36</v>
      </c>
      <c r="E5" s="15" t="s">
        <v>18</v>
      </c>
      <c r="F5" s="16" t="s">
        <v>37</v>
      </c>
      <c r="G5" s="16" t="s">
        <v>38</v>
      </c>
      <c r="H5" s="16" t="s">
        <v>16</v>
      </c>
      <c r="I5" s="16" t="s">
        <v>31</v>
      </c>
      <c r="J5" s="3" t="s">
        <v>22</v>
      </c>
      <c r="K5" s="16" t="s">
        <v>39</v>
      </c>
      <c r="L5" s="17" t="s">
        <v>24</v>
      </c>
      <c r="M5" s="15" t="s">
        <v>25</v>
      </c>
      <c r="N5" s="13">
        <v>15</v>
      </c>
      <c r="O5" s="15" t="s">
        <v>26</v>
      </c>
    </row>
    <row r="6" spans="1:15" ht="60" hidden="1">
      <c r="A6" s="4" t="str">
        <f>+VLOOKUP(B6,Diccionario!$B$2:$C$81,2,0)</f>
        <v>Solicitud de Maquila automatizada</v>
      </c>
      <c r="B6" s="4" t="s">
        <v>40</v>
      </c>
      <c r="C6" s="4" t="s">
        <v>16</v>
      </c>
      <c r="D6" s="5" t="s">
        <v>41</v>
      </c>
      <c r="E6" s="4" t="s">
        <v>18</v>
      </c>
      <c r="F6" s="5" t="s">
        <v>42</v>
      </c>
      <c r="G6" s="5" t="s">
        <v>43</v>
      </c>
      <c r="H6" s="5" t="s">
        <v>16</v>
      </c>
      <c r="I6" s="5" t="s">
        <v>31</v>
      </c>
      <c r="J6" s="6" t="s">
        <v>22</v>
      </c>
      <c r="K6" s="5" t="s">
        <v>44</v>
      </c>
      <c r="L6" s="7" t="s">
        <v>45</v>
      </c>
      <c r="M6" s="4" t="s">
        <v>22</v>
      </c>
      <c r="N6" s="14">
        <v>40</v>
      </c>
      <c r="O6" s="4" t="s">
        <v>46</v>
      </c>
    </row>
    <row r="7" spans="1:15" ht="60" hidden="1">
      <c r="A7" s="15" t="str">
        <f>+VLOOKUP(B7,Diccionario!$B$2:$C$81,2,0)</f>
        <v>Solicitud de Maquila automatizada</v>
      </c>
      <c r="B7" s="15" t="s">
        <v>47</v>
      </c>
      <c r="C7" s="15" t="s">
        <v>16</v>
      </c>
      <c r="D7" s="16" t="s">
        <v>48</v>
      </c>
      <c r="E7" s="15" t="s">
        <v>18</v>
      </c>
      <c r="F7" s="16" t="s">
        <v>49</v>
      </c>
      <c r="G7" s="16" t="s">
        <v>50</v>
      </c>
      <c r="H7" s="16" t="s">
        <v>16</v>
      </c>
      <c r="I7" s="16" t="s">
        <v>31</v>
      </c>
      <c r="J7" s="3" t="s">
        <v>22</v>
      </c>
      <c r="K7" s="16" t="s">
        <v>51</v>
      </c>
      <c r="L7" s="17" t="s">
        <v>33</v>
      </c>
      <c r="M7" s="15" t="s">
        <v>34</v>
      </c>
      <c r="N7" s="13">
        <v>5</v>
      </c>
      <c r="O7" s="15" t="s">
        <v>26</v>
      </c>
    </row>
    <row r="8" spans="1:15" ht="70" hidden="1">
      <c r="A8" s="4" t="str">
        <f>+VLOOKUP(B8,Diccionario!$B$2:$C$81,2,0)</f>
        <v>Solicitud de Maquila automatizada</v>
      </c>
      <c r="B8" s="4" t="s">
        <v>52</v>
      </c>
      <c r="C8" s="4" t="s">
        <v>16</v>
      </c>
      <c r="D8" s="5" t="s">
        <v>53</v>
      </c>
      <c r="E8" s="4" t="s">
        <v>18</v>
      </c>
      <c r="F8" s="5" t="s">
        <v>54</v>
      </c>
      <c r="G8" s="5" t="s">
        <v>55</v>
      </c>
      <c r="H8" s="5" t="s">
        <v>16</v>
      </c>
      <c r="I8" s="5" t="s">
        <v>56</v>
      </c>
      <c r="J8" s="6" t="s">
        <v>22</v>
      </c>
      <c r="K8" s="5" t="s">
        <v>57</v>
      </c>
      <c r="L8" s="7" t="s">
        <v>45</v>
      </c>
      <c r="M8" s="4" t="s">
        <v>22</v>
      </c>
      <c r="N8" s="14">
        <v>35</v>
      </c>
      <c r="O8" s="4" t="s">
        <v>46</v>
      </c>
    </row>
    <row r="9" spans="1:15" ht="50" hidden="1">
      <c r="A9" s="15" t="str">
        <f>+VLOOKUP(B9,Diccionario!$B$2:$C$81,2,0)</f>
        <v>Solicitud de Maquila automatizada</v>
      </c>
      <c r="B9" s="15" t="s">
        <v>58</v>
      </c>
      <c r="C9" s="15" t="s">
        <v>16</v>
      </c>
      <c r="D9" s="16" t="s">
        <v>59</v>
      </c>
      <c r="E9" s="15" t="s">
        <v>18</v>
      </c>
      <c r="F9" s="16" t="s">
        <v>60</v>
      </c>
      <c r="G9" s="16" t="s">
        <v>61</v>
      </c>
      <c r="H9" s="16" t="s">
        <v>16</v>
      </c>
      <c r="I9" s="16" t="s">
        <v>62</v>
      </c>
      <c r="J9" s="8" t="s">
        <v>25</v>
      </c>
      <c r="K9" s="16" t="s">
        <v>63</v>
      </c>
      <c r="L9" s="17" t="s">
        <v>33</v>
      </c>
      <c r="M9" s="15" t="s">
        <v>34</v>
      </c>
      <c r="N9" s="13">
        <v>8</v>
      </c>
      <c r="O9" s="15" t="s">
        <v>26</v>
      </c>
    </row>
    <row r="10" spans="1:15" ht="80" hidden="1">
      <c r="A10" s="4" t="str">
        <f>+VLOOKUP(B10,Diccionario!$B$2:$C$81,2,0)</f>
        <v>Solicitud de Maquila automatizada</v>
      </c>
      <c r="B10" s="4" t="s">
        <v>64</v>
      </c>
      <c r="C10" s="4" t="s">
        <v>16</v>
      </c>
      <c r="D10" s="5" t="s">
        <v>65</v>
      </c>
      <c r="E10" s="4" t="s">
        <v>18</v>
      </c>
      <c r="F10" s="5" t="s">
        <v>66</v>
      </c>
      <c r="G10" s="5" t="s">
        <v>67</v>
      </c>
      <c r="H10" s="5" t="s">
        <v>68</v>
      </c>
      <c r="I10" s="5" t="s">
        <v>69</v>
      </c>
      <c r="J10" s="6" t="s">
        <v>22</v>
      </c>
      <c r="K10" s="5" t="s">
        <v>70</v>
      </c>
      <c r="L10" s="7" t="s">
        <v>24</v>
      </c>
      <c r="M10" s="4" t="s">
        <v>25</v>
      </c>
      <c r="N10" s="14">
        <v>18</v>
      </c>
      <c r="O10" s="4" t="s">
        <v>71</v>
      </c>
    </row>
    <row r="11" spans="1:15" ht="60" hidden="1">
      <c r="A11" s="15" t="str">
        <f>+VLOOKUP(B11,Diccionario!$B$2:$C$81,2,0)</f>
        <v>Homologación de conceptos de comisiones</v>
      </c>
      <c r="B11" s="15" t="s">
        <v>72</v>
      </c>
      <c r="C11" s="15" t="s">
        <v>16</v>
      </c>
      <c r="D11" s="16" t="s">
        <v>73</v>
      </c>
      <c r="E11" s="15" t="s">
        <v>18</v>
      </c>
      <c r="F11" s="16" t="s">
        <v>74</v>
      </c>
      <c r="G11" s="16" t="s">
        <v>75</v>
      </c>
      <c r="H11" s="16" t="s">
        <v>76</v>
      </c>
      <c r="I11" s="16" t="s">
        <v>77</v>
      </c>
      <c r="J11" s="3" t="s">
        <v>22</v>
      </c>
      <c r="K11" s="16" t="s">
        <v>78</v>
      </c>
      <c r="L11" s="17" t="s">
        <v>24</v>
      </c>
      <c r="M11" s="15" t="s">
        <v>34</v>
      </c>
      <c r="N11" s="13">
        <v>8</v>
      </c>
      <c r="O11" s="15" t="s">
        <v>26</v>
      </c>
    </row>
    <row r="12" spans="1:15" ht="50" hidden="1">
      <c r="A12" s="4" t="str">
        <f>+VLOOKUP(B12,Diccionario!$B$2:$C$81,2,0)</f>
        <v xml:space="preserve">Homologación de conceptos de comisiones </v>
      </c>
      <c r="B12" s="4" t="s">
        <v>79</v>
      </c>
      <c r="C12" s="4" t="s">
        <v>16</v>
      </c>
      <c r="D12" s="5" t="s">
        <v>80</v>
      </c>
      <c r="E12" s="4" t="s">
        <v>18</v>
      </c>
      <c r="F12" s="5" t="s">
        <v>81</v>
      </c>
      <c r="G12" s="5" t="s">
        <v>82</v>
      </c>
      <c r="H12" s="5" t="s">
        <v>83</v>
      </c>
      <c r="I12" s="5" t="s">
        <v>84</v>
      </c>
      <c r="J12" s="6" t="s">
        <v>22</v>
      </c>
      <c r="K12" s="5" t="s">
        <v>85</v>
      </c>
      <c r="L12" s="7" t="s">
        <v>24</v>
      </c>
      <c r="M12" s="4" t="s">
        <v>34</v>
      </c>
      <c r="N12" s="14">
        <v>5</v>
      </c>
      <c r="O12" s="4" t="s">
        <v>86</v>
      </c>
    </row>
    <row r="13" spans="1:15" ht="80" hidden="1">
      <c r="A13" s="15" t="str">
        <f>+VLOOKUP(B13,Diccionario!$B$2:$C$81,2,0)</f>
        <v>Reglas del autorizador (88 reglas)</v>
      </c>
      <c r="B13" s="15" t="s">
        <v>87</v>
      </c>
      <c r="C13" s="15" t="s">
        <v>16</v>
      </c>
      <c r="D13" s="16" t="s">
        <v>88</v>
      </c>
      <c r="E13" s="15" t="s">
        <v>18</v>
      </c>
      <c r="F13" s="16" t="s">
        <v>89</v>
      </c>
      <c r="G13" s="16" t="s">
        <v>90</v>
      </c>
      <c r="H13" s="16" t="s">
        <v>91</v>
      </c>
      <c r="I13" s="16" t="s">
        <v>92</v>
      </c>
      <c r="J13" s="3" t="s">
        <v>22</v>
      </c>
      <c r="K13" s="16" t="s">
        <v>93</v>
      </c>
      <c r="L13" s="17" t="s">
        <v>45</v>
      </c>
      <c r="M13" s="15" t="s">
        <v>22</v>
      </c>
      <c r="N13" s="13">
        <v>60</v>
      </c>
      <c r="O13" s="15" t="s">
        <v>94</v>
      </c>
    </row>
    <row r="14" spans="1:15" ht="60" hidden="1">
      <c r="A14" s="4" t="str">
        <f>+VLOOKUP(B14,Diccionario!$B$2:$C$81,2,0)</f>
        <v>Nueva regla de limitar saldo a favor</v>
      </c>
      <c r="B14" s="4" t="s">
        <v>95</v>
      </c>
      <c r="C14" s="4" t="s">
        <v>16</v>
      </c>
      <c r="D14" s="5" t="s">
        <v>96</v>
      </c>
      <c r="E14" s="4" t="s">
        <v>18</v>
      </c>
      <c r="F14" s="5" t="s">
        <v>97</v>
      </c>
      <c r="G14" s="5" t="s">
        <v>98</v>
      </c>
      <c r="H14" s="5" t="s">
        <v>99</v>
      </c>
      <c r="I14" s="5" t="s">
        <v>100</v>
      </c>
      <c r="J14" s="6" t="s">
        <v>22</v>
      </c>
      <c r="K14" s="5" t="s">
        <v>101</v>
      </c>
      <c r="L14" s="7" t="s">
        <v>24</v>
      </c>
      <c r="M14" s="4" t="s">
        <v>34</v>
      </c>
      <c r="N14" s="14">
        <v>5</v>
      </c>
      <c r="O14" s="4" t="s">
        <v>26</v>
      </c>
    </row>
    <row r="15" spans="1:15" ht="60" hidden="1">
      <c r="A15" s="15" t="str">
        <f>+VLOOKUP(B15,Diccionario!$B$2:$C$81,2,0)</f>
        <v xml:space="preserve">Nueva regla de limitar saldo a favor </v>
      </c>
      <c r="B15" s="15" t="s">
        <v>102</v>
      </c>
      <c r="C15" s="15" t="s">
        <v>16</v>
      </c>
      <c r="D15" s="16" t="s">
        <v>103</v>
      </c>
      <c r="E15" s="15" t="s">
        <v>18</v>
      </c>
      <c r="F15" s="16" t="s">
        <v>104</v>
      </c>
      <c r="G15" s="16" t="s">
        <v>105</v>
      </c>
      <c r="H15" s="16" t="s">
        <v>106</v>
      </c>
      <c r="I15" s="16" t="s">
        <v>107</v>
      </c>
      <c r="J15" s="3" t="s">
        <v>22</v>
      </c>
      <c r="K15" s="16" t="s">
        <v>108</v>
      </c>
      <c r="L15" s="17" t="s">
        <v>24</v>
      </c>
      <c r="M15" s="15" t="s">
        <v>34</v>
      </c>
      <c r="N15" s="13">
        <v>8</v>
      </c>
      <c r="O15" s="15" t="s">
        <v>109</v>
      </c>
    </row>
    <row r="16" spans="1:15" ht="60" hidden="1">
      <c r="A16" s="4" t="str">
        <f>+VLOOKUP(B16,Diccionario!$B$2:$C$81,2,0)</f>
        <v>Nueva regla de limitar saldo a favor</v>
      </c>
      <c r="B16" s="4" t="s">
        <v>110</v>
      </c>
      <c r="C16" s="4" t="s">
        <v>16</v>
      </c>
      <c r="D16" s="5" t="s">
        <v>111</v>
      </c>
      <c r="E16" s="4" t="s">
        <v>18</v>
      </c>
      <c r="F16" s="5" t="s">
        <v>112</v>
      </c>
      <c r="G16" s="5" t="s">
        <v>113</v>
      </c>
      <c r="H16" s="5" t="s">
        <v>16</v>
      </c>
      <c r="I16" s="5" t="s">
        <v>114</v>
      </c>
      <c r="J16" s="9" t="s">
        <v>34</v>
      </c>
      <c r="K16" s="5" t="s">
        <v>115</v>
      </c>
      <c r="L16" s="7" t="s">
        <v>45</v>
      </c>
      <c r="M16" s="4" t="s">
        <v>25</v>
      </c>
      <c r="N16" s="14">
        <v>15</v>
      </c>
      <c r="O16" s="4" t="s">
        <v>109</v>
      </c>
    </row>
    <row r="17" spans="1:15" ht="70" hidden="1">
      <c r="A17" s="15" t="str">
        <f>+VLOOKUP(B17,Diccionario!$B$2:$C$81,2,0)</f>
        <v xml:space="preserve">Nueva regla de limitar saldo a favor </v>
      </c>
      <c r="B17" s="15" t="s">
        <v>116</v>
      </c>
      <c r="C17" s="15" t="s">
        <v>16</v>
      </c>
      <c r="D17" s="16" t="s">
        <v>117</v>
      </c>
      <c r="E17" s="15" t="s">
        <v>18</v>
      </c>
      <c r="F17" s="16" t="s">
        <v>118</v>
      </c>
      <c r="G17" s="16" t="s">
        <v>119</v>
      </c>
      <c r="H17" s="16" t="s">
        <v>120</v>
      </c>
      <c r="I17" s="16" t="s">
        <v>121</v>
      </c>
      <c r="J17" s="3" t="s">
        <v>22</v>
      </c>
      <c r="K17" s="16" t="s">
        <v>122</v>
      </c>
      <c r="L17" s="17" t="s">
        <v>24</v>
      </c>
      <c r="M17" s="15" t="s">
        <v>34</v>
      </c>
      <c r="N17" s="13">
        <v>8</v>
      </c>
      <c r="O17" s="15" t="s">
        <v>123</v>
      </c>
    </row>
    <row r="18" spans="1:15" ht="60" hidden="1">
      <c r="A18" s="4" t="str">
        <f>+VLOOKUP(B18,Diccionario!$B$2:$C$81,2,0)</f>
        <v>Pagos anticipados y Liquidaciones</v>
      </c>
      <c r="B18" s="4" t="s">
        <v>124</v>
      </c>
      <c r="C18" s="4" t="s">
        <v>16</v>
      </c>
      <c r="D18" s="5" t="s">
        <v>125</v>
      </c>
      <c r="E18" s="4" t="s">
        <v>18</v>
      </c>
      <c r="F18" s="5" t="s">
        <v>126</v>
      </c>
      <c r="G18" s="5" t="s">
        <v>127</v>
      </c>
      <c r="H18" s="5" t="s">
        <v>16</v>
      </c>
      <c r="I18" s="5" t="s">
        <v>128</v>
      </c>
      <c r="J18" s="6" t="s">
        <v>22</v>
      </c>
      <c r="K18" s="5" t="s">
        <v>129</v>
      </c>
      <c r="L18" s="7" t="s">
        <v>24</v>
      </c>
      <c r="M18" s="4" t="s">
        <v>25</v>
      </c>
      <c r="N18" s="14">
        <v>10</v>
      </c>
      <c r="O18" s="4" t="s">
        <v>26</v>
      </c>
    </row>
    <row r="19" spans="1:15" ht="80" hidden="1">
      <c r="A19" s="15" t="str">
        <f>+VLOOKUP(B19,Diccionario!$B$2:$C$81,2,0)</f>
        <v>Pagos anticipados y Liquidaciones</v>
      </c>
      <c r="B19" s="15" t="s">
        <v>130</v>
      </c>
      <c r="C19" s="15" t="s">
        <v>16</v>
      </c>
      <c r="D19" s="16" t="s">
        <v>131</v>
      </c>
      <c r="E19" s="15" t="s">
        <v>18</v>
      </c>
      <c r="F19" s="16" t="s">
        <v>132</v>
      </c>
      <c r="G19" s="16" t="s">
        <v>133</v>
      </c>
      <c r="H19" s="16" t="s">
        <v>134</v>
      </c>
      <c r="I19" s="16" t="s">
        <v>135</v>
      </c>
      <c r="J19" s="3" t="s">
        <v>22</v>
      </c>
      <c r="K19" s="16" t="s">
        <v>136</v>
      </c>
      <c r="L19" s="17" t="s">
        <v>24</v>
      </c>
      <c r="M19" s="15" t="s">
        <v>25</v>
      </c>
      <c r="N19" s="13">
        <v>12</v>
      </c>
      <c r="O19" s="15" t="s">
        <v>109</v>
      </c>
    </row>
    <row r="20" spans="1:15" ht="70" hidden="1">
      <c r="A20" s="4" t="str">
        <f>+VLOOKUP(B20,Diccionario!$B$2:$C$81,2,0)</f>
        <v>Pagos anticipados y Liquidaciones</v>
      </c>
      <c r="B20" s="4" t="s">
        <v>137</v>
      </c>
      <c r="C20" s="4" t="s">
        <v>16</v>
      </c>
      <c r="D20" s="5" t="s">
        <v>138</v>
      </c>
      <c r="E20" s="4" t="s">
        <v>18</v>
      </c>
      <c r="F20" s="5" t="s">
        <v>139</v>
      </c>
      <c r="G20" s="5" t="s">
        <v>140</v>
      </c>
      <c r="H20" s="5" t="s">
        <v>16</v>
      </c>
      <c r="I20" s="5" t="s">
        <v>135</v>
      </c>
      <c r="J20" s="6" t="s">
        <v>22</v>
      </c>
      <c r="K20" s="5" t="s">
        <v>141</v>
      </c>
      <c r="L20" s="7" t="s">
        <v>45</v>
      </c>
      <c r="M20" s="4" t="s">
        <v>22</v>
      </c>
      <c r="N20" s="14">
        <v>45</v>
      </c>
      <c r="O20" s="4" t="s">
        <v>142</v>
      </c>
    </row>
    <row r="21" spans="1:15" ht="60" hidden="1">
      <c r="A21" s="15" t="str">
        <f>+VLOOKUP(B21,Diccionario!$B$2:$C$81,2,0)</f>
        <v xml:space="preserve">Pagos anticipados y Liquidaciones </v>
      </c>
      <c r="B21" s="15" t="s">
        <v>143</v>
      </c>
      <c r="C21" s="15" t="s">
        <v>16</v>
      </c>
      <c r="D21" s="16" t="s">
        <v>144</v>
      </c>
      <c r="E21" s="15" t="s">
        <v>18</v>
      </c>
      <c r="F21" s="16" t="s">
        <v>145</v>
      </c>
      <c r="G21" s="16" t="s">
        <v>146</v>
      </c>
      <c r="H21" s="16" t="s">
        <v>147</v>
      </c>
      <c r="I21" s="16" t="s">
        <v>148</v>
      </c>
      <c r="J21" s="3" t="s">
        <v>22</v>
      </c>
      <c r="K21" s="16" t="s">
        <v>149</v>
      </c>
      <c r="L21" s="17" t="s">
        <v>24</v>
      </c>
      <c r="M21" s="15" t="s">
        <v>25</v>
      </c>
      <c r="N21" s="13">
        <v>12</v>
      </c>
      <c r="O21" s="15" t="s">
        <v>71</v>
      </c>
    </row>
    <row r="22" spans="1:15" ht="70" hidden="1">
      <c r="A22" s="4" t="str">
        <f>+VLOOKUP(B22,Diccionario!$B$2:$C$81,2,0)</f>
        <v xml:space="preserve">Pagos anticipados y Liquidaciones </v>
      </c>
      <c r="B22" s="4" t="s">
        <v>150</v>
      </c>
      <c r="C22" s="4" t="s">
        <v>16</v>
      </c>
      <c r="D22" s="5" t="s">
        <v>151</v>
      </c>
      <c r="E22" s="4" t="s">
        <v>18</v>
      </c>
      <c r="F22" s="5" t="s">
        <v>152</v>
      </c>
      <c r="G22" s="5" t="s">
        <v>153</v>
      </c>
      <c r="H22" s="5" t="s">
        <v>76</v>
      </c>
      <c r="I22" s="5" t="s">
        <v>135</v>
      </c>
      <c r="J22" s="6" t="s">
        <v>22</v>
      </c>
      <c r="K22" s="5" t="s">
        <v>154</v>
      </c>
      <c r="L22" s="7" t="s">
        <v>24</v>
      </c>
      <c r="M22" s="4" t="s">
        <v>25</v>
      </c>
      <c r="N22" s="14">
        <v>12</v>
      </c>
      <c r="O22" s="4" t="s">
        <v>109</v>
      </c>
    </row>
    <row r="23" spans="1:15" ht="70" hidden="1">
      <c r="A23" s="15" t="str">
        <f>+VLOOKUP(B23,Diccionario!$B$2:$C$81,2,0)</f>
        <v>Cancelación de Compras Diferidas</v>
      </c>
      <c r="B23" s="15" t="s">
        <v>155</v>
      </c>
      <c r="C23" s="15" t="s">
        <v>16</v>
      </c>
      <c r="D23" s="16" t="s">
        <v>156</v>
      </c>
      <c r="E23" s="15" t="s">
        <v>18</v>
      </c>
      <c r="F23" s="16" t="s">
        <v>157</v>
      </c>
      <c r="G23" s="16" t="s">
        <v>158</v>
      </c>
      <c r="H23" s="16" t="s">
        <v>76</v>
      </c>
      <c r="I23" s="16" t="s">
        <v>159</v>
      </c>
      <c r="J23" s="8" t="s">
        <v>25</v>
      </c>
      <c r="K23" s="16" t="s">
        <v>160</v>
      </c>
      <c r="L23" s="17" t="s">
        <v>45</v>
      </c>
      <c r="M23" s="15" t="s">
        <v>22</v>
      </c>
      <c r="N23" s="13">
        <v>30</v>
      </c>
      <c r="O23" s="15" t="s">
        <v>109</v>
      </c>
    </row>
    <row r="24" spans="1:15" ht="50" hidden="1">
      <c r="A24" s="4" t="str">
        <f>+VLOOKUP(B24,Diccionario!$B$2:$C$81,2,0)</f>
        <v>Visualización del Módulo TDC en el home</v>
      </c>
      <c r="B24" s="4" t="s">
        <v>161</v>
      </c>
      <c r="C24" s="4" t="s">
        <v>162</v>
      </c>
      <c r="D24" s="5" t="s">
        <v>163</v>
      </c>
      <c r="E24" s="4" t="s">
        <v>18</v>
      </c>
      <c r="F24" s="5" t="s">
        <v>164</v>
      </c>
      <c r="G24" s="5" t="s">
        <v>165</v>
      </c>
      <c r="H24" s="5" t="s">
        <v>166</v>
      </c>
      <c r="I24" s="5" t="s">
        <v>135</v>
      </c>
      <c r="J24" s="6" t="s">
        <v>22</v>
      </c>
      <c r="K24" s="5" t="s">
        <v>167</v>
      </c>
      <c r="L24" s="7" t="s">
        <v>45</v>
      </c>
      <c r="M24" s="4" t="s">
        <v>22</v>
      </c>
      <c r="N24" s="14">
        <v>20</v>
      </c>
      <c r="O24" s="4" t="s">
        <v>168</v>
      </c>
    </row>
    <row r="25" spans="1:15" ht="60" hidden="1">
      <c r="A25" s="15" t="str">
        <f>+VLOOKUP(B25,Diccionario!$B$2:$C$81,2,0)</f>
        <v>Visualización del Módulo TDC en el home</v>
      </c>
      <c r="B25" s="15" t="s">
        <v>169</v>
      </c>
      <c r="C25" s="15" t="s">
        <v>162</v>
      </c>
      <c r="D25" s="16" t="s">
        <v>170</v>
      </c>
      <c r="E25" s="15" t="s">
        <v>18</v>
      </c>
      <c r="F25" s="16" t="s">
        <v>171</v>
      </c>
      <c r="G25" s="16" t="s">
        <v>172</v>
      </c>
      <c r="H25" s="16" t="s">
        <v>166</v>
      </c>
      <c r="I25" s="16" t="s">
        <v>135</v>
      </c>
      <c r="J25" s="3" t="s">
        <v>22</v>
      </c>
      <c r="K25" s="16" t="s">
        <v>173</v>
      </c>
      <c r="L25" s="17" t="s">
        <v>45</v>
      </c>
      <c r="M25" s="15" t="s">
        <v>25</v>
      </c>
      <c r="N25" s="13">
        <v>15</v>
      </c>
      <c r="O25" s="15" t="s">
        <v>168</v>
      </c>
    </row>
    <row r="26" spans="1:15" ht="70" hidden="1">
      <c r="A26" s="4" t="str">
        <f>+VLOOKUP(B26,Diccionario!$B$2:$C$81,2,0)</f>
        <v>Visualización del Módulo TDC en el home</v>
      </c>
      <c r="B26" s="4" t="s">
        <v>174</v>
      </c>
      <c r="C26" s="4" t="s">
        <v>162</v>
      </c>
      <c r="D26" s="5" t="s">
        <v>175</v>
      </c>
      <c r="E26" s="4" t="s">
        <v>18</v>
      </c>
      <c r="F26" s="5" t="s">
        <v>176</v>
      </c>
      <c r="G26" s="5" t="s">
        <v>177</v>
      </c>
      <c r="H26" s="5" t="s">
        <v>166</v>
      </c>
      <c r="I26" s="5" t="s">
        <v>135</v>
      </c>
      <c r="J26" s="6" t="s">
        <v>22</v>
      </c>
      <c r="K26" s="5" t="s">
        <v>178</v>
      </c>
      <c r="L26" s="7" t="s">
        <v>45</v>
      </c>
      <c r="M26" s="4" t="s">
        <v>22</v>
      </c>
      <c r="N26" s="14">
        <v>18</v>
      </c>
      <c r="O26" s="4" t="s">
        <v>168</v>
      </c>
    </row>
    <row r="27" spans="1:15" ht="80" hidden="1">
      <c r="A27" s="15" t="str">
        <f>+VLOOKUP(B27,Diccionario!$B$2:$C$81,2,0)</f>
        <v>Submódulo tarjeta física y digital</v>
      </c>
      <c r="B27" s="15" t="s">
        <v>179</v>
      </c>
      <c r="C27" s="15" t="s">
        <v>162</v>
      </c>
      <c r="D27" s="16" t="s">
        <v>180</v>
      </c>
      <c r="E27" s="15" t="s">
        <v>18</v>
      </c>
      <c r="F27" s="16" t="s">
        <v>181</v>
      </c>
      <c r="G27" s="16" t="s">
        <v>182</v>
      </c>
      <c r="H27" s="16" t="s">
        <v>166</v>
      </c>
      <c r="I27" s="16" t="s">
        <v>135</v>
      </c>
      <c r="J27" s="3" t="s">
        <v>22</v>
      </c>
      <c r="K27" s="16" t="s">
        <v>183</v>
      </c>
      <c r="L27" s="17" t="s">
        <v>45</v>
      </c>
      <c r="M27" s="15" t="s">
        <v>25</v>
      </c>
      <c r="N27" s="13">
        <v>12</v>
      </c>
      <c r="O27" s="15" t="s">
        <v>168</v>
      </c>
    </row>
    <row r="28" spans="1:15" ht="70" hidden="1">
      <c r="A28" s="4" t="str">
        <f>+VLOOKUP(B28,Diccionario!$B$2:$C$81,2,0)</f>
        <v>Submódulo tarjeta física y digital</v>
      </c>
      <c r="B28" s="4" t="s">
        <v>184</v>
      </c>
      <c r="C28" s="4" t="s">
        <v>162</v>
      </c>
      <c r="D28" s="5" t="s">
        <v>185</v>
      </c>
      <c r="E28" s="4" t="s">
        <v>18</v>
      </c>
      <c r="F28" s="5" t="s">
        <v>186</v>
      </c>
      <c r="G28" s="5" t="s">
        <v>187</v>
      </c>
      <c r="H28" s="5" t="s">
        <v>166</v>
      </c>
      <c r="I28" s="5" t="s">
        <v>135</v>
      </c>
      <c r="J28" s="6" t="s">
        <v>22</v>
      </c>
      <c r="K28" s="5" t="s">
        <v>188</v>
      </c>
      <c r="L28" s="7" t="s">
        <v>45</v>
      </c>
      <c r="M28" s="4" t="s">
        <v>25</v>
      </c>
      <c r="N28" s="14">
        <v>10</v>
      </c>
      <c r="O28" s="4" t="s">
        <v>168</v>
      </c>
    </row>
    <row r="29" spans="1:15" ht="60" hidden="1">
      <c r="A29" s="15" t="str">
        <f>+VLOOKUP(B29,Diccionario!$B$2:$C$81,2,0)</f>
        <v>Submódulo tarjeta física y digital</v>
      </c>
      <c r="B29" s="15" t="s">
        <v>189</v>
      </c>
      <c r="C29" s="15" t="s">
        <v>162</v>
      </c>
      <c r="D29" s="16" t="s">
        <v>190</v>
      </c>
      <c r="E29" s="15" t="s">
        <v>18</v>
      </c>
      <c r="F29" s="16" t="s">
        <v>191</v>
      </c>
      <c r="G29" s="16" t="s">
        <v>192</v>
      </c>
      <c r="H29" s="16" t="s">
        <v>166</v>
      </c>
      <c r="I29" s="16" t="s">
        <v>135</v>
      </c>
      <c r="J29" s="3" t="s">
        <v>22</v>
      </c>
      <c r="K29" s="16" t="s">
        <v>193</v>
      </c>
      <c r="L29" s="17" t="s">
        <v>45</v>
      </c>
      <c r="M29" s="15" t="s">
        <v>25</v>
      </c>
      <c r="N29" s="13">
        <v>8</v>
      </c>
      <c r="O29" s="15" t="s">
        <v>166</v>
      </c>
    </row>
    <row r="30" spans="1:15" ht="70" hidden="1">
      <c r="A30" s="4" t="str">
        <f>+VLOOKUP(B30,Diccionario!$B$2:$C$81,2,0)</f>
        <v>Visualización de transacciones en detalle</v>
      </c>
      <c r="B30" s="4" t="s">
        <v>194</v>
      </c>
      <c r="C30" s="4" t="s">
        <v>162</v>
      </c>
      <c r="D30" s="5" t="s">
        <v>195</v>
      </c>
      <c r="E30" s="4" t="s">
        <v>18</v>
      </c>
      <c r="F30" s="5" t="s">
        <v>196</v>
      </c>
      <c r="G30" s="5" t="s">
        <v>197</v>
      </c>
      <c r="H30" s="5" t="s">
        <v>166</v>
      </c>
      <c r="I30" s="5" t="s">
        <v>135</v>
      </c>
      <c r="J30" s="6" t="s">
        <v>22</v>
      </c>
      <c r="K30" s="5" t="s">
        <v>198</v>
      </c>
      <c r="L30" s="7" t="s">
        <v>45</v>
      </c>
      <c r="M30" s="4" t="s">
        <v>25</v>
      </c>
      <c r="N30" s="14">
        <v>12</v>
      </c>
      <c r="O30" s="4" t="s">
        <v>168</v>
      </c>
    </row>
    <row r="31" spans="1:15" ht="80" hidden="1">
      <c r="A31" s="15" t="str">
        <f>+VLOOKUP(B31,Diccionario!$B$2:$C$81,2,0)</f>
        <v>Visualización de transacciones en detalle</v>
      </c>
      <c r="B31" s="15" t="s">
        <v>199</v>
      </c>
      <c r="C31" s="15" t="s">
        <v>162</v>
      </c>
      <c r="D31" s="16" t="s">
        <v>200</v>
      </c>
      <c r="E31" s="15" t="s">
        <v>18</v>
      </c>
      <c r="F31" s="16" t="s">
        <v>201</v>
      </c>
      <c r="G31" s="16" t="s">
        <v>202</v>
      </c>
      <c r="H31" s="16" t="s">
        <v>166</v>
      </c>
      <c r="I31" s="16" t="s">
        <v>135</v>
      </c>
      <c r="J31" s="3" t="s">
        <v>22</v>
      </c>
      <c r="K31" s="16" t="s">
        <v>203</v>
      </c>
      <c r="L31" s="17" t="s">
        <v>45</v>
      </c>
      <c r="M31" s="15" t="s">
        <v>25</v>
      </c>
      <c r="N31" s="13">
        <v>8</v>
      </c>
      <c r="O31" s="15" t="s">
        <v>168</v>
      </c>
    </row>
    <row r="32" spans="1:15" ht="70" hidden="1">
      <c r="A32" s="4" t="str">
        <f>+VLOOKUP(B32,Diccionario!$B$2:$C$81,2,0)</f>
        <v xml:space="preserve">Bloqueo temporal y Desbloqueo desde APP </v>
      </c>
      <c r="B32" s="4" t="s">
        <v>204</v>
      </c>
      <c r="C32" s="4" t="s">
        <v>162</v>
      </c>
      <c r="D32" s="5" t="s">
        <v>205</v>
      </c>
      <c r="E32" s="4" t="s">
        <v>18</v>
      </c>
      <c r="F32" s="5" t="s">
        <v>206</v>
      </c>
      <c r="G32" s="5" t="s">
        <v>207</v>
      </c>
      <c r="H32" s="5" t="s">
        <v>208</v>
      </c>
      <c r="I32" s="5" t="s">
        <v>135</v>
      </c>
      <c r="J32" s="6" t="s">
        <v>22</v>
      </c>
      <c r="K32" s="5" t="s">
        <v>209</v>
      </c>
      <c r="L32" s="7" t="s">
        <v>24</v>
      </c>
      <c r="M32" s="4" t="s">
        <v>34</v>
      </c>
      <c r="N32" s="14">
        <v>6</v>
      </c>
      <c r="O32" s="4" t="s">
        <v>168</v>
      </c>
    </row>
    <row r="33" spans="1:15" ht="60" hidden="1">
      <c r="A33" s="15" t="str">
        <f>+VLOOKUP(B33,Diccionario!$B$2:$C$81,2,0)</f>
        <v xml:space="preserve">Bloqueo temporal y Desbloqueo desde APP </v>
      </c>
      <c r="B33" s="15" t="s">
        <v>210</v>
      </c>
      <c r="C33" s="15" t="s">
        <v>162</v>
      </c>
      <c r="D33" s="16" t="s">
        <v>211</v>
      </c>
      <c r="E33" s="15" t="s">
        <v>18</v>
      </c>
      <c r="F33" s="16" t="s">
        <v>212</v>
      </c>
      <c r="G33" s="16" t="s">
        <v>213</v>
      </c>
      <c r="H33" s="16" t="s">
        <v>208</v>
      </c>
      <c r="I33" s="16" t="s">
        <v>135</v>
      </c>
      <c r="J33" s="3" t="s">
        <v>22</v>
      </c>
      <c r="K33" s="16" t="s">
        <v>214</v>
      </c>
      <c r="L33" s="17" t="s">
        <v>24</v>
      </c>
      <c r="M33" s="15" t="s">
        <v>34</v>
      </c>
      <c r="N33" s="13">
        <v>5</v>
      </c>
      <c r="O33" s="15" t="s">
        <v>168</v>
      </c>
    </row>
    <row r="34" spans="1:15" ht="60" hidden="1">
      <c r="A34" s="4" t="str">
        <f>+VLOOKUP(B34,Diccionario!$B$2:$C$81,2,0)</f>
        <v>Eliminación y generación de tarjeta digital</v>
      </c>
      <c r="B34" s="4" t="s">
        <v>215</v>
      </c>
      <c r="C34" s="4" t="s">
        <v>162</v>
      </c>
      <c r="D34" s="5" t="s">
        <v>216</v>
      </c>
      <c r="E34" s="4" t="s">
        <v>18</v>
      </c>
      <c r="F34" s="5" t="s">
        <v>217</v>
      </c>
      <c r="G34" s="5" t="s">
        <v>218</v>
      </c>
      <c r="H34" s="5" t="s">
        <v>166</v>
      </c>
      <c r="I34" s="5" t="s">
        <v>135</v>
      </c>
      <c r="J34" s="6" t="s">
        <v>22</v>
      </c>
      <c r="K34" s="5" t="s">
        <v>219</v>
      </c>
      <c r="L34" s="7" t="s">
        <v>45</v>
      </c>
      <c r="M34" s="4" t="s">
        <v>25</v>
      </c>
      <c r="N34" s="14">
        <v>8</v>
      </c>
      <c r="O34" s="4" t="s">
        <v>168</v>
      </c>
    </row>
    <row r="35" spans="1:15" ht="70" hidden="1">
      <c r="A35" s="15" t="str">
        <f>+VLOOKUP(B35,Diccionario!$B$2:$C$81,2,0)</f>
        <v>Eliminación y generación de tarjeta digital</v>
      </c>
      <c r="B35" s="15" t="s">
        <v>220</v>
      </c>
      <c r="C35" s="15" t="s">
        <v>162</v>
      </c>
      <c r="D35" s="16" t="s">
        <v>221</v>
      </c>
      <c r="E35" s="15" t="s">
        <v>18</v>
      </c>
      <c r="F35" s="16" t="s">
        <v>222</v>
      </c>
      <c r="G35" s="16" t="s">
        <v>223</v>
      </c>
      <c r="H35" s="16" t="s">
        <v>166</v>
      </c>
      <c r="I35" s="16" t="s">
        <v>135</v>
      </c>
      <c r="J35" s="3" t="s">
        <v>22</v>
      </c>
      <c r="K35" s="16" t="s">
        <v>224</v>
      </c>
      <c r="L35" s="17" t="s">
        <v>45</v>
      </c>
      <c r="M35" s="15" t="s">
        <v>25</v>
      </c>
      <c r="N35" s="13">
        <v>8</v>
      </c>
      <c r="O35" s="15" t="s">
        <v>168</v>
      </c>
    </row>
    <row r="36" spans="1:15" ht="70" hidden="1">
      <c r="A36" s="4" t="str">
        <f>+VLOOKUP(B36,Diccionario!$B$2:$C$81,2,0)</f>
        <v>Eliminación y generación de tarjeta digital</v>
      </c>
      <c r="B36" s="4" t="s">
        <v>225</v>
      </c>
      <c r="C36" s="4" t="s">
        <v>162</v>
      </c>
      <c r="D36" s="5" t="s">
        <v>226</v>
      </c>
      <c r="E36" s="4" t="s">
        <v>18</v>
      </c>
      <c r="F36" s="5" t="s">
        <v>227</v>
      </c>
      <c r="G36" s="5" t="s">
        <v>228</v>
      </c>
      <c r="H36" s="5" t="s">
        <v>166</v>
      </c>
      <c r="I36" s="5" t="s">
        <v>135</v>
      </c>
      <c r="J36" s="6" t="s">
        <v>22</v>
      </c>
      <c r="K36" s="5" t="s">
        <v>229</v>
      </c>
      <c r="L36" s="7" t="s">
        <v>45</v>
      </c>
      <c r="M36" s="4" t="s">
        <v>25</v>
      </c>
      <c r="N36" s="14">
        <v>5</v>
      </c>
      <c r="O36" s="4" t="s">
        <v>166</v>
      </c>
    </row>
    <row r="37" spans="1:15" ht="60" hidden="1">
      <c r="A37" s="15" t="str">
        <f>+VLOOKUP(B37,Diccionario!$B$2:$C$81,2,0)</f>
        <v>Pagos anticipados y Liquidaciones</v>
      </c>
      <c r="B37" s="15" t="s">
        <v>230</v>
      </c>
      <c r="C37" s="15" t="s">
        <v>162</v>
      </c>
      <c r="D37" s="16" t="s">
        <v>231</v>
      </c>
      <c r="E37" s="15" t="s">
        <v>18</v>
      </c>
      <c r="F37" s="16" t="s">
        <v>232</v>
      </c>
      <c r="G37" s="16" t="s">
        <v>233</v>
      </c>
      <c r="H37" s="16" t="s">
        <v>234</v>
      </c>
      <c r="I37" s="16" t="s">
        <v>135</v>
      </c>
      <c r="J37" s="10" t="s">
        <v>34</v>
      </c>
      <c r="K37" s="16" t="s">
        <v>235</v>
      </c>
      <c r="L37" s="17" t="s">
        <v>45</v>
      </c>
      <c r="M37" s="15" t="s">
        <v>25</v>
      </c>
      <c r="N37" s="13">
        <v>10</v>
      </c>
      <c r="O37" s="15" t="s">
        <v>168</v>
      </c>
    </row>
    <row r="38" spans="1:15" ht="60" hidden="1">
      <c r="A38" s="4" t="str">
        <f>+VLOOKUP(B38,Diccionario!$B$2:$C$81,2,0)</f>
        <v>Pagos anticipados y Liquidaciones</v>
      </c>
      <c r="B38" s="4" t="s">
        <v>236</v>
      </c>
      <c r="C38" s="4" t="s">
        <v>162</v>
      </c>
      <c r="D38" s="5" t="s">
        <v>237</v>
      </c>
      <c r="E38" s="4" t="s">
        <v>18</v>
      </c>
      <c r="F38" s="5" t="s">
        <v>238</v>
      </c>
      <c r="G38" s="5" t="s">
        <v>239</v>
      </c>
      <c r="H38" s="5" t="s">
        <v>234</v>
      </c>
      <c r="I38" s="5" t="s">
        <v>135</v>
      </c>
      <c r="J38" s="9" t="s">
        <v>34</v>
      </c>
      <c r="K38" s="5" t="s">
        <v>240</v>
      </c>
      <c r="L38" s="7" t="s">
        <v>45</v>
      </c>
      <c r="M38" s="4" t="s">
        <v>25</v>
      </c>
      <c r="N38" s="14">
        <v>8</v>
      </c>
      <c r="O38" s="4" t="s">
        <v>168</v>
      </c>
    </row>
    <row r="39" spans="1:15" ht="80" hidden="1">
      <c r="A39" s="15" t="str">
        <f>+VLOOKUP(B39,Diccionario!$B$2:$C$81,2,0)</f>
        <v>Cancelación de Compras Diferidas</v>
      </c>
      <c r="B39" s="15" t="s">
        <v>241</v>
      </c>
      <c r="C39" s="15" t="s">
        <v>162</v>
      </c>
      <c r="D39" s="16" t="s">
        <v>242</v>
      </c>
      <c r="E39" s="15" t="s">
        <v>18</v>
      </c>
      <c r="F39" s="16" t="s">
        <v>243</v>
      </c>
      <c r="G39" s="16" t="s">
        <v>244</v>
      </c>
      <c r="H39" s="16" t="s">
        <v>234</v>
      </c>
      <c r="I39" s="16" t="s">
        <v>135</v>
      </c>
      <c r="J39" s="10" t="s">
        <v>34</v>
      </c>
      <c r="K39" s="16" t="s">
        <v>245</v>
      </c>
      <c r="L39" s="17" t="s">
        <v>45</v>
      </c>
      <c r="M39" s="15" t="s">
        <v>22</v>
      </c>
      <c r="N39" s="13">
        <v>15</v>
      </c>
      <c r="O39" s="15" t="s">
        <v>168</v>
      </c>
    </row>
    <row r="40" spans="1:15" ht="100" hidden="1">
      <c r="A40" s="4" t="str">
        <f>+VLOOKUP(B40,Diccionario!$B$2:$C$81,2,0)</f>
        <v>HU Adicional S12 / Actualización de pago mínimo, PPNGI y saldo tras pago</v>
      </c>
      <c r="B40" s="4" t="s">
        <v>246</v>
      </c>
      <c r="C40" s="4" t="s">
        <v>162</v>
      </c>
      <c r="D40" s="5" t="s">
        <v>247</v>
      </c>
      <c r="E40" s="4" t="s">
        <v>18</v>
      </c>
      <c r="F40" s="5" t="s">
        <v>248</v>
      </c>
      <c r="G40" s="5" t="s">
        <v>249</v>
      </c>
      <c r="H40" s="5" t="s">
        <v>166</v>
      </c>
      <c r="I40" s="5" t="s">
        <v>135</v>
      </c>
      <c r="J40" s="6" t="s">
        <v>22</v>
      </c>
      <c r="K40" s="5" t="s">
        <v>250</v>
      </c>
      <c r="L40" s="7" t="s">
        <v>45</v>
      </c>
      <c r="M40" s="4" t="s">
        <v>22</v>
      </c>
      <c r="N40" s="14">
        <v>20</v>
      </c>
      <c r="O40" s="4" t="s">
        <v>251</v>
      </c>
    </row>
    <row r="41" spans="1:15" ht="60" hidden="1">
      <c r="A41" s="15" t="str">
        <f>+VLOOKUP(B41,Diccionario!$B$2:$C$81,2,0)</f>
        <v xml:space="preserve">Nueva regla de limitar saldo a favor </v>
      </c>
      <c r="B41" s="15" t="s">
        <v>252</v>
      </c>
      <c r="C41" s="15" t="s">
        <v>162</v>
      </c>
      <c r="D41" s="16" t="s">
        <v>253</v>
      </c>
      <c r="E41" s="15" t="s">
        <v>18</v>
      </c>
      <c r="F41" s="16" t="s">
        <v>254</v>
      </c>
      <c r="G41" s="16" t="s">
        <v>255</v>
      </c>
      <c r="H41" s="16" t="s">
        <v>256</v>
      </c>
      <c r="I41" s="16" t="s">
        <v>257</v>
      </c>
      <c r="J41" s="3" t="s">
        <v>22</v>
      </c>
      <c r="K41" s="16" t="s">
        <v>258</v>
      </c>
      <c r="L41" s="17" t="s">
        <v>45</v>
      </c>
      <c r="M41" s="15" t="s">
        <v>22</v>
      </c>
      <c r="N41" s="13">
        <v>15</v>
      </c>
      <c r="O41" s="15" t="s">
        <v>259</v>
      </c>
    </row>
    <row r="42" spans="1:15" ht="70" hidden="1">
      <c r="A42" s="4" t="str">
        <f>+VLOOKUP(B42,Diccionario!$B$2:$C$81,2,0)</f>
        <v xml:space="preserve">Nueva regla de limitar saldo a favor </v>
      </c>
      <c r="B42" s="4" t="s">
        <v>260</v>
      </c>
      <c r="C42" s="4" t="s">
        <v>162</v>
      </c>
      <c r="D42" s="5" t="s">
        <v>261</v>
      </c>
      <c r="E42" s="4" t="s">
        <v>18</v>
      </c>
      <c r="F42" s="5" t="s">
        <v>262</v>
      </c>
      <c r="G42" s="5" t="s">
        <v>263</v>
      </c>
      <c r="H42" s="5" t="s">
        <v>166</v>
      </c>
      <c r="I42" s="5" t="s">
        <v>135</v>
      </c>
      <c r="J42" s="6" t="s">
        <v>22</v>
      </c>
      <c r="K42" s="5" t="s">
        <v>264</v>
      </c>
      <c r="L42" s="7" t="s">
        <v>45</v>
      </c>
      <c r="M42" s="4" t="s">
        <v>34</v>
      </c>
      <c r="N42" s="14">
        <v>5</v>
      </c>
      <c r="O42" s="4" t="s">
        <v>168</v>
      </c>
    </row>
    <row r="43" spans="1:15" ht="70" hidden="1">
      <c r="A43" s="15" t="str">
        <f>+VLOOKUP(B43,Diccionario!$B$2:$C$81,2,0)</f>
        <v xml:space="preserve">Nueva regla de limitar saldo a favor </v>
      </c>
      <c r="B43" s="15" t="s">
        <v>265</v>
      </c>
      <c r="C43" s="15" t="s">
        <v>162</v>
      </c>
      <c r="D43" s="16" t="s">
        <v>266</v>
      </c>
      <c r="E43" s="15" t="s">
        <v>18</v>
      </c>
      <c r="F43" s="16" t="s">
        <v>267</v>
      </c>
      <c r="G43" s="16" t="s">
        <v>268</v>
      </c>
      <c r="H43" s="16" t="s">
        <v>166</v>
      </c>
      <c r="I43" s="16" t="s">
        <v>135</v>
      </c>
      <c r="J43" s="3" t="s">
        <v>22</v>
      </c>
      <c r="K43" s="16" t="s">
        <v>269</v>
      </c>
      <c r="L43" s="17" t="s">
        <v>45</v>
      </c>
      <c r="M43" s="15" t="s">
        <v>34</v>
      </c>
      <c r="N43" s="13">
        <v>5</v>
      </c>
      <c r="O43" s="15" t="s">
        <v>166</v>
      </c>
    </row>
    <row r="44" spans="1:15" ht="70" hidden="1">
      <c r="A44" s="4" t="str">
        <f>+VLOOKUP(B44,Diccionario!$B$2:$C$81,2,0)</f>
        <v>Alta del producto 4900 en el IVR</v>
      </c>
      <c r="B44" s="4" t="s">
        <v>270</v>
      </c>
      <c r="C44" s="4" t="s">
        <v>271</v>
      </c>
      <c r="D44" s="5" t="s">
        <v>272</v>
      </c>
      <c r="E44" s="4" t="s">
        <v>18</v>
      </c>
      <c r="F44" s="5" t="s">
        <v>273</v>
      </c>
      <c r="G44" s="5" t="s">
        <v>274</v>
      </c>
      <c r="H44" s="5" t="s">
        <v>275</v>
      </c>
      <c r="I44" s="5" t="s">
        <v>276</v>
      </c>
      <c r="J44" s="6" t="s">
        <v>22</v>
      </c>
      <c r="K44" s="5" t="s">
        <v>277</v>
      </c>
      <c r="L44" s="7" t="s">
        <v>24</v>
      </c>
      <c r="M44" s="4" t="s">
        <v>25</v>
      </c>
      <c r="N44" s="14">
        <v>15</v>
      </c>
      <c r="O44" s="4" t="s">
        <v>278</v>
      </c>
    </row>
    <row r="45" spans="1:15" ht="60" hidden="1">
      <c r="A45" s="15" t="str">
        <f>+VLOOKUP(B45,Diccionario!$B$2:$C$81,2,0)</f>
        <v>Alta del producto 4900 en el IVR</v>
      </c>
      <c r="B45" s="15" t="s">
        <v>279</v>
      </c>
      <c r="C45" s="15" t="s">
        <v>271</v>
      </c>
      <c r="D45" s="16" t="s">
        <v>280</v>
      </c>
      <c r="E45" s="15" t="s">
        <v>18</v>
      </c>
      <c r="F45" s="16" t="s">
        <v>281</v>
      </c>
      <c r="G45" s="16" t="s">
        <v>282</v>
      </c>
      <c r="H45" s="16" t="s">
        <v>275</v>
      </c>
      <c r="I45" s="16" t="s">
        <v>276</v>
      </c>
      <c r="J45" s="3" t="s">
        <v>22</v>
      </c>
      <c r="K45" s="16" t="s">
        <v>283</v>
      </c>
      <c r="L45" s="17" t="s">
        <v>24</v>
      </c>
      <c r="M45" s="15" t="s">
        <v>25</v>
      </c>
      <c r="N45" s="13">
        <v>10</v>
      </c>
      <c r="O45" s="15" t="s">
        <v>278</v>
      </c>
    </row>
    <row r="46" spans="1:15" ht="80" hidden="1">
      <c r="A46" s="4" t="str">
        <f>+VLOOKUP(B46,Diccionario!$B$2:$C$81,2,0)</f>
        <v>Identificación de clientes Apolo en CAT</v>
      </c>
      <c r="B46" s="4" t="s">
        <v>284</v>
      </c>
      <c r="C46" s="4" t="s">
        <v>271</v>
      </c>
      <c r="D46" s="5" t="s">
        <v>285</v>
      </c>
      <c r="E46" s="4" t="s">
        <v>18</v>
      </c>
      <c r="F46" s="5" t="s">
        <v>286</v>
      </c>
      <c r="G46" s="5" t="s">
        <v>287</v>
      </c>
      <c r="H46" s="5" t="s">
        <v>288</v>
      </c>
      <c r="I46" s="5" t="s">
        <v>289</v>
      </c>
      <c r="J46" s="6" t="s">
        <v>22</v>
      </c>
      <c r="K46" s="5" t="s">
        <v>290</v>
      </c>
      <c r="L46" s="7" t="s">
        <v>24</v>
      </c>
      <c r="M46" s="4" t="s">
        <v>25</v>
      </c>
      <c r="N46" s="14">
        <v>12</v>
      </c>
      <c r="O46" s="4" t="s">
        <v>291</v>
      </c>
    </row>
    <row r="47" spans="1:15" ht="70" hidden="1">
      <c r="A47" s="15" t="str">
        <f>+VLOOKUP(B47,Diccionario!$B$2:$C$81,2,0)</f>
        <v>Identificación de clientes Apolo en CAT</v>
      </c>
      <c r="B47" s="15" t="s">
        <v>292</v>
      </c>
      <c r="C47" s="15" t="s">
        <v>271</v>
      </c>
      <c r="D47" s="16" t="s">
        <v>293</v>
      </c>
      <c r="E47" s="15" t="s">
        <v>18</v>
      </c>
      <c r="F47" s="16" t="s">
        <v>294</v>
      </c>
      <c r="G47" s="16" t="s">
        <v>295</v>
      </c>
      <c r="H47" s="16" t="s">
        <v>288</v>
      </c>
      <c r="I47" s="16" t="s">
        <v>289</v>
      </c>
      <c r="J47" s="3" t="s">
        <v>22</v>
      </c>
      <c r="K47" s="16" t="s">
        <v>296</v>
      </c>
      <c r="L47" s="17" t="s">
        <v>24</v>
      </c>
      <c r="M47" s="15" t="s">
        <v>34</v>
      </c>
      <c r="N47" s="13">
        <v>8</v>
      </c>
      <c r="O47" s="15" t="s">
        <v>297</v>
      </c>
    </row>
    <row r="48" spans="1:15" ht="70" hidden="1">
      <c r="A48" s="4" t="str">
        <f>+VLOOKUP(B48,Diccionario!$B$2:$C$81,2,0)</f>
        <v>Bloqueo de tarjeta física y digital desde CAT</v>
      </c>
      <c r="B48" s="4" t="s">
        <v>298</v>
      </c>
      <c r="C48" s="4" t="s">
        <v>271</v>
      </c>
      <c r="D48" s="5" t="s">
        <v>299</v>
      </c>
      <c r="E48" s="4" t="s">
        <v>18</v>
      </c>
      <c r="F48" s="5" t="s">
        <v>300</v>
      </c>
      <c r="G48" s="5" t="s">
        <v>301</v>
      </c>
      <c r="H48" s="5" t="s">
        <v>302</v>
      </c>
      <c r="I48" s="5" t="s">
        <v>289</v>
      </c>
      <c r="J48" s="6" t="s">
        <v>22</v>
      </c>
      <c r="K48" s="5" t="s">
        <v>303</v>
      </c>
      <c r="L48" s="7" t="s">
        <v>24</v>
      </c>
      <c r="M48" s="4" t="s">
        <v>34</v>
      </c>
      <c r="N48" s="14">
        <v>6</v>
      </c>
      <c r="O48" s="4" t="s">
        <v>297</v>
      </c>
    </row>
    <row r="49" spans="1:15" ht="70" hidden="1">
      <c r="A49" s="15" t="str">
        <f>+VLOOKUP(B49,Diccionario!$B$2:$C$81,2,0)</f>
        <v>Bloqueo de tarjeta física y digital desde CAT</v>
      </c>
      <c r="B49" s="15" t="s">
        <v>304</v>
      </c>
      <c r="C49" s="15" t="s">
        <v>271</v>
      </c>
      <c r="D49" s="16" t="s">
        <v>305</v>
      </c>
      <c r="E49" s="15" t="s">
        <v>18</v>
      </c>
      <c r="F49" s="16" t="s">
        <v>306</v>
      </c>
      <c r="G49" s="16" t="s">
        <v>307</v>
      </c>
      <c r="H49" s="16" t="s">
        <v>302</v>
      </c>
      <c r="I49" s="16" t="s">
        <v>289</v>
      </c>
      <c r="J49" s="3" t="s">
        <v>22</v>
      </c>
      <c r="K49" s="16" t="s">
        <v>308</v>
      </c>
      <c r="L49" s="17" t="s">
        <v>24</v>
      </c>
      <c r="M49" s="15" t="s">
        <v>25</v>
      </c>
      <c r="N49" s="13">
        <v>8</v>
      </c>
      <c r="O49" s="15" t="s">
        <v>297</v>
      </c>
    </row>
    <row r="50" spans="1:15" ht="80" hidden="1">
      <c r="A50" s="4" t="str">
        <f>+VLOOKUP(B50,Diccionario!$B$2:$C$81,2,0)</f>
        <v>Bloqueo de tarjeta física y digital desde CAT</v>
      </c>
      <c r="B50" s="4" t="s">
        <v>309</v>
      </c>
      <c r="C50" s="4" t="s">
        <v>271</v>
      </c>
      <c r="D50" s="5" t="s">
        <v>310</v>
      </c>
      <c r="E50" s="4" t="s">
        <v>18</v>
      </c>
      <c r="F50" s="5" t="s">
        <v>311</v>
      </c>
      <c r="G50" s="5" t="s">
        <v>312</v>
      </c>
      <c r="H50" s="5" t="s">
        <v>288</v>
      </c>
      <c r="I50" s="5" t="s">
        <v>289</v>
      </c>
      <c r="J50" s="6" t="s">
        <v>22</v>
      </c>
      <c r="K50" s="5" t="s">
        <v>313</v>
      </c>
      <c r="L50" s="7" t="s">
        <v>24</v>
      </c>
      <c r="M50" s="4" t="s">
        <v>25</v>
      </c>
      <c r="N50" s="14">
        <v>8</v>
      </c>
      <c r="O50" s="4" t="s">
        <v>297</v>
      </c>
    </row>
    <row r="51" spans="1:15" ht="70" hidden="1">
      <c r="A51" s="15" t="str">
        <f>+VLOOKUP(B51,Diccionario!$B$2:$C$81,2,0)</f>
        <v>Alta del producto 4900 en el IVR</v>
      </c>
      <c r="B51" s="15" t="s">
        <v>314</v>
      </c>
      <c r="C51" s="15" t="s">
        <v>271</v>
      </c>
      <c r="D51" s="16" t="s">
        <v>315</v>
      </c>
      <c r="E51" s="15" t="s">
        <v>18</v>
      </c>
      <c r="F51" s="16" t="s">
        <v>316</v>
      </c>
      <c r="G51" s="16" t="s">
        <v>317</v>
      </c>
      <c r="H51" s="16" t="s">
        <v>318</v>
      </c>
      <c r="I51" s="16" t="s">
        <v>276</v>
      </c>
      <c r="J51" s="3" t="s">
        <v>22</v>
      </c>
      <c r="K51" s="16" t="s">
        <v>319</v>
      </c>
      <c r="L51" s="17" t="s">
        <v>24</v>
      </c>
      <c r="M51" s="15" t="s">
        <v>25</v>
      </c>
      <c r="N51" s="13">
        <v>12</v>
      </c>
      <c r="O51" s="15" t="s">
        <v>320</v>
      </c>
    </row>
    <row r="52" spans="1:15" ht="60" hidden="1">
      <c r="A52" s="4" t="str">
        <f>+VLOOKUP(B52,Diccionario!$B$2:$C$81,2,0)</f>
        <v>Alta del producto 4900 en el IVR</v>
      </c>
      <c r="B52" s="4" t="s">
        <v>321</v>
      </c>
      <c r="C52" s="4" t="s">
        <v>271</v>
      </c>
      <c r="D52" s="5" t="s">
        <v>322</v>
      </c>
      <c r="E52" s="4" t="s">
        <v>18</v>
      </c>
      <c r="F52" s="5" t="s">
        <v>323</v>
      </c>
      <c r="G52" s="5" t="s">
        <v>324</v>
      </c>
      <c r="H52" s="5" t="s">
        <v>275</v>
      </c>
      <c r="I52" s="5" t="s">
        <v>276</v>
      </c>
      <c r="J52" s="6" t="s">
        <v>22</v>
      </c>
      <c r="K52" s="5" t="s">
        <v>325</v>
      </c>
      <c r="L52" s="7" t="s">
        <v>24</v>
      </c>
      <c r="M52" s="4" t="s">
        <v>34</v>
      </c>
      <c r="N52" s="14">
        <v>5</v>
      </c>
      <c r="O52" s="4" t="s">
        <v>320</v>
      </c>
    </row>
    <row r="53" spans="1:15" ht="60" hidden="1">
      <c r="A53" s="15" t="str">
        <f>+VLOOKUP(B53,Diccionario!$B$2:$C$81,2,0)</f>
        <v>Identificación de clientes Apolo en CAT</v>
      </c>
      <c r="B53" s="15" t="s">
        <v>326</v>
      </c>
      <c r="C53" s="15" t="s">
        <v>271</v>
      </c>
      <c r="D53" s="16" t="s">
        <v>327</v>
      </c>
      <c r="E53" s="15" t="s">
        <v>18</v>
      </c>
      <c r="F53" s="16" t="s">
        <v>328</v>
      </c>
      <c r="G53" s="16" t="s">
        <v>329</v>
      </c>
      <c r="H53" s="16" t="s">
        <v>288</v>
      </c>
      <c r="I53" s="16" t="s">
        <v>289</v>
      </c>
      <c r="J53" s="3" t="s">
        <v>22</v>
      </c>
      <c r="K53" s="16" t="s">
        <v>330</v>
      </c>
      <c r="L53" s="17" t="s">
        <v>24</v>
      </c>
      <c r="M53" s="15" t="s">
        <v>34</v>
      </c>
      <c r="N53" s="13">
        <v>5</v>
      </c>
      <c r="O53" s="15" t="s">
        <v>297</v>
      </c>
    </row>
    <row r="54" spans="1:15" ht="70" hidden="1">
      <c r="A54" s="4" t="str">
        <f>+VLOOKUP(B54,Diccionario!$B$2:$C$81,2,0)</f>
        <v>Bloqueo de tarjeta física y digital desde CAT</v>
      </c>
      <c r="B54" s="4" t="s">
        <v>331</v>
      </c>
      <c r="C54" s="4" t="s">
        <v>271</v>
      </c>
      <c r="D54" s="5" t="s">
        <v>332</v>
      </c>
      <c r="E54" s="4" t="s">
        <v>18</v>
      </c>
      <c r="F54" s="5" t="s">
        <v>333</v>
      </c>
      <c r="G54" s="5" t="s">
        <v>334</v>
      </c>
      <c r="H54" s="5" t="s">
        <v>335</v>
      </c>
      <c r="I54" s="5" t="s">
        <v>289</v>
      </c>
      <c r="J54" s="6" t="s">
        <v>22</v>
      </c>
      <c r="K54" s="5" t="s">
        <v>336</v>
      </c>
      <c r="L54" s="7" t="s">
        <v>24</v>
      </c>
      <c r="M54" s="4" t="s">
        <v>34</v>
      </c>
      <c r="N54" s="14">
        <v>6</v>
      </c>
      <c r="O54" s="4" t="s">
        <v>297</v>
      </c>
    </row>
    <row r="55" spans="1:15" ht="70" hidden="1">
      <c r="A55" s="15" t="str">
        <f>+VLOOKUP(B55,Diccionario!$B$2:$C$81,2,0)</f>
        <v>Bloqueo de tarjeta física y digital desde CAT</v>
      </c>
      <c r="B55" s="15" t="s">
        <v>337</v>
      </c>
      <c r="C55" s="15" t="s">
        <v>271</v>
      </c>
      <c r="D55" s="16" t="s">
        <v>338</v>
      </c>
      <c r="E55" s="15" t="s">
        <v>18</v>
      </c>
      <c r="F55" s="16" t="s">
        <v>339</v>
      </c>
      <c r="G55" s="16" t="s">
        <v>340</v>
      </c>
      <c r="H55" s="16" t="s">
        <v>341</v>
      </c>
      <c r="I55" s="16" t="s">
        <v>289</v>
      </c>
      <c r="J55" s="3" t="s">
        <v>22</v>
      </c>
      <c r="K55" s="16" t="s">
        <v>342</v>
      </c>
      <c r="L55" s="17" t="s">
        <v>24</v>
      </c>
      <c r="M55" s="15" t="s">
        <v>25</v>
      </c>
      <c r="N55" s="13">
        <v>10</v>
      </c>
      <c r="O55" s="15" t="s">
        <v>297</v>
      </c>
    </row>
    <row r="56" spans="1:15" ht="70" hidden="1">
      <c r="A56" s="4" t="str">
        <f>+VLOOKUP(B56,Diccionario!$B$2:$C$81,2,0)</f>
        <v>Pagos anticipados y Liquidaciones</v>
      </c>
      <c r="B56" s="4" t="s">
        <v>343</v>
      </c>
      <c r="C56" s="4" t="s">
        <v>344</v>
      </c>
      <c r="D56" s="5" t="s">
        <v>345</v>
      </c>
      <c r="E56" s="4" t="s">
        <v>18</v>
      </c>
      <c r="F56" s="5" t="s">
        <v>346</v>
      </c>
      <c r="G56" s="5" t="s">
        <v>347</v>
      </c>
      <c r="H56" s="5" t="s">
        <v>348</v>
      </c>
      <c r="I56" s="5" t="s">
        <v>349</v>
      </c>
      <c r="J56" s="6" t="s">
        <v>22</v>
      </c>
      <c r="K56" s="5" t="s">
        <v>350</v>
      </c>
      <c r="L56" s="7" t="s">
        <v>24</v>
      </c>
      <c r="M56" s="4" t="s">
        <v>25</v>
      </c>
      <c r="N56" s="14">
        <v>10</v>
      </c>
      <c r="O56" s="4" t="s">
        <v>351</v>
      </c>
    </row>
    <row r="57" spans="1:15" ht="60" hidden="1">
      <c r="A57" s="15" t="str">
        <f>+VLOOKUP(B57,Diccionario!$B$2:$C$81,2,0)</f>
        <v>Pagos anticipados y Liquidaciones</v>
      </c>
      <c r="B57" s="15" t="s">
        <v>352</v>
      </c>
      <c r="C57" s="15" t="s">
        <v>344</v>
      </c>
      <c r="D57" s="16" t="s">
        <v>353</v>
      </c>
      <c r="E57" s="15" t="s">
        <v>18</v>
      </c>
      <c r="F57" s="16" t="s">
        <v>354</v>
      </c>
      <c r="G57" s="16" t="s">
        <v>355</v>
      </c>
      <c r="H57" s="16" t="s">
        <v>348</v>
      </c>
      <c r="I57" s="16" t="s">
        <v>356</v>
      </c>
      <c r="J57" s="3" t="s">
        <v>22</v>
      </c>
      <c r="K57" s="16" t="s">
        <v>357</v>
      </c>
      <c r="L57" s="17" t="s">
        <v>24</v>
      </c>
      <c r="M57" s="15" t="s">
        <v>25</v>
      </c>
      <c r="N57" s="13">
        <v>8</v>
      </c>
      <c r="O57" s="15" t="s">
        <v>351</v>
      </c>
    </row>
    <row r="58" spans="1:15" ht="70" hidden="1">
      <c r="A58" s="4" t="str">
        <f>+VLOOKUP(B58,Diccionario!$B$2:$C$81,2,0)</f>
        <v>Cancelación de Compras Diferidas</v>
      </c>
      <c r="B58" s="4" t="s">
        <v>358</v>
      </c>
      <c r="C58" s="4" t="s">
        <v>344</v>
      </c>
      <c r="D58" s="5" t="s">
        <v>359</v>
      </c>
      <c r="E58" s="4" t="s">
        <v>18</v>
      </c>
      <c r="F58" s="5" t="s">
        <v>360</v>
      </c>
      <c r="G58" s="5" t="s">
        <v>361</v>
      </c>
      <c r="H58" s="5" t="s">
        <v>348</v>
      </c>
      <c r="I58" s="5" t="s">
        <v>356</v>
      </c>
      <c r="J58" s="6" t="s">
        <v>22</v>
      </c>
      <c r="K58" s="5" t="s">
        <v>362</v>
      </c>
      <c r="L58" s="7" t="s">
        <v>24</v>
      </c>
      <c r="M58" s="4" t="s">
        <v>25</v>
      </c>
      <c r="N58" s="14">
        <v>10</v>
      </c>
      <c r="O58" s="4" t="s">
        <v>351</v>
      </c>
    </row>
    <row r="59" spans="1:15" ht="70" hidden="1">
      <c r="A59" s="15" t="str">
        <f>+VLOOKUP(B59,Diccionario!$B$2:$C$81,2,0)</f>
        <v>Cancelación de Compras Diferidas</v>
      </c>
      <c r="B59" s="15" t="s">
        <v>363</v>
      </c>
      <c r="C59" s="15" t="s">
        <v>344</v>
      </c>
      <c r="D59" s="16" t="s">
        <v>364</v>
      </c>
      <c r="E59" s="15" t="s">
        <v>18</v>
      </c>
      <c r="F59" s="16" t="s">
        <v>365</v>
      </c>
      <c r="G59" s="16" t="s">
        <v>366</v>
      </c>
      <c r="H59" s="16" t="s">
        <v>367</v>
      </c>
      <c r="I59" s="16" t="s">
        <v>368</v>
      </c>
      <c r="J59" s="3" t="s">
        <v>22</v>
      </c>
      <c r="K59" s="16" t="s">
        <v>369</v>
      </c>
      <c r="L59" s="17" t="s">
        <v>45</v>
      </c>
      <c r="M59" s="15" t="s">
        <v>22</v>
      </c>
      <c r="N59" s="13">
        <v>25</v>
      </c>
      <c r="O59" s="15" t="s">
        <v>370</v>
      </c>
    </row>
    <row r="60" spans="1:15" ht="60" hidden="1">
      <c r="A60" s="4" t="str">
        <f>+VLOOKUP(B60,Diccionario!$B$2:$C$81,2,0)</f>
        <v>Nueva regla de limitar saldo a favor</v>
      </c>
      <c r="B60" s="4" t="s">
        <v>371</v>
      </c>
      <c r="C60" s="4" t="s">
        <v>344</v>
      </c>
      <c r="D60" s="5" t="s">
        <v>372</v>
      </c>
      <c r="E60" s="4" t="s">
        <v>18</v>
      </c>
      <c r="F60" s="5" t="s">
        <v>373</v>
      </c>
      <c r="G60" s="5" t="s">
        <v>374</v>
      </c>
      <c r="H60" s="5" t="s">
        <v>375</v>
      </c>
      <c r="I60" s="5" t="s">
        <v>376</v>
      </c>
      <c r="J60" s="6" t="s">
        <v>22</v>
      </c>
      <c r="K60" s="5" t="s">
        <v>377</v>
      </c>
      <c r="L60" s="7" t="s">
        <v>24</v>
      </c>
      <c r="M60" s="4" t="s">
        <v>34</v>
      </c>
      <c r="N60" s="14">
        <v>6</v>
      </c>
      <c r="O60" s="4" t="s">
        <v>351</v>
      </c>
    </row>
    <row r="61" spans="1:15" ht="50">
      <c r="A61" s="23" t="str">
        <f>+VLOOKUP(B61,Diccionario!$B$2:$C$81,2,0)</f>
        <v>Oferta de Producto</v>
      </c>
      <c r="B61" s="23" t="s">
        <v>398</v>
      </c>
      <c r="C61" s="23" t="s">
        <v>379</v>
      </c>
      <c r="D61" s="23" t="s">
        <v>1281</v>
      </c>
      <c r="E61" s="24" t="s">
        <v>18</v>
      </c>
      <c r="F61" s="23" t="s">
        <v>1282</v>
      </c>
      <c r="G61" s="24" t="s">
        <v>1283</v>
      </c>
      <c r="H61" s="24" t="s">
        <v>1284</v>
      </c>
      <c r="I61" s="24" t="s">
        <v>1285</v>
      </c>
      <c r="J61" s="24" t="s">
        <v>22</v>
      </c>
      <c r="K61" s="25" t="s">
        <v>1286</v>
      </c>
      <c r="L61" s="24" t="s">
        <v>24</v>
      </c>
      <c r="M61" s="26" t="s">
        <v>34</v>
      </c>
      <c r="N61" s="14">
        <v>3</v>
      </c>
      <c r="O61" s="4" t="s">
        <v>1287</v>
      </c>
    </row>
    <row r="62" spans="1:15" ht="60">
      <c r="A62" s="18" t="str">
        <f>+VLOOKUP(B62,Diccionario!$B$2:$C$81,2,0)</f>
        <v>Bienvenida</v>
      </c>
      <c r="B62" s="18" t="s">
        <v>405</v>
      </c>
      <c r="C62" s="18" t="s">
        <v>379</v>
      </c>
      <c r="D62" s="18" t="s">
        <v>1288</v>
      </c>
      <c r="E62" s="19" t="s">
        <v>18</v>
      </c>
      <c r="F62" s="18" t="s">
        <v>1289</v>
      </c>
      <c r="G62" s="19" t="s">
        <v>1290</v>
      </c>
      <c r="H62" s="19" t="s">
        <v>1291</v>
      </c>
      <c r="I62" s="19" t="s">
        <v>1292</v>
      </c>
      <c r="J62" s="19" t="s">
        <v>22</v>
      </c>
      <c r="K62" s="20" t="s">
        <v>406</v>
      </c>
      <c r="L62" s="19" t="s">
        <v>24</v>
      </c>
      <c r="M62" s="21" t="s">
        <v>34</v>
      </c>
      <c r="N62" s="14">
        <v>4</v>
      </c>
      <c r="O62" s="4" t="s">
        <v>1293</v>
      </c>
    </row>
    <row r="63" spans="1:15" ht="50">
      <c r="A63" s="23" t="str">
        <f>+VLOOKUP(B63,Diccionario!$B$2:$C$81,2,0)</f>
        <v>Preparación / TyC / Validación de Teléfono / Validación del Cliente</v>
      </c>
      <c r="B63" s="23" t="s">
        <v>378</v>
      </c>
      <c r="C63" s="23" t="s">
        <v>379</v>
      </c>
      <c r="D63" s="23" t="s">
        <v>1294</v>
      </c>
      <c r="E63" s="24" t="s">
        <v>18</v>
      </c>
      <c r="F63" s="23" t="s">
        <v>1295</v>
      </c>
      <c r="G63" s="24" t="s">
        <v>1296</v>
      </c>
      <c r="H63" s="24" t="s">
        <v>1297</v>
      </c>
      <c r="I63" s="24" t="s">
        <v>1298</v>
      </c>
      <c r="J63" s="24" t="s">
        <v>22</v>
      </c>
      <c r="K63" s="25" t="s">
        <v>1299</v>
      </c>
      <c r="L63" s="24" t="s">
        <v>45</v>
      </c>
      <c r="M63" s="26" t="s">
        <v>25</v>
      </c>
      <c r="N63" s="14">
        <v>15</v>
      </c>
      <c r="O63" s="4" t="s">
        <v>1300</v>
      </c>
    </row>
    <row r="64" spans="1:15" ht="70">
      <c r="A64" s="18" t="str">
        <f>+VLOOKUP(B64,Diccionario!$B$2:$C$81,2,0)</f>
        <v>Perfilamiento / Validación de Domicilio / KYC-PEP / PLD / Persona Vulnerable / Validación SIC / Paramétrico</v>
      </c>
      <c r="B64" s="18" t="s">
        <v>389</v>
      </c>
      <c r="C64" s="18" t="s">
        <v>379</v>
      </c>
      <c r="D64" s="18" t="s">
        <v>1301</v>
      </c>
      <c r="E64" s="19" t="s">
        <v>18</v>
      </c>
      <c r="F64" s="18" t="s">
        <v>1302</v>
      </c>
      <c r="G64" s="19" t="s">
        <v>1303</v>
      </c>
      <c r="H64" s="19" t="s">
        <v>1304</v>
      </c>
      <c r="I64" s="19" t="s">
        <v>1298</v>
      </c>
      <c r="J64" s="19" t="s">
        <v>22</v>
      </c>
      <c r="K64" s="22" t="s">
        <v>1305</v>
      </c>
      <c r="L64" s="19" t="s">
        <v>45</v>
      </c>
      <c r="M64" s="21" t="s">
        <v>25</v>
      </c>
      <c r="N64" s="14">
        <v>18</v>
      </c>
      <c r="O64" s="4" t="s">
        <v>1300</v>
      </c>
    </row>
    <row r="65" spans="1:15" ht="80">
      <c r="A65" s="23" t="str">
        <f>+VLOOKUP(B65,Diccionario!$B$2:$C$81,2,0)</f>
        <v>Oferta de Producto / Prueba de Vida / Solicitud de Servicios Digitales / Validación de Correo / Integración de Expediente Digital / Bienvenida</v>
      </c>
      <c r="B65" s="23" t="s">
        <v>399</v>
      </c>
      <c r="C65" s="23" t="s">
        <v>379</v>
      </c>
      <c r="D65" s="23" t="s">
        <v>1306</v>
      </c>
      <c r="E65" s="24" t="s">
        <v>18</v>
      </c>
      <c r="F65" s="23" t="s">
        <v>1307</v>
      </c>
      <c r="G65" s="24" t="s">
        <v>1308</v>
      </c>
      <c r="H65" s="24" t="s">
        <v>1309</v>
      </c>
      <c r="I65" s="24" t="s">
        <v>1298</v>
      </c>
      <c r="J65" s="24" t="s">
        <v>22</v>
      </c>
      <c r="K65" s="25" t="s">
        <v>1310</v>
      </c>
      <c r="L65" s="24" t="s">
        <v>45</v>
      </c>
      <c r="M65" s="26" t="s">
        <v>25</v>
      </c>
      <c r="N65" s="14">
        <v>15</v>
      </c>
      <c r="O65" s="4" t="s">
        <v>1300</v>
      </c>
    </row>
    <row r="66" spans="1:15" ht="70">
      <c r="A66" s="18" t="str">
        <f>+VLOOKUP(B66,Diccionario!$B$2:$C$81,2,0)</f>
        <v>Persona Vulnerable</v>
      </c>
      <c r="B66" s="18" t="s">
        <v>396</v>
      </c>
      <c r="C66" s="18" t="s">
        <v>379</v>
      </c>
      <c r="D66" s="18" t="s">
        <v>1311</v>
      </c>
      <c r="E66" s="19" t="s">
        <v>18</v>
      </c>
      <c r="F66" s="18" t="s">
        <v>1312</v>
      </c>
      <c r="G66" s="19" t="s">
        <v>1313</v>
      </c>
      <c r="H66" s="19" t="s">
        <v>1314</v>
      </c>
      <c r="I66" s="19" t="s">
        <v>1315</v>
      </c>
      <c r="J66" s="19" t="s">
        <v>22</v>
      </c>
      <c r="K66" s="20" t="s">
        <v>1316</v>
      </c>
      <c r="L66" s="19" t="s">
        <v>45</v>
      </c>
      <c r="M66" s="21" t="s">
        <v>22</v>
      </c>
      <c r="N66" s="14">
        <v>20</v>
      </c>
      <c r="O66" s="4" t="s">
        <v>1317</v>
      </c>
    </row>
    <row r="67" spans="1:15" ht="60">
      <c r="A67" s="23" t="str">
        <f>+VLOOKUP(B67,Diccionario!$B$2:$C$81,2,0)</f>
        <v>Persona Vulnerable</v>
      </c>
      <c r="B67" s="23" t="s">
        <v>397</v>
      </c>
      <c r="C67" s="23" t="s">
        <v>379</v>
      </c>
      <c r="D67" s="23" t="s">
        <v>1318</v>
      </c>
      <c r="E67" s="24" t="s">
        <v>18</v>
      </c>
      <c r="F67" s="23" t="s">
        <v>1319</v>
      </c>
      <c r="G67" s="24" t="s">
        <v>1320</v>
      </c>
      <c r="H67" s="24" t="s">
        <v>1314</v>
      </c>
      <c r="I67" s="24" t="s">
        <v>1321</v>
      </c>
      <c r="J67" s="24" t="s">
        <v>22</v>
      </c>
      <c r="K67" s="25" t="s">
        <v>1322</v>
      </c>
      <c r="L67" s="24" t="s">
        <v>45</v>
      </c>
      <c r="M67" s="26" t="s">
        <v>25</v>
      </c>
      <c r="N67" s="14">
        <v>8</v>
      </c>
      <c r="O67" s="4" t="s">
        <v>1317</v>
      </c>
    </row>
    <row r="68" spans="1:15" ht="50">
      <c r="A68" s="18" t="str">
        <f>+VLOOKUP(B68,Diccionario!$B$2:$C$81,2,0)</f>
        <v>Preparación/ Oferta de Producto / Bienvenida</v>
      </c>
      <c r="B68" s="18" t="s">
        <v>380</v>
      </c>
      <c r="C68" s="18" t="s">
        <v>379</v>
      </c>
      <c r="D68" s="18" t="s">
        <v>1323</v>
      </c>
      <c r="E68" s="19" t="s">
        <v>18</v>
      </c>
      <c r="F68" s="18" t="s">
        <v>1324</v>
      </c>
      <c r="G68" s="19" t="s">
        <v>1325</v>
      </c>
      <c r="H68" s="19" t="s">
        <v>1326</v>
      </c>
      <c r="I68" s="19" t="s">
        <v>381</v>
      </c>
      <c r="J68" s="19" t="s">
        <v>22</v>
      </c>
      <c r="K68" s="22" t="s">
        <v>1327</v>
      </c>
      <c r="L68" s="19" t="s">
        <v>45</v>
      </c>
      <c r="M68" s="21" t="s">
        <v>34</v>
      </c>
      <c r="N68" s="14">
        <v>5</v>
      </c>
      <c r="O68" s="4" t="s">
        <v>382</v>
      </c>
    </row>
    <row r="69" spans="1:15" ht="60">
      <c r="A69" s="23" t="str">
        <f>+VLOOKUP(B69,Diccionario!$B$2:$C$81,2,0)</f>
        <v>Perfilamiento LISTAS NEGRAS PLD / Name Matching</v>
      </c>
      <c r="B69" s="23" t="s">
        <v>390</v>
      </c>
      <c r="C69" s="23" t="s">
        <v>379</v>
      </c>
      <c r="D69" s="23" t="s">
        <v>1328</v>
      </c>
      <c r="E69" s="24" t="s">
        <v>18</v>
      </c>
      <c r="F69" s="23" t="s">
        <v>1329</v>
      </c>
      <c r="G69" s="24" t="s">
        <v>1330</v>
      </c>
      <c r="H69" s="24" t="s">
        <v>1331</v>
      </c>
      <c r="I69" s="24" t="s">
        <v>1332</v>
      </c>
      <c r="J69" s="24" t="s">
        <v>22</v>
      </c>
      <c r="K69" s="25" t="s">
        <v>1333</v>
      </c>
      <c r="L69" s="24" t="s">
        <v>45</v>
      </c>
      <c r="M69" s="26" t="s">
        <v>22</v>
      </c>
      <c r="N69" s="14">
        <v>18</v>
      </c>
      <c r="O69" s="4" t="s">
        <v>1334</v>
      </c>
    </row>
    <row r="70" spans="1:15" ht="50">
      <c r="A70" s="18" t="str">
        <f>+VLOOKUP(B70,Diccionario!$B$2:$C$81,2,0)</f>
        <v>KYC / PEP / Name Matching</v>
      </c>
      <c r="B70" s="18" t="s">
        <v>393</v>
      </c>
      <c r="C70" s="18" t="s">
        <v>379</v>
      </c>
      <c r="D70" s="18" t="s">
        <v>1335</v>
      </c>
      <c r="E70" s="19" t="s">
        <v>18</v>
      </c>
      <c r="F70" s="18" t="s">
        <v>1336</v>
      </c>
      <c r="G70" s="19" t="s">
        <v>1337</v>
      </c>
      <c r="H70" s="19" t="s">
        <v>1338</v>
      </c>
      <c r="I70" s="19" t="s">
        <v>1339</v>
      </c>
      <c r="J70" s="19" t="s">
        <v>22</v>
      </c>
      <c r="K70" s="22" t="s">
        <v>1340</v>
      </c>
      <c r="L70" s="19" t="s">
        <v>45</v>
      </c>
      <c r="M70" s="21" t="s">
        <v>25</v>
      </c>
      <c r="N70" s="14">
        <v>10</v>
      </c>
      <c r="O70" s="4" t="s">
        <v>1334</v>
      </c>
    </row>
    <row r="71" spans="1:15" ht="50">
      <c r="A71" s="23" t="str">
        <f>+VLOOKUP(B71,Diccionario!$B$2:$C$81,2,0)</f>
        <v>PLD / PEP/ Name Matching/parametrico</v>
      </c>
      <c r="B71" s="23" t="s">
        <v>394</v>
      </c>
      <c r="C71" s="23" t="s">
        <v>379</v>
      </c>
      <c r="D71" s="23" t="s">
        <v>1341</v>
      </c>
      <c r="E71" s="24" t="s">
        <v>18</v>
      </c>
      <c r="F71" s="23" t="s">
        <v>1342</v>
      </c>
      <c r="G71" s="24" t="s">
        <v>1343</v>
      </c>
      <c r="H71" s="24" t="s">
        <v>1344</v>
      </c>
      <c r="I71" s="24" t="s">
        <v>1345</v>
      </c>
      <c r="J71" s="24" t="s">
        <v>22</v>
      </c>
      <c r="K71" s="25" t="s">
        <v>1346</v>
      </c>
      <c r="L71" s="24" t="s">
        <v>45</v>
      </c>
      <c r="M71" s="26" t="s">
        <v>25</v>
      </c>
      <c r="N71" s="14">
        <v>8</v>
      </c>
      <c r="O71" s="4" t="s">
        <v>1334</v>
      </c>
    </row>
    <row r="72" spans="1:15" ht="80">
      <c r="A72" s="18" t="str">
        <f>+VLOOKUP(B72,Diccionario!$B$2:$C$81,2,0)</f>
        <v>Integración Expediente digital</v>
      </c>
      <c r="B72" s="18" t="s">
        <v>400</v>
      </c>
      <c r="C72" s="18" t="s">
        <v>379</v>
      </c>
      <c r="D72" s="18" t="s">
        <v>1347</v>
      </c>
      <c r="E72" s="19" t="s">
        <v>18</v>
      </c>
      <c r="F72" s="18" t="s">
        <v>1348</v>
      </c>
      <c r="G72" s="19" t="s">
        <v>1349</v>
      </c>
      <c r="H72" s="19" t="s">
        <v>1350</v>
      </c>
      <c r="I72" s="19" t="s">
        <v>1315</v>
      </c>
      <c r="J72" s="19" t="s">
        <v>22</v>
      </c>
      <c r="K72" s="22" t="s">
        <v>1351</v>
      </c>
      <c r="L72" s="19" t="s">
        <v>45</v>
      </c>
      <c r="M72" s="21" t="s">
        <v>22</v>
      </c>
      <c r="N72" s="14">
        <v>20</v>
      </c>
      <c r="O72" s="4" t="s">
        <v>1352</v>
      </c>
    </row>
    <row r="73" spans="1:15" ht="60">
      <c r="A73" s="23" t="str">
        <f>+VLOOKUP(B73,Diccionario!$B$2:$C$81,2,0)</f>
        <v>Integración de Expediente Digital</v>
      </c>
      <c r="B73" s="23" t="s">
        <v>401</v>
      </c>
      <c r="C73" s="23" t="s">
        <v>379</v>
      </c>
      <c r="D73" s="23" t="s">
        <v>1353</v>
      </c>
      <c r="E73" s="24" t="s">
        <v>18</v>
      </c>
      <c r="F73" s="23" t="s">
        <v>1354</v>
      </c>
      <c r="G73" s="24" t="s">
        <v>1355</v>
      </c>
      <c r="H73" s="24" t="s">
        <v>1350</v>
      </c>
      <c r="I73" s="24" t="s">
        <v>1315</v>
      </c>
      <c r="J73" s="24" t="s">
        <v>22</v>
      </c>
      <c r="K73" s="25" t="s">
        <v>1356</v>
      </c>
      <c r="L73" s="24" t="s">
        <v>45</v>
      </c>
      <c r="M73" s="26" t="s">
        <v>25</v>
      </c>
      <c r="N73" s="14">
        <v>10</v>
      </c>
      <c r="O73" s="4" t="s">
        <v>1352</v>
      </c>
    </row>
    <row r="74" spans="1:15" ht="60">
      <c r="A74" s="18" t="str">
        <f>+VLOOKUP(B74,Diccionario!$B$2:$C$81,2,0)</f>
        <v>Integración de Expediente Digital</v>
      </c>
      <c r="B74" s="18" t="s">
        <v>402</v>
      </c>
      <c r="C74" s="18" t="s">
        <v>379</v>
      </c>
      <c r="D74" s="18" t="s">
        <v>1357</v>
      </c>
      <c r="E74" s="19" t="s">
        <v>18</v>
      </c>
      <c r="F74" s="18" t="s">
        <v>1358</v>
      </c>
      <c r="G74" s="19" t="s">
        <v>1359</v>
      </c>
      <c r="H74" s="19" t="s">
        <v>1350</v>
      </c>
      <c r="I74" s="19" t="s">
        <v>1315</v>
      </c>
      <c r="J74" s="19" t="s">
        <v>25</v>
      </c>
      <c r="K74" s="22" t="s">
        <v>1360</v>
      </c>
      <c r="L74" s="19" t="s">
        <v>45</v>
      </c>
      <c r="M74" s="21" t="s">
        <v>34</v>
      </c>
      <c r="N74" s="14">
        <v>5</v>
      </c>
      <c r="O74" s="4" t="s">
        <v>382</v>
      </c>
    </row>
    <row r="75" spans="1:15" ht="60">
      <c r="A75" s="23" t="str">
        <f>+VLOOKUP(B75,Diccionario!$B$2:$C$81,2,0)</f>
        <v>Integración Expediente Digital</v>
      </c>
      <c r="B75" s="23" t="s">
        <v>403</v>
      </c>
      <c r="C75" s="23" t="s">
        <v>379</v>
      </c>
      <c r="D75" s="23" t="s">
        <v>1361</v>
      </c>
      <c r="E75" s="24" t="s">
        <v>18</v>
      </c>
      <c r="F75" s="23" t="s">
        <v>1362</v>
      </c>
      <c r="G75" s="24" t="s">
        <v>1363</v>
      </c>
      <c r="H75" s="24" t="s">
        <v>1350</v>
      </c>
      <c r="I75" s="24" t="s">
        <v>1364</v>
      </c>
      <c r="J75" s="24" t="s">
        <v>22</v>
      </c>
      <c r="K75" s="25" t="s">
        <v>1365</v>
      </c>
      <c r="L75" s="24" t="s">
        <v>45</v>
      </c>
      <c r="M75" s="26" t="s">
        <v>22</v>
      </c>
      <c r="N75" s="14">
        <v>30</v>
      </c>
      <c r="O75" s="4" t="s">
        <v>1366</v>
      </c>
    </row>
    <row r="76" spans="1:15" ht="50">
      <c r="A76" s="18" t="str">
        <f>+VLOOKUP(B76,Diccionario!$B$2:$C$81,2,0)</f>
        <v>PLD</v>
      </c>
      <c r="B76" s="18" t="s">
        <v>395</v>
      </c>
      <c r="C76" s="18" t="s">
        <v>379</v>
      </c>
      <c r="D76" s="18" t="s">
        <v>1367</v>
      </c>
      <c r="E76" s="19" t="s">
        <v>18</v>
      </c>
      <c r="F76" s="18" t="s">
        <v>1368</v>
      </c>
      <c r="G76" s="19" t="s">
        <v>1369</v>
      </c>
      <c r="H76" s="19" t="s">
        <v>1370</v>
      </c>
      <c r="I76" s="19" t="s">
        <v>1332</v>
      </c>
      <c r="J76" s="19" t="s">
        <v>22</v>
      </c>
      <c r="K76" s="22" t="s">
        <v>1371</v>
      </c>
      <c r="L76" s="19" t="s">
        <v>24</v>
      </c>
      <c r="M76" s="21" t="s">
        <v>34</v>
      </c>
      <c r="N76" s="14">
        <v>5</v>
      </c>
      <c r="O76" s="4" t="s">
        <v>1372</v>
      </c>
    </row>
    <row r="77" spans="1:15" ht="50">
      <c r="A77" s="23" t="str">
        <f>+VLOOKUP(B77,Diccionario!$B$2:$C$81,2,0)</f>
        <v>Preparación / Validación de Teléfono</v>
      </c>
      <c r="B77" s="23" t="s">
        <v>383</v>
      </c>
      <c r="C77" s="23" t="s">
        <v>379</v>
      </c>
      <c r="D77" s="23" t="s">
        <v>1373</v>
      </c>
      <c r="E77" s="24" t="s">
        <v>18</v>
      </c>
      <c r="F77" s="23" t="s">
        <v>1374</v>
      </c>
      <c r="G77" s="24" t="s">
        <v>1375</v>
      </c>
      <c r="H77" s="24" t="s">
        <v>1376</v>
      </c>
      <c r="I77" s="24" t="s">
        <v>1315</v>
      </c>
      <c r="J77" s="24" t="s">
        <v>22</v>
      </c>
      <c r="K77" s="25" t="s">
        <v>1377</v>
      </c>
      <c r="L77" s="24" t="s">
        <v>33</v>
      </c>
      <c r="M77" s="26" t="s">
        <v>34</v>
      </c>
      <c r="N77" s="14">
        <v>3</v>
      </c>
      <c r="O77" s="4" t="s">
        <v>385</v>
      </c>
    </row>
    <row r="78" spans="1:15" ht="60">
      <c r="A78" s="18" t="str">
        <f>+VLOOKUP(B78,Diccionario!$B$2:$C$81,2,0)</f>
        <v>Validación del teléfono</v>
      </c>
      <c r="B78" s="18" t="s">
        <v>384</v>
      </c>
      <c r="C78" s="18" t="s">
        <v>379</v>
      </c>
      <c r="D78" s="18" t="s">
        <v>1378</v>
      </c>
      <c r="E78" s="19" t="s">
        <v>18</v>
      </c>
      <c r="F78" s="18" t="s">
        <v>1379</v>
      </c>
      <c r="G78" s="19" t="s">
        <v>1380</v>
      </c>
      <c r="H78" s="19" t="s">
        <v>1381</v>
      </c>
      <c r="I78" s="19" t="s">
        <v>1321</v>
      </c>
      <c r="J78" s="19" t="s">
        <v>22</v>
      </c>
      <c r="K78" s="22" t="s">
        <v>1382</v>
      </c>
      <c r="L78" s="19" t="s">
        <v>45</v>
      </c>
      <c r="M78" s="21" t="s">
        <v>25</v>
      </c>
      <c r="N78" s="14">
        <v>8</v>
      </c>
      <c r="O78" s="4" t="s">
        <v>1383</v>
      </c>
    </row>
    <row r="79" spans="1:15" ht="60">
      <c r="A79" s="23" t="str">
        <f>+VLOOKUP(B79,Diccionario!$B$2:$C$81,2,0)</f>
        <v xml:space="preserve"> Integracion de Expediente digital</v>
      </c>
      <c r="B79" s="23" t="s">
        <v>404</v>
      </c>
      <c r="C79" s="23" t="s">
        <v>379</v>
      </c>
      <c r="D79" s="23" t="s">
        <v>1384</v>
      </c>
      <c r="E79" s="24" t="s">
        <v>18</v>
      </c>
      <c r="F79" s="23" t="s">
        <v>1385</v>
      </c>
      <c r="G79" s="24" t="s">
        <v>1386</v>
      </c>
      <c r="H79" s="24" t="s">
        <v>1350</v>
      </c>
      <c r="I79" s="24" t="s">
        <v>1387</v>
      </c>
      <c r="J79" s="24" t="s">
        <v>22</v>
      </c>
      <c r="K79" s="25" t="s">
        <v>1388</v>
      </c>
      <c r="L79" s="24" t="s">
        <v>45</v>
      </c>
      <c r="M79" s="26" t="s">
        <v>25</v>
      </c>
      <c r="N79" s="14">
        <v>6</v>
      </c>
      <c r="O79" s="4" t="s">
        <v>1383</v>
      </c>
    </row>
    <row r="80" spans="1:15" ht="60">
      <c r="A80" s="18" t="str">
        <f>+VLOOKUP(B80,Diccionario!$B$2:$C$81,2,0)</f>
        <v>Validación de telefono/ Validación SIC/Retomar solicitud</v>
      </c>
      <c r="B80" s="18" t="s">
        <v>386</v>
      </c>
      <c r="C80" s="18" t="s">
        <v>379</v>
      </c>
      <c r="D80" s="18" t="s">
        <v>1389</v>
      </c>
      <c r="E80" s="19" t="s">
        <v>18</v>
      </c>
      <c r="F80" s="18" t="s">
        <v>1390</v>
      </c>
      <c r="G80" s="19" t="s">
        <v>1391</v>
      </c>
      <c r="H80" s="19" t="s">
        <v>1392</v>
      </c>
      <c r="I80" s="19" t="s">
        <v>1321</v>
      </c>
      <c r="J80" s="19" t="s">
        <v>22</v>
      </c>
      <c r="K80" s="20" t="s">
        <v>1393</v>
      </c>
      <c r="L80" s="19" t="s">
        <v>24</v>
      </c>
      <c r="M80" s="21" t="s">
        <v>25</v>
      </c>
      <c r="N80" s="14">
        <v>8</v>
      </c>
      <c r="O80" s="4" t="s">
        <v>1394</v>
      </c>
    </row>
    <row r="81" spans="1:15" ht="60">
      <c r="A81" s="23" t="str">
        <f>+VLOOKUP(B81,Diccionario!$B$2:$C$81,2,0)</f>
        <v>Validación de telefono/ Validación SIC/Retomar solicitud</v>
      </c>
      <c r="B81" s="23" t="s">
        <v>388</v>
      </c>
      <c r="C81" s="23" t="s">
        <v>379</v>
      </c>
      <c r="D81" s="23" t="s">
        <v>1395</v>
      </c>
      <c r="E81" s="24" t="s">
        <v>18</v>
      </c>
      <c r="F81" s="23" t="s">
        <v>1396</v>
      </c>
      <c r="G81" s="24" t="s">
        <v>1397</v>
      </c>
      <c r="H81" s="24" t="s">
        <v>1392</v>
      </c>
      <c r="I81" s="24" t="s">
        <v>1315</v>
      </c>
      <c r="J81" s="24" t="s">
        <v>25</v>
      </c>
      <c r="K81" s="25" t="s">
        <v>1398</v>
      </c>
      <c r="L81" s="24" t="s">
        <v>24</v>
      </c>
      <c r="M81" s="26" t="s">
        <v>34</v>
      </c>
      <c r="N81" s="14">
        <v>2</v>
      </c>
      <c r="O81" s="4" t="s">
        <v>387</v>
      </c>
    </row>
    <row r="82" spans="1:15" ht="50">
      <c r="A82" s="18" t="str">
        <f>+VLOOKUP(B82,Diccionario!$B$2:$C$81,2,0)</f>
        <v>Validación de domicilio / Intengración de expediente digital</v>
      </c>
      <c r="B82" s="18" t="s">
        <v>391</v>
      </c>
      <c r="C82" s="18" t="s">
        <v>379</v>
      </c>
      <c r="D82" s="18" t="s">
        <v>1399</v>
      </c>
      <c r="E82" s="19" t="s">
        <v>18</v>
      </c>
      <c r="F82" s="18" t="s">
        <v>1400</v>
      </c>
      <c r="G82" s="19" t="s">
        <v>1401</v>
      </c>
      <c r="H82" s="19" t="s">
        <v>1402</v>
      </c>
      <c r="I82" s="19" t="s">
        <v>392</v>
      </c>
      <c r="J82" s="19" t="s">
        <v>22</v>
      </c>
      <c r="K82" s="20" t="s">
        <v>1403</v>
      </c>
      <c r="L82" s="19" t="s">
        <v>24</v>
      </c>
      <c r="M82" s="21" t="s">
        <v>34</v>
      </c>
      <c r="N82" s="14">
        <v>4</v>
      </c>
      <c r="O82" s="4" t="s">
        <v>1404</v>
      </c>
    </row>
  </sheetData>
  <autoFilter ref="A2:O82" xr:uid="{15C4590A-1A2E-40A9-B033-D746417EFB1B}">
    <filterColumn colId="2">
      <filters>
        <filter val="Apolo"/>
      </filters>
    </filterColumn>
  </autoFilter>
  <mergeCells count="4">
    <mergeCell ref="F1:I1"/>
    <mergeCell ref="J1:K1"/>
    <mergeCell ref="L1:O1"/>
    <mergeCell ref="A1:E1"/>
  </mergeCells>
  <conditionalFormatting sqref="J3:J197">
    <cfRule type="cellIs" dxfId="11" priority="6" operator="equal">
      <formula>"Alta"</formula>
    </cfRule>
    <cfRule type="cellIs" dxfId="10" priority="7" operator="equal">
      <formula>"Media"</formula>
    </cfRule>
    <cfRule type="cellIs" dxfId="9" priority="8" operator="equal">
      <formula>"Baja"</formula>
    </cfRule>
  </conditionalFormatting>
  <conditionalFormatting sqref="K61:K82">
    <cfRule type="cellIs" dxfId="8" priority="1" operator="equal">
      <formula>"Alta"</formula>
    </cfRule>
    <cfRule type="cellIs" dxfId="7" priority="2" operator="equal">
      <formula>"Media"</formula>
    </cfRule>
    <cfRule type="cellIs" dxfId="6" priority="3" operator="equal">
      <formula>"Baja"</formula>
    </cfRule>
  </conditionalFormatting>
  <conditionalFormatting sqref="L3:L197">
    <cfRule type="cellIs" dxfId="5" priority="9" operator="equal">
      <formula>"Caja"</formula>
    </cfRule>
    <cfRule type="cellIs" dxfId="4" priority="10" operator="equal">
      <formula>"Desarrollo"</formula>
    </cfRule>
  </conditionalFormatting>
  <conditionalFormatting sqref="M61:M82">
    <cfRule type="cellIs" dxfId="3" priority="4" operator="equal">
      <formula>"Caja"</formula>
    </cfRule>
    <cfRule type="cellIs" dxfId="2" priority="5" operator="equal">
      <formula>"Desarrollo"</formula>
    </cfRule>
  </conditionalFormatting>
  <dataValidations count="3">
    <dataValidation type="list" allowBlank="1" sqref="L3:L60" xr:uid="{63374B0E-5631-4E8D-82BC-A96EDCF93D7A}">
      <formula1>"Caja,Parametrizable,Desarrollo"</formula1>
      <formula2>0</formula2>
    </dataValidation>
    <dataValidation type="list" allowBlank="1" sqref="J3:J60 M3:M60" xr:uid="{6EDB867F-7B59-4697-A272-A7B58D0512D0}">
      <formula1>"Alta,Media,Baja"</formula1>
      <formula2>0</formula2>
    </dataValidation>
    <dataValidation type="list" allowBlank="1" sqref="C3:C60" xr:uid="{57A06C20-C22E-4C15-A82B-78F8AF52CB37}">
      <formula1>"Smart Vista,APP,CAT,SIWEB,Apolo,Transact,Contabilidad,Cobranza,Transversal"</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1F05A-F66D-45AE-92BF-E4819A7F5C56}">
  <dimension ref="B1:C81"/>
  <sheetViews>
    <sheetView topLeftCell="A66" workbookViewId="0">
      <selection activeCell="C1" sqref="C1"/>
    </sheetView>
  </sheetViews>
  <sheetFormatPr defaultRowHeight="14.5"/>
  <cols>
    <col min="2" max="2" width="17.26953125" customWidth="1"/>
    <col min="3" max="3" width="18.90625" bestFit="1" customWidth="1"/>
  </cols>
  <sheetData>
    <row r="1" spans="2:3">
      <c r="B1" s="77" t="s">
        <v>4</v>
      </c>
      <c r="C1" s="77" t="s">
        <v>1433</v>
      </c>
    </row>
    <row r="2" spans="2:3" ht="20">
      <c r="B2" s="79" t="s">
        <v>15</v>
      </c>
      <c r="C2" s="78" t="s">
        <v>1442</v>
      </c>
    </row>
    <row r="3" spans="2:3" ht="20">
      <c r="B3" s="79" t="s">
        <v>27</v>
      </c>
      <c r="C3" s="78" t="s">
        <v>1443</v>
      </c>
    </row>
    <row r="4" spans="2:3" ht="20">
      <c r="B4" s="79" t="s">
        <v>35</v>
      </c>
      <c r="C4" s="78" t="s">
        <v>1443</v>
      </c>
    </row>
    <row r="5" spans="2:3" ht="20">
      <c r="B5" s="79" t="s">
        <v>40</v>
      </c>
      <c r="C5" s="78" t="s">
        <v>1442</v>
      </c>
    </row>
    <row r="6" spans="2:3" ht="20">
      <c r="B6" s="79" t="s">
        <v>47</v>
      </c>
      <c r="C6" s="78" t="s">
        <v>1442</v>
      </c>
    </row>
    <row r="7" spans="2:3" ht="20">
      <c r="B7" s="79" t="s">
        <v>52</v>
      </c>
      <c r="C7" s="78" t="s">
        <v>1442</v>
      </c>
    </row>
    <row r="8" spans="2:3" ht="20">
      <c r="B8" s="79" t="s">
        <v>58</v>
      </c>
      <c r="C8" s="78" t="s">
        <v>1442</v>
      </c>
    </row>
    <row r="9" spans="2:3" ht="20">
      <c r="B9" s="79" t="s">
        <v>64</v>
      </c>
      <c r="C9" s="78" t="s">
        <v>1442</v>
      </c>
    </row>
    <row r="10" spans="2:3" ht="20">
      <c r="B10" s="79" t="s">
        <v>72</v>
      </c>
      <c r="C10" s="78" t="s">
        <v>1444</v>
      </c>
    </row>
    <row r="11" spans="2:3" ht="20">
      <c r="B11" s="79" t="s">
        <v>79</v>
      </c>
      <c r="C11" s="78" t="s">
        <v>1445</v>
      </c>
    </row>
    <row r="12" spans="2:3" ht="20">
      <c r="B12" s="79" t="s">
        <v>87</v>
      </c>
      <c r="C12" s="78" t="s">
        <v>1446</v>
      </c>
    </row>
    <row r="13" spans="2:3" ht="20">
      <c r="B13" s="79" t="s">
        <v>95</v>
      </c>
      <c r="C13" s="78" t="s">
        <v>1447</v>
      </c>
    </row>
    <row r="14" spans="2:3" ht="20">
      <c r="B14" s="79" t="s">
        <v>102</v>
      </c>
      <c r="C14" s="78" t="s">
        <v>1448</v>
      </c>
    </row>
    <row r="15" spans="2:3" ht="20">
      <c r="B15" s="79" t="s">
        <v>110</v>
      </c>
      <c r="C15" s="78" t="s">
        <v>1447</v>
      </c>
    </row>
    <row r="16" spans="2:3" ht="20">
      <c r="B16" s="79" t="s">
        <v>116</v>
      </c>
      <c r="C16" s="78" t="s">
        <v>1448</v>
      </c>
    </row>
    <row r="17" spans="2:3" ht="20">
      <c r="B17" s="79" t="s">
        <v>124</v>
      </c>
      <c r="C17" s="78" t="s">
        <v>1449</v>
      </c>
    </row>
    <row r="18" spans="2:3" ht="20">
      <c r="B18" s="79" t="s">
        <v>130</v>
      </c>
      <c r="C18" s="78" t="s">
        <v>1449</v>
      </c>
    </row>
    <row r="19" spans="2:3" ht="20">
      <c r="B19" s="79" t="s">
        <v>137</v>
      </c>
      <c r="C19" s="78" t="s">
        <v>1449</v>
      </c>
    </row>
    <row r="20" spans="2:3" ht="20">
      <c r="B20" s="79" t="s">
        <v>143</v>
      </c>
      <c r="C20" s="78" t="s">
        <v>1450</v>
      </c>
    </row>
    <row r="21" spans="2:3" ht="20">
      <c r="B21" s="79" t="s">
        <v>150</v>
      </c>
      <c r="C21" s="78" t="s">
        <v>1450</v>
      </c>
    </row>
    <row r="22" spans="2:3" ht="20">
      <c r="B22" s="79" t="s">
        <v>155</v>
      </c>
      <c r="C22" s="78" t="s">
        <v>1451</v>
      </c>
    </row>
    <row r="23" spans="2:3" ht="20">
      <c r="B23" s="79" t="s">
        <v>161</v>
      </c>
      <c r="C23" s="78" t="s">
        <v>1452</v>
      </c>
    </row>
    <row r="24" spans="2:3" ht="20">
      <c r="B24" s="79" t="s">
        <v>169</v>
      </c>
      <c r="C24" s="78" t="s">
        <v>1452</v>
      </c>
    </row>
    <row r="25" spans="2:3" ht="20">
      <c r="B25" s="79" t="s">
        <v>174</v>
      </c>
      <c r="C25" s="78" t="s">
        <v>1452</v>
      </c>
    </row>
    <row r="26" spans="2:3" ht="20">
      <c r="B26" s="79" t="s">
        <v>179</v>
      </c>
      <c r="C26" s="78" t="s">
        <v>1453</v>
      </c>
    </row>
    <row r="27" spans="2:3" ht="20">
      <c r="B27" s="79" t="s">
        <v>184</v>
      </c>
      <c r="C27" s="78" t="s">
        <v>1453</v>
      </c>
    </row>
    <row r="28" spans="2:3" ht="20">
      <c r="B28" s="79" t="s">
        <v>189</v>
      </c>
      <c r="C28" s="78" t="s">
        <v>1453</v>
      </c>
    </row>
    <row r="29" spans="2:3" ht="20">
      <c r="B29" s="79" t="s">
        <v>194</v>
      </c>
      <c r="C29" s="78" t="s">
        <v>1454</v>
      </c>
    </row>
    <row r="30" spans="2:3" ht="20">
      <c r="B30" s="79" t="s">
        <v>199</v>
      </c>
      <c r="C30" s="78" t="s">
        <v>1454</v>
      </c>
    </row>
    <row r="31" spans="2:3" ht="20">
      <c r="B31" s="79" t="s">
        <v>204</v>
      </c>
      <c r="C31" s="78" t="s">
        <v>1455</v>
      </c>
    </row>
    <row r="32" spans="2:3" ht="20">
      <c r="B32" s="79" t="s">
        <v>210</v>
      </c>
      <c r="C32" s="78" t="s">
        <v>1455</v>
      </c>
    </row>
    <row r="33" spans="2:3" ht="20">
      <c r="B33" s="79" t="s">
        <v>215</v>
      </c>
      <c r="C33" s="78" t="s">
        <v>1456</v>
      </c>
    </row>
    <row r="34" spans="2:3" ht="20">
      <c r="B34" s="79" t="s">
        <v>220</v>
      </c>
      <c r="C34" s="78" t="s">
        <v>1456</v>
      </c>
    </row>
    <row r="35" spans="2:3" ht="20">
      <c r="B35" s="79" t="s">
        <v>225</v>
      </c>
      <c r="C35" s="78" t="s">
        <v>1456</v>
      </c>
    </row>
    <row r="36" spans="2:3" ht="20">
      <c r="B36" s="79" t="s">
        <v>230</v>
      </c>
      <c r="C36" s="78" t="s">
        <v>1449</v>
      </c>
    </row>
    <row r="37" spans="2:3" ht="20">
      <c r="B37" s="79" t="s">
        <v>236</v>
      </c>
      <c r="C37" s="78" t="s">
        <v>1449</v>
      </c>
    </row>
    <row r="38" spans="2:3" ht="20">
      <c r="B38" s="79" t="s">
        <v>241</v>
      </c>
      <c r="C38" s="78" t="s">
        <v>1451</v>
      </c>
    </row>
    <row r="39" spans="2:3" ht="40">
      <c r="B39" s="79" t="s">
        <v>246</v>
      </c>
      <c r="C39" s="78" t="s">
        <v>1434</v>
      </c>
    </row>
    <row r="40" spans="2:3" ht="20">
      <c r="B40" s="79" t="s">
        <v>252</v>
      </c>
      <c r="C40" s="78" t="s">
        <v>1448</v>
      </c>
    </row>
    <row r="41" spans="2:3" ht="20">
      <c r="B41" s="79" t="s">
        <v>260</v>
      </c>
      <c r="C41" s="78" t="s">
        <v>1448</v>
      </c>
    </row>
    <row r="42" spans="2:3" ht="20">
      <c r="B42" s="79" t="s">
        <v>265</v>
      </c>
      <c r="C42" s="78" t="s">
        <v>1448</v>
      </c>
    </row>
    <row r="43" spans="2:3" ht="20">
      <c r="B43" s="79" t="s">
        <v>270</v>
      </c>
      <c r="C43" s="78" t="s">
        <v>1457</v>
      </c>
    </row>
    <row r="44" spans="2:3" ht="20">
      <c r="B44" s="79" t="s">
        <v>279</v>
      </c>
      <c r="C44" s="78" t="s">
        <v>1457</v>
      </c>
    </row>
    <row r="45" spans="2:3" ht="20">
      <c r="B45" s="79" t="s">
        <v>284</v>
      </c>
      <c r="C45" s="78" t="s">
        <v>1458</v>
      </c>
    </row>
    <row r="46" spans="2:3" ht="20">
      <c r="B46" s="79" t="s">
        <v>292</v>
      </c>
      <c r="C46" s="78" t="s">
        <v>1458</v>
      </c>
    </row>
    <row r="47" spans="2:3" ht="20">
      <c r="B47" s="79" t="s">
        <v>298</v>
      </c>
      <c r="C47" s="78" t="s">
        <v>1459</v>
      </c>
    </row>
    <row r="48" spans="2:3" ht="20">
      <c r="B48" s="79" t="s">
        <v>304</v>
      </c>
      <c r="C48" s="78" t="s">
        <v>1459</v>
      </c>
    </row>
    <row r="49" spans="2:3" ht="20">
      <c r="B49" s="79" t="s">
        <v>309</v>
      </c>
      <c r="C49" s="78" t="s">
        <v>1459</v>
      </c>
    </row>
    <row r="50" spans="2:3" ht="20">
      <c r="B50" s="79" t="s">
        <v>314</v>
      </c>
      <c r="C50" s="78" t="s">
        <v>1457</v>
      </c>
    </row>
    <row r="51" spans="2:3" ht="20">
      <c r="B51" s="79" t="s">
        <v>321</v>
      </c>
      <c r="C51" s="78" t="s">
        <v>1457</v>
      </c>
    </row>
    <row r="52" spans="2:3" ht="20">
      <c r="B52" s="79" t="s">
        <v>326</v>
      </c>
      <c r="C52" s="78" t="s">
        <v>1458</v>
      </c>
    </row>
    <row r="53" spans="2:3" ht="20">
      <c r="B53" s="79" t="s">
        <v>331</v>
      </c>
      <c r="C53" s="78" t="s">
        <v>1459</v>
      </c>
    </row>
    <row r="54" spans="2:3" ht="20">
      <c r="B54" s="79" t="s">
        <v>337</v>
      </c>
      <c r="C54" s="78" t="s">
        <v>1459</v>
      </c>
    </row>
    <row r="55" spans="2:3" ht="20">
      <c r="B55" s="79" t="s">
        <v>343</v>
      </c>
      <c r="C55" s="78" t="s">
        <v>1449</v>
      </c>
    </row>
    <row r="56" spans="2:3" ht="20">
      <c r="B56" s="79" t="s">
        <v>352</v>
      </c>
      <c r="C56" s="78" t="s">
        <v>1449</v>
      </c>
    </row>
    <row r="57" spans="2:3" ht="20">
      <c r="B57" s="79" t="s">
        <v>358</v>
      </c>
      <c r="C57" s="78" t="s">
        <v>1451</v>
      </c>
    </row>
    <row r="58" spans="2:3" ht="20">
      <c r="B58" s="79" t="s">
        <v>363</v>
      </c>
      <c r="C58" s="78" t="s">
        <v>1451</v>
      </c>
    </row>
    <row r="59" spans="2:3" ht="20">
      <c r="B59" s="79" t="s">
        <v>371</v>
      </c>
      <c r="C59" s="78" t="s">
        <v>1447</v>
      </c>
    </row>
    <row r="60" spans="2:3">
      <c r="B60" s="81" t="s">
        <v>398</v>
      </c>
      <c r="C60" s="80" t="s">
        <v>1000</v>
      </c>
    </row>
    <row r="61" spans="2:3">
      <c r="B61" s="83" t="s">
        <v>405</v>
      </c>
      <c r="C61" s="82" t="s">
        <v>1020</v>
      </c>
    </row>
    <row r="62" spans="2:3" ht="30">
      <c r="B62" s="81" t="s">
        <v>378</v>
      </c>
      <c r="C62" s="80" t="s">
        <v>1028</v>
      </c>
    </row>
    <row r="63" spans="2:3" ht="50">
      <c r="B63" s="83" t="s">
        <v>389</v>
      </c>
      <c r="C63" s="82" t="s">
        <v>1035</v>
      </c>
    </row>
    <row r="64" spans="2:3" ht="60">
      <c r="B64" s="81" t="s">
        <v>399</v>
      </c>
      <c r="C64" s="80" t="s">
        <v>1042</v>
      </c>
    </row>
    <row r="65" spans="2:3">
      <c r="B65" s="83" t="s">
        <v>396</v>
      </c>
      <c r="C65" s="82" t="s">
        <v>1049</v>
      </c>
    </row>
    <row r="66" spans="2:3">
      <c r="B66" s="81" t="s">
        <v>397</v>
      </c>
      <c r="C66" s="80" t="s">
        <v>1049</v>
      </c>
    </row>
    <row r="67" spans="2:3" ht="20">
      <c r="B67" s="83" t="s">
        <v>380</v>
      </c>
      <c r="C67" s="82" t="s">
        <v>1071</v>
      </c>
    </row>
    <row r="68" spans="2:3" ht="30">
      <c r="B68" s="81" t="s">
        <v>390</v>
      </c>
      <c r="C68" s="80" t="s">
        <v>1479</v>
      </c>
    </row>
    <row r="69" spans="2:3" ht="20">
      <c r="B69" s="83" t="s">
        <v>393</v>
      </c>
      <c r="C69" s="82" t="s">
        <v>1102</v>
      </c>
    </row>
    <row r="70" spans="2:3" ht="20">
      <c r="B70" s="81" t="s">
        <v>394</v>
      </c>
      <c r="C70" s="80" t="s">
        <v>1118</v>
      </c>
    </row>
    <row r="71" spans="2:3" ht="20">
      <c r="B71" s="83" t="s">
        <v>400</v>
      </c>
      <c r="C71" s="82" t="s">
        <v>1125</v>
      </c>
    </row>
    <row r="72" spans="2:3" ht="20">
      <c r="B72" s="81" t="s">
        <v>401</v>
      </c>
      <c r="C72" s="80" t="s">
        <v>1011</v>
      </c>
    </row>
    <row r="73" spans="2:3" ht="20">
      <c r="B73" s="83" t="s">
        <v>402</v>
      </c>
      <c r="C73" s="82" t="s">
        <v>1011</v>
      </c>
    </row>
    <row r="74" spans="2:3" ht="20">
      <c r="B74" s="81" t="s">
        <v>403</v>
      </c>
      <c r="C74" s="80" t="s">
        <v>1144</v>
      </c>
    </row>
    <row r="75" spans="2:3">
      <c r="B75" s="83" t="s">
        <v>395</v>
      </c>
      <c r="C75" s="82" t="s">
        <v>1151</v>
      </c>
    </row>
    <row r="76" spans="2:3" ht="20">
      <c r="B76" s="81" t="s">
        <v>383</v>
      </c>
      <c r="C76" s="80" t="s">
        <v>1166</v>
      </c>
    </row>
    <row r="77" spans="2:3">
      <c r="B77" s="83" t="s">
        <v>384</v>
      </c>
      <c r="C77" s="82" t="s">
        <v>1173</v>
      </c>
    </row>
    <row r="78" spans="2:3" ht="20">
      <c r="B78" s="81" t="s">
        <v>404</v>
      </c>
      <c r="C78" s="80" t="s">
        <v>1180</v>
      </c>
    </row>
    <row r="79" spans="2:3" ht="30">
      <c r="B79" s="83" t="s">
        <v>386</v>
      </c>
      <c r="C79" s="82" t="s">
        <v>1187</v>
      </c>
    </row>
    <row r="80" spans="2:3" ht="30">
      <c r="B80" s="81" t="s">
        <v>388</v>
      </c>
      <c r="C80" s="80" t="s">
        <v>1187</v>
      </c>
    </row>
    <row r="81" spans="2:3" ht="30">
      <c r="B81" s="83" t="s">
        <v>391</v>
      </c>
      <c r="C81" s="82" t="s">
        <v>1248</v>
      </c>
    </row>
  </sheetData>
  <autoFilter ref="B1:C81" xr:uid="{6461F05A-F66D-45AE-92BF-E4819A7F5C5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61901-C4D8-4342-837B-3A4A7243A9AB}">
  <sheetPr>
    <tabColor theme="1"/>
  </sheetPr>
  <dimension ref="A1:G21"/>
  <sheetViews>
    <sheetView showGridLines="0" topLeftCell="A7" zoomScale="80" zoomScaleNormal="80" workbookViewId="0">
      <selection activeCell="E16" sqref="E16"/>
    </sheetView>
  </sheetViews>
  <sheetFormatPr defaultColWidth="8.6328125" defaultRowHeight="14.5"/>
  <cols>
    <col min="1" max="1" width="26" customWidth="1"/>
    <col min="2" max="2" width="44.453125" customWidth="1"/>
    <col min="3" max="3" width="18" customWidth="1"/>
    <col min="4" max="4" width="16.453125" customWidth="1"/>
    <col min="5" max="7" width="18" customWidth="1"/>
  </cols>
  <sheetData>
    <row r="1" spans="1:7" ht="21.75" customHeight="1">
      <c r="A1" s="240" t="s">
        <v>1528</v>
      </c>
      <c r="B1" s="240"/>
      <c r="C1" s="240"/>
      <c r="D1" s="240"/>
      <c r="E1" s="240"/>
      <c r="F1" s="240"/>
      <c r="G1" s="240"/>
    </row>
    <row r="3" spans="1:7" ht="18" customHeight="1">
      <c r="A3" s="236" t="s">
        <v>1505</v>
      </c>
      <c r="B3" s="237"/>
      <c r="C3" s="237"/>
      <c r="D3" s="237"/>
      <c r="E3" s="237"/>
      <c r="F3" s="237"/>
    </row>
    <row r="4" spans="1:7" ht="30" customHeight="1">
      <c r="A4" s="122" t="s">
        <v>1506</v>
      </c>
      <c r="B4" s="122" t="s">
        <v>1496</v>
      </c>
      <c r="C4" s="122" t="s">
        <v>1497</v>
      </c>
      <c r="D4" s="122" t="s">
        <v>1507</v>
      </c>
      <c r="E4" s="122" t="s">
        <v>1508</v>
      </c>
      <c r="F4" s="122" t="s">
        <v>1509</v>
      </c>
    </row>
    <row r="5" spans="1:7" ht="42" customHeight="1">
      <c r="A5" s="120" t="s">
        <v>1430</v>
      </c>
      <c r="B5" s="121" t="s">
        <v>1535</v>
      </c>
      <c r="C5" s="124">
        <v>0.3</v>
      </c>
      <c r="D5" s="117" t="s">
        <v>1530</v>
      </c>
      <c r="E5" s="118" t="s">
        <v>1532</v>
      </c>
      <c r="F5" s="119" t="s">
        <v>1531</v>
      </c>
    </row>
    <row r="6" spans="1:7" ht="42" customHeight="1">
      <c r="A6" s="115" t="s">
        <v>1429</v>
      </c>
      <c r="B6" s="116" t="s">
        <v>1523</v>
      </c>
      <c r="C6" s="123">
        <v>0.25</v>
      </c>
      <c r="D6" s="117" t="s">
        <v>1526</v>
      </c>
      <c r="E6" s="118" t="s">
        <v>1525</v>
      </c>
      <c r="F6" s="119" t="s">
        <v>1524</v>
      </c>
    </row>
    <row r="7" spans="1:7" ht="42" customHeight="1">
      <c r="A7" s="120" t="s">
        <v>1534</v>
      </c>
      <c r="B7" s="121" t="s">
        <v>1527</v>
      </c>
      <c r="C7" s="124">
        <v>0.2</v>
      </c>
      <c r="D7" s="117" t="s">
        <v>1510</v>
      </c>
      <c r="E7" s="118" t="s">
        <v>1511</v>
      </c>
      <c r="F7" s="119" t="s">
        <v>1533</v>
      </c>
    </row>
    <row r="8" spans="1:7" ht="42" customHeight="1">
      <c r="A8" s="115" t="s">
        <v>1498</v>
      </c>
      <c r="B8" s="116" t="s">
        <v>1549</v>
      </c>
      <c r="C8" s="123">
        <v>0.15</v>
      </c>
      <c r="D8" s="117" t="s">
        <v>1564</v>
      </c>
      <c r="E8" s="118" t="s">
        <v>1565</v>
      </c>
      <c r="F8" s="119" t="s">
        <v>1566</v>
      </c>
    </row>
    <row r="9" spans="1:7" ht="42" customHeight="1">
      <c r="A9" s="120" t="s">
        <v>1499</v>
      </c>
      <c r="B9" s="121" t="s">
        <v>1548</v>
      </c>
      <c r="C9" s="124">
        <v>0.1</v>
      </c>
      <c r="D9" s="117" t="s">
        <v>1567</v>
      </c>
      <c r="E9" s="118" t="s">
        <v>1568</v>
      </c>
      <c r="F9" s="119" t="s">
        <v>1569</v>
      </c>
    </row>
    <row r="11" spans="1:7" ht="18" customHeight="1">
      <c r="A11" s="241" t="s">
        <v>1512</v>
      </c>
      <c r="B11" s="241"/>
      <c r="C11" s="241"/>
      <c r="D11" s="241"/>
      <c r="E11" s="241"/>
      <c r="F11" s="241"/>
      <c r="G11" s="241"/>
    </row>
    <row r="12" spans="1:7" ht="21.75" customHeight="1">
      <c r="A12" s="242" t="s">
        <v>1539</v>
      </c>
      <c r="B12" s="242"/>
      <c r="C12" s="242"/>
      <c r="D12" s="242"/>
      <c r="E12" s="242"/>
      <c r="F12" s="242"/>
      <c r="G12" s="242"/>
    </row>
    <row r="13" spans="1:7" ht="18" customHeight="1">
      <c r="A13" s="235" t="s">
        <v>1513</v>
      </c>
      <c r="B13" s="235"/>
      <c r="C13" s="235"/>
      <c r="D13" s="235"/>
      <c r="E13" s="235"/>
      <c r="F13" s="235"/>
      <c r="G13" s="235"/>
    </row>
    <row r="15" spans="1:7" ht="18" customHeight="1">
      <c r="A15" s="238" t="s">
        <v>1529</v>
      </c>
      <c r="B15" s="239"/>
    </row>
    <row r="16" spans="1:7" ht="30" customHeight="1">
      <c r="A16" s="129" t="s">
        <v>1514</v>
      </c>
      <c r="B16" s="129" t="s">
        <v>1515</v>
      </c>
    </row>
    <row r="17" spans="1:7" ht="31.5" customHeight="1">
      <c r="A17" s="125" t="s">
        <v>1516</v>
      </c>
      <c r="B17" s="126" t="s">
        <v>1517</v>
      </c>
    </row>
    <row r="18" spans="1:7" ht="31.5" customHeight="1">
      <c r="A18" s="125" t="s">
        <v>1518</v>
      </c>
      <c r="B18" s="127" t="s">
        <v>1519</v>
      </c>
    </row>
    <row r="19" spans="1:7" ht="31.5" customHeight="1">
      <c r="A19" s="125" t="s">
        <v>1520</v>
      </c>
      <c r="B19" s="128" t="s">
        <v>1521</v>
      </c>
    </row>
    <row r="21" spans="1:7" ht="21.75" customHeight="1">
      <c r="A21" s="234" t="s">
        <v>1522</v>
      </c>
      <c r="B21" s="234"/>
      <c r="C21" s="234"/>
      <c r="D21" s="234"/>
      <c r="E21" s="234"/>
      <c r="F21" s="234"/>
      <c r="G21" s="234"/>
    </row>
  </sheetData>
  <mergeCells count="7">
    <mergeCell ref="A21:G21"/>
    <mergeCell ref="A13:G13"/>
    <mergeCell ref="A3:F3"/>
    <mergeCell ref="A15:B15"/>
    <mergeCell ref="A1:G1"/>
    <mergeCell ref="A11:G11"/>
    <mergeCell ref="A12:G1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AA7F6-F85B-4AA1-8223-F79E794EFFC3}">
  <sheetPr filterMode="1"/>
  <dimension ref="A1:E88"/>
  <sheetViews>
    <sheetView workbookViewId="0">
      <pane ySplit="1" topLeftCell="A24" activePane="bottomLeft" state="frozen"/>
      <selection pane="bottomLeft" activeCell="B45" sqref="B45:B46"/>
    </sheetView>
  </sheetViews>
  <sheetFormatPr defaultRowHeight="14.5"/>
  <cols>
    <col min="1" max="1" width="17.6328125" customWidth="1"/>
    <col min="2" max="2" width="36.26953125" customWidth="1"/>
    <col min="3" max="3" width="21.54296875" bestFit="1" customWidth="1"/>
    <col min="4" max="4" width="71.6328125" bestFit="1" customWidth="1"/>
    <col min="5" max="5" width="43.453125" customWidth="1"/>
  </cols>
  <sheetData>
    <row r="1" spans="1:5">
      <c r="A1" s="75" t="s">
        <v>1480</v>
      </c>
      <c r="B1" s="76" t="s">
        <v>1460</v>
      </c>
      <c r="C1" s="76" t="s">
        <v>4</v>
      </c>
      <c r="D1" s="76" t="s">
        <v>416</v>
      </c>
      <c r="E1" s="92" t="s">
        <v>428</v>
      </c>
    </row>
    <row r="2" spans="1:5" hidden="1">
      <c r="A2" t="s">
        <v>379</v>
      </c>
      <c r="B2" t="s">
        <v>1020</v>
      </c>
      <c r="C2" t="s">
        <v>405</v>
      </c>
      <c r="D2" t="s">
        <v>1288</v>
      </c>
    </row>
    <row r="3" spans="1:5" hidden="1">
      <c r="A3" t="s">
        <v>379</v>
      </c>
      <c r="B3" t="s">
        <v>1011</v>
      </c>
      <c r="C3" t="s">
        <v>401</v>
      </c>
      <c r="D3" t="s">
        <v>1353</v>
      </c>
    </row>
    <row r="4" spans="1:5" hidden="1">
      <c r="A4" t="s">
        <v>379</v>
      </c>
      <c r="B4" t="s">
        <v>1011</v>
      </c>
      <c r="C4" t="s">
        <v>402</v>
      </c>
      <c r="D4" t="s">
        <v>1357</v>
      </c>
    </row>
    <row r="5" spans="1:5" hidden="1">
      <c r="A5" t="s">
        <v>379</v>
      </c>
      <c r="B5" t="s">
        <v>1011</v>
      </c>
      <c r="C5" t="s">
        <v>404</v>
      </c>
      <c r="D5" t="s">
        <v>1384</v>
      </c>
    </row>
    <row r="6" spans="1:5" hidden="1">
      <c r="A6" t="s">
        <v>379</v>
      </c>
      <c r="B6" t="s">
        <v>1144</v>
      </c>
      <c r="C6" t="s">
        <v>400</v>
      </c>
      <c r="D6" t="s">
        <v>1347</v>
      </c>
    </row>
    <row r="7" spans="1:5" hidden="1">
      <c r="A7" t="s">
        <v>379</v>
      </c>
      <c r="B7" t="s">
        <v>1144</v>
      </c>
      <c r="C7" t="s">
        <v>403</v>
      </c>
      <c r="D7" t="s">
        <v>1361</v>
      </c>
    </row>
    <row r="8" spans="1:5" hidden="1">
      <c r="A8" t="s">
        <v>379</v>
      </c>
      <c r="B8" t="s">
        <v>1102</v>
      </c>
      <c r="C8" t="s">
        <v>393</v>
      </c>
      <c r="D8" t="s">
        <v>1335</v>
      </c>
    </row>
    <row r="9" spans="1:5" hidden="1">
      <c r="A9" t="s">
        <v>379</v>
      </c>
      <c r="B9" t="s">
        <v>1000</v>
      </c>
      <c r="C9" t="s">
        <v>398</v>
      </c>
      <c r="D9" t="s">
        <v>1281</v>
      </c>
    </row>
    <row r="10" spans="1:5" hidden="1">
      <c r="A10" t="s">
        <v>379</v>
      </c>
      <c r="B10" t="s">
        <v>1435</v>
      </c>
      <c r="C10" t="s">
        <v>399</v>
      </c>
      <c r="D10" t="s">
        <v>1306</v>
      </c>
    </row>
    <row r="11" spans="1:5" hidden="1">
      <c r="A11" t="s">
        <v>379</v>
      </c>
      <c r="B11" t="s">
        <v>1437</v>
      </c>
      <c r="C11" t="s">
        <v>390</v>
      </c>
      <c r="D11" t="s">
        <v>1328</v>
      </c>
    </row>
    <row r="12" spans="1:5" hidden="1">
      <c r="A12" t="s">
        <v>379</v>
      </c>
      <c r="B12" t="s">
        <v>1035</v>
      </c>
      <c r="C12" t="s">
        <v>389</v>
      </c>
      <c r="D12" t="s">
        <v>1301</v>
      </c>
    </row>
    <row r="13" spans="1:5" hidden="1">
      <c r="A13" t="s">
        <v>379</v>
      </c>
      <c r="B13" t="s">
        <v>1049</v>
      </c>
      <c r="C13" t="s">
        <v>396</v>
      </c>
      <c r="D13" t="s">
        <v>1311</v>
      </c>
    </row>
    <row r="14" spans="1:5" hidden="1">
      <c r="A14" t="s">
        <v>379</v>
      </c>
      <c r="B14" t="s">
        <v>1049</v>
      </c>
      <c r="C14" t="s">
        <v>397</v>
      </c>
      <c r="D14" t="s">
        <v>1318</v>
      </c>
    </row>
    <row r="15" spans="1:5" hidden="1">
      <c r="A15" t="s">
        <v>379</v>
      </c>
      <c r="B15" t="s">
        <v>1151</v>
      </c>
      <c r="C15" t="s">
        <v>395</v>
      </c>
      <c r="D15" t="s">
        <v>1367</v>
      </c>
    </row>
    <row r="16" spans="1:5" hidden="1">
      <c r="A16" t="s">
        <v>379</v>
      </c>
      <c r="B16" t="s">
        <v>1438</v>
      </c>
      <c r="C16" t="s">
        <v>394</v>
      </c>
      <c r="D16" t="s">
        <v>1341</v>
      </c>
    </row>
    <row r="17" spans="1:5" hidden="1">
      <c r="A17" t="s">
        <v>379</v>
      </c>
      <c r="B17" t="s">
        <v>1436</v>
      </c>
      <c r="C17" t="s">
        <v>380</v>
      </c>
      <c r="D17" t="s">
        <v>1323</v>
      </c>
    </row>
    <row r="18" spans="1:5" hidden="1">
      <c r="A18" t="s">
        <v>379</v>
      </c>
      <c r="B18" t="s">
        <v>1028</v>
      </c>
      <c r="C18" t="s">
        <v>378</v>
      </c>
      <c r="D18" t="s">
        <v>1294</v>
      </c>
    </row>
    <row r="19" spans="1:5" hidden="1">
      <c r="A19" t="s">
        <v>379</v>
      </c>
      <c r="B19" t="s">
        <v>1166</v>
      </c>
      <c r="C19" t="s">
        <v>383</v>
      </c>
      <c r="D19" t="s">
        <v>1373</v>
      </c>
    </row>
    <row r="20" spans="1:5" hidden="1">
      <c r="A20" t="s">
        <v>379</v>
      </c>
      <c r="B20" t="s">
        <v>1441</v>
      </c>
      <c r="C20" t="s">
        <v>391</v>
      </c>
      <c r="D20" t="s">
        <v>1399</v>
      </c>
    </row>
    <row r="21" spans="1:5" hidden="1">
      <c r="A21" t="s">
        <v>379</v>
      </c>
      <c r="B21" t="s">
        <v>1440</v>
      </c>
      <c r="C21" t="s">
        <v>386</v>
      </c>
      <c r="D21" t="s">
        <v>1389</v>
      </c>
    </row>
    <row r="22" spans="1:5" hidden="1">
      <c r="A22" t="s">
        <v>379</v>
      </c>
      <c r="B22" t="s">
        <v>1440</v>
      </c>
      <c r="C22" t="s">
        <v>388</v>
      </c>
      <c r="D22" t="s">
        <v>1395</v>
      </c>
    </row>
    <row r="23" spans="1:5" hidden="1">
      <c r="A23" t="s">
        <v>379</v>
      </c>
      <c r="B23" t="s">
        <v>1439</v>
      </c>
      <c r="C23" t="s">
        <v>384</v>
      </c>
      <c r="D23" t="s">
        <v>1378</v>
      </c>
    </row>
    <row r="24" spans="1:5">
      <c r="A24" s="84" t="s">
        <v>109</v>
      </c>
      <c r="B24" s="84" t="s">
        <v>1451</v>
      </c>
      <c r="C24" s="84" t="s">
        <v>155</v>
      </c>
      <c r="D24" s="84" t="s">
        <v>156</v>
      </c>
      <c r="E24" s="84" t="s">
        <v>1481</v>
      </c>
    </row>
    <row r="25" spans="1:5">
      <c r="A25" t="s">
        <v>109</v>
      </c>
      <c r="B25" t="s">
        <v>1445</v>
      </c>
      <c r="C25" t="s">
        <v>72</v>
      </c>
      <c r="D25" t="s">
        <v>73</v>
      </c>
    </row>
    <row r="26" spans="1:5">
      <c r="A26" t="s">
        <v>109</v>
      </c>
      <c r="B26" t="s">
        <v>1445</v>
      </c>
      <c r="C26" t="s">
        <v>79</v>
      </c>
      <c r="D26" t="s">
        <v>80</v>
      </c>
    </row>
    <row r="27" spans="1:5">
      <c r="A27" t="s">
        <v>109</v>
      </c>
      <c r="B27" t="s">
        <v>1448</v>
      </c>
      <c r="C27" t="s">
        <v>95</v>
      </c>
      <c r="D27" t="s">
        <v>96</v>
      </c>
    </row>
    <row r="28" spans="1:5">
      <c r="A28" t="s">
        <v>109</v>
      </c>
      <c r="B28" t="s">
        <v>1448</v>
      </c>
      <c r="C28" t="s">
        <v>102</v>
      </c>
      <c r="D28" t="s">
        <v>103</v>
      </c>
    </row>
    <row r="29" spans="1:5">
      <c r="A29" t="s">
        <v>109</v>
      </c>
      <c r="B29" t="s">
        <v>1448</v>
      </c>
      <c r="C29" t="s">
        <v>110</v>
      </c>
      <c r="D29" t="s">
        <v>111</v>
      </c>
    </row>
    <row r="30" spans="1:5">
      <c r="A30" t="s">
        <v>109</v>
      </c>
      <c r="B30" t="s">
        <v>1448</v>
      </c>
      <c r="C30" t="s">
        <v>116</v>
      </c>
      <c r="D30" t="s">
        <v>117</v>
      </c>
    </row>
    <row r="31" spans="1:5">
      <c r="A31" t="s">
        <v>109</v>
      </c>
      <c r="B31" t="s">
        <v>1449</v>
      </c>
      <c r="C31" t="s">
        <v>130</v>
      </c>
      <c r="D31" t="s">
        <v>131</v>
      </c>
    </row>
    <row r="32" spans="1:5">
      <c r="A32" t="s">
        <v>109</v>
      </c>
      <c r="B32" t="s">
        <v>1449</v>
      </c>
      <c r="C32" t="s">
        <v>137</v>
      </c>
      <c r="D32" t="s">
        <v>138</v>
      </c>
    </row>
    <row r="33" spans="1:5">
      <c r="A33" t="s">
        <v>109</v>
      </c>
      <c r="B33" t="s">
        <v>1449</v>
      </c>
      <c r="C33" t="s">
        <v>143</v>
      </c>
      <c r="D33" t="s">
        <v>144</v>
      </c>
    </row>
    <row r="34" spans="1:5">
      <c r="A34" t="s">
        <v>109</v>
      </c>
      <c r="B34" t="s">
        <v>1449</v>
      </c>
      <c r="C34" t="s">
        <v>150</v>
      </c>
      <c r="D34" t="s">
        <v>151</v>
      </c>
    </row>
    <row r="35" spans="1:5">
      <c r="A35" t="s">
        <v>109</v>
      </c>
      <c r="B35" t="s">
        <v>1449</v>
      </c>
      <c r="C35" t="s">
        <v>124</v>
      </c>
      <c r="D35" t="s">
        <v>125</v>
      </c>
    </row>
    <row r="36" spans="1:5">
      <c r="A36" s="84" t="s">
        <v>109</v>
      </c>
      <c r="B36" s="84" t="s">
        <v>1446</v>
      </c>
      <c r="C36" s="84" t="s">
        <v>87</v>
      </c>
      <c r="D36" s="84" t="s">
        <v>88</v>
      </c>
      <c r="E36" s="84" t="s">
        <v>1482</v>
      </c>
    </row>
    <row r="37" spans="1:5">
      <c r="A37" t="s">
        <v>109</v>
      </c>
      <c r="B37" t="s">
        <v>1442</v>
      </c>
      <c r="C37" t="s">
        <v>15</v>
      </c>
      <c r="D37" t="s">
        <v>17</v>
      </c>
    </row>
    <row r="38" spans="1:5">
      <c r="A38" t="s">
        <v>109</v>
      </c>
      <c r="B38" t="s">
        <v>1442</v>
      </c>
      <c r="C38" t="s">
        <v>27</v>
      </c>
      <c r="D38" t="s">
        <v>28</v>
      </c>
    </row>
    <row r="39" spans="1:5">
      <c r="A39" t="s">
        <v>109</v>
      </c>
      <c r="B39" t="s">
        <v>1442</v>
      </c>
      <c r="C39" t="s">
        <v>35</v>
      </c>
      <c r="D39" t="s">
        <v>36</v>
      </c>
    </row>
    <row r="40" spans="1:5">
      <c r="A40" t="s">
        <v>109</v>
      </c>
      <c r="B40" t="s">
        <v>1442</v>
      </c>
      <c r="C40" t="s">
        <v>40</v>
      </c>
      <c r="D40" t="s">
        <v>41</v>
      </c>
    </row>
    <row r="41" spans="1:5">
      <c r="A41" t="s">
        <v>109</v>
      </c>
      <c r="B41" t="s">
        <v>1442</v>
      </c>
      <c r="C41" t="s">
        <v>47</v>
      </c>
      <c r="D41" t="s">
        <v>48</v>
      </c>
    </row>
    <row r="42" spans="1:5">
      <c r="A42" t="s">
        <v>109</v>
      </c>
      <c r="B42" t="s">
        <v>1442</v>
      </c>
      <c r="C42" t="s">
        <v>52</v>
      </c>
      <c r="D42" t="s">
        <v>53</v>
      </c>
    </row>
    <row r="43" spans="1:5">
      <c r="A43" t="s">
        <v>109</v>
      </c>
      <c r="B43" t="s">
        <v>1442</v>
      </c>
      <c r="C43" t="s">
        <v>58</v>
      </c>
      <c r="D43" t="s">
        <v>59</v>
      </c>
    </row>
    <row r="44" spans="1:5">
      <c r="A44" t="s">
        <v>109</v>
      </c>
      <c r="B44" t="s">
        <v>1442</v>
      </c>
      <c r="C44" t="s">
        <v>64</v>
      </c>
      <c r="D44" t="s">
        <v>65</v>
      </c>
    </row>
    <row r="45" spans="1:5">
      <c r="A45" s="84" t="s">
        <v>109</v>
      </c>
      <c r="B45" s="84" t="s">
        <v>1462</v>
      </c>
      <c r="C45" s="84"/>
      <c r="D45" s="84"/>
      <c r="E45" s="84" t="s">
        <v>1483</v>
      </c>
    </row>
    <row r="46" spans="1:5">
      <c r="A46" s="84" t="s">
        <v>109</v>
      </c>
      <c r="B46" s="84" t="s">
        <v>1463</v>
      </c>
      <c r="C46" s="84"/>
      <c r="D46" s="84"/>
      <c r="E46" s="84" t="s">
        <v>1483</v>
      </c>
    </row>
    <row r="47" spans="1:5" hidden="1">
      <c r="A47" t="s">
        <v>1485</v>
      </c>
      <c r="B47" s="88" t="s">
        <v>1455</v>
      </c>
      <c r="C47" s="88" t="s">
        <v>204</v>
      </c>
      <c r="D47" s="88" t="s">
        <v>205</v>
      </c>
    </row>
    <row r="48" spans="1:5" hidden="1">
      <c r="A48" t="s">
        <v>1485</v>
      </c>
      <c r="B48" s="89" t="s">
        <v>1455</v>
      </c>
      <c r="C48" s="88" t="s">
        <v>210</v>
      </c>
      <c r="D48" s="88" t="s">
        <v>211</v>
      </c>
    </row>
    <row r="49" spans="1:5" hidden="1">
      <c r="A49" t="s">
        <v>1485</v>
      </c>
      <c r="B49" s="89" t="s">
        <v>1451</v>
      </c>
      <c r="C49" s="88" t="s">
        <v>241</v>
      </c>
      <c r="D49" s="88" t="s">
        <v>242</v>
      </c>
    </row>
    <row r="50" spans="1:5" hidden="1">
      <c r="A50" t="s">
        <v>1485</v>
      </c>
      <c r="B50" s="88" t="s">
        <v>1456</v>
      </c>
      <c r="C50" s="88" t="s">
        <v>215</v>
      </c>
      <c r="D50" s="88" t="s">
        <v>216</v>
      </c>
    </row>
    <row r="51" spans="1:5" hidden="1">
      <c r="A51" t="s">
        <v>1485</v>
      </c>
      <c r="B51" s="88" t="s">
        <v>1456</v>
      </c>
      <c r="C51" s="88" t="s">
        <v>220</v>
      </c>
      <c r="D51" s="88" t="s">
        <v>221</v>
      </c>
    </row>
    <row r="52" spans="1:5" hidden="1">
      <c r="A52" t="s">
        <v>1485</v>
      </c>
      <c r="B52" s="89" t="s">
        <v>1456</v>
      </c>
      <c r="C52" s="88" t="s">
        <v>225</v>
      </c>
      <c r="D52" s="88" t="s">
        <v>226</v>
      </c>
    </row>
    <row r="53" spans="1:5" hidden="1">
      <c r="A53" s="84" t="s">
        <v>1485</v>
      </c>
      <c r="B53" s="90" t="s">
        <v>1422</v>
      </c>
      <c r="C53" s="91" t="s">
        <v>1423</v>
      </c>
      <c r="D53" s="91" t="s">
        <v>1461</v>
      </c>
      <c r="E53" s="84" t="s">
        <v>1484</v>
      </c>
    </row>
    <row r="54" spans="1:5" hidden="1">
      <c r="A54" s="84" t="s">
        <v>1485</v>
      </c>
      <c r="B54" s="90" t="s">
        <v>1424</v>
      </c>
      <c r="C54" s="91" t="s">
        <v>1417</v>
      </c>
      <c r="D54" s="91" t="s">
        <v>1461</v>
      </c>
      <c r="E54" s="84" t="s">
        <v>1484</v>
      </c>
    </row>
    <row r="55" spans="1:5" hidden="1">
      <c r="A55" s="84" t="s">
        <v>1485</v>
      </c>
      <c r="B55" s="90" t="s">
        <v>1418</v>
      </c>
      <c r="C55" s="91" t="s">
        <v>1419</v>
      </c>
      <c r="D55" s="91" t="s">
        <v>1461</v>
      </c>
      <c r="E55" s="84" t="s">
        <v>1484</v>
      </c>
    </row>
    <row r="56" spans="1:5" hidden="1">
      <c r="A56" s="84" t="s">
        <v>1485</v>
      </c>
      <c r="B56" s="90" t="s">
        <v>1420</v>
      </c>
      <c r="C56" s="91" t="s">
        <v>1421</v>
      </c>
      <c r="D56" s="91" t="s">
        <v>1461</v>
      </c>
      <c r="E56" s="84" t="s">
        <v>1484</v>
      </c>
    </row>
    <row r="57" spans="1:5" hidden="1">
      <c r="A57" s="84" t="s">
        <v>1485</v>
      </c>
      <c r="B57" s="90"/>
      <c r="C57" s="91" t="s">
        <v>246</v>
      </c>
      <c r="D57" s="91" t="s">
        <v>247</v>
      </c>
      <c r="E57" s="84"/>
    </row>
    <row r="58" spans="1:5" hidden="1">
      <c r="A58" t="s">
        <v>1486</v>
      </c>
      <c r="B58" s="88" t="s">
        <v>1448</v>
      </c>
      <c r="C58" s="88" t="s">
        <v>252</v>
      </c>
      <c r="D58" s="88" t="s">
        <v>253</v>
      </c>
    </row>
    <row r="59" spans="1:5" hidden="1">
      <c r="A59" t="s">
        <v>1486</v>
      </c>
      <c r="B59" s="88" t="s">
        <v>1448</v>
      </c>
      <c r="C59" s="88" t="s">
        <v>260</v>
      </c>
      <c r="D59" s="88" t="s">
        <v>261</v>
      </c>
    </row>
    <row r="60" spans="1:5" hidden="1">
      <c r="A60" t="s">
        <v>1486</v>
      </c>
      <c r="B60" s="89" t="s">
        <v>1448</v>
      </c>
      <c r="C60" s="88" t="s">
        <v>265</v>
      </c>
      <c r="D60" s="88" t="s">
        <v>266</v>
      </c>
    </row>
    <row r="61" spans="1:5" hidden="1">
      <c r="A61" t="s">
        <v>1486</v>
      </c>
      <c r="B61" s="88" t="s">
        <v>1449</v>
      </c>
      <c r="C61" s="88" t="s">
        <v>230</v>
      </c>
      <c r="D61" s="88" t="s">
        <v>231</v>
      </c>
    </row>
    <row r="62" spans="1:5" hidden="1">
      <c r="A62" t="s">
        <v>1486</v>
      </c>
      <c r="B62" s="89" t="s">
        <v>1449</v>
      </c>
      <c r="C62" s="88" t="s">
        <v>236</v>
      </c>
      <c r="D62" s="88" t="s">
        <v>237</v>
      </c>
    </row>
    <row r="63" spans="1:5" hidden="1">
      <c r="A63" t="s">
        <v>1485</v>
      </c>
      <c r="B63" s="88" t="s">
        <v>1453</v>
      </c>
      <c r="C63" s="88" t="s">
        <v>179</v>
      </c>
      <c r="D63" s="88" t="s">
        <v>180</v>
      </c>
    </row>
    <row r="64" spans="1:5" hidden="1">
      <c r="A64" t="s">
        <v>1485</v>
      </c>
      <c r="B64" s="88" t="s">
        <v>1453</v>
      </c>
      <c r="C64" s="88" t="s">
        <v>184</v>
      </c>
      <c r="D64" s="88" t="s">
        <v>185</v>
      </c>
    </row>
    <row r="65" spans="1:5" hidden="1">
      <c r="A65" t="s">
        <v>1485</v>
      </c>
      <c r="B65" s="89" t="s">
        <v>1453</v>
      </c>
      <c r="C65" s="88" t="s">
        <v>189</v>
      </c>
      <c r="D65" s="88" t="s">
        <v>190</v>
      </c>
    </row>
    <row r="66" spans="1:5" hidden="1">
      <c r="A66" t="s">
        <v>1485</v>
      </c>
      <c r="B66" s="90" t="s">
        <v>1426</v>
      </c>
      <c r="C66" s="91" t="s">
        <v>1425</v>
      </c>
      <c r="D66" s="91" t="s">
        <v>1461</v>
      </c>
      <c r="E66" s="84" t="s">
        <v>1484</v>
      </c>
    </row>
    <row r="67" spans="1:5" hidden="1">
      <c r="A67" t="s">
        <v>1485</v>
      </c>
      <c r="B67" s="88" t="s">
        <v>1454</v>
      </c>
      <c r="C67" s="88" t="s">
        <v>194</v>
      </c>
      <c r="D67" s="88" t="s">
        <v>195</v>
      </c>
    </row>
    <row r="68" spans="1:5" hidden="1">
      <c r="A68" t="s">
        <v>1485</v>
      </c>
      <c r="B68" s="89" t="s">
        <v>1454</v>
      </c>
      <c r="C68" s="88" t="s">
        <v>199</v>
      </c>
      <c r="D68" s="88" t="s">
        <v>200</v>
      </c>
    </row>
    <row r="69" spans="1:5" hidden="1">
      <c r="A69" t="s">
        <v>1485</v>
      </c>
      <c r="B69" s="88" t="s">
        <v>1452</v>
      </c>
      <c r="C69" s="88" t="s">
        <v>161</v>
      </c>
      <c r="D69" s="88" t="s">
        <v>163</v>
      </c>
    </row>
    <row r="70" spans="1:5" hidden="1">
      <c r="A70" t="s">
        <v>1485</v>
      </c>
      <c r="B70" s="88" t="s">
        <v>1452</v>
      </c>
      <c r="C70" s="88" t="s">
        <v>169</v>
      </c>
      <c r="D70" s="88" t="s">
        <v>170</v>
      </c>
    </row>
    <row r="71" spans="1:5" hidden="1">
      <c r="A71" t="s">
        <v>1485</v>
      </c>
      <c r="B71" s="89" t="s">
        <v>1452</v>
      </c>
      <c r="C71" s="88" t="s">
        <v>174</v>
      </c>
      <c r="D71" s="88" t="s">
        <v>175</v>
      </c>
    </row>
    <row r="72" spans="1:5" hidden="1">
      <c r="A72" t="s">
        <v>271</v>
      </c>
      <c r="B72" t="s">
        <v>1457</v>
      </c>
      <c r="C72" t="s">
        <v>270</v>
      </c>
      <c r="D72" t="s">
        <v>272</v>
      </c>
    </row>
    <row r="73" spans="1:5" hidden="1">
      <c r="A73" t="s">
        <v>271</v>
      </c>
      <c r="B73" t="s">
        <v>1457</v>
      </c>
      <c r="C73" t="s">
        <v>279</v>
      </c>
      <c r="D73" t="s">
        <v>280</v>
      </c>
    </row>
    <row r="74" spans="1:5" hidden="1">
      <c r="A74" t="s">
        <v>271</v>
      </c>
      <c r="B74" t="s">
        <v>1457</v>
      </c>
      <c r="C74" t="s">
        <v>314</v>
      </c>
      <c r="D74" t="s">
        <v>315</v>
      </c>
    </row>
    <row r="75" spans="1:5" hidden="1">
      <c r="A75" t="s">
        <v>271</v>
      </c>
      <c r="B75" t="s">
        <v>1457</v>
      </c>
      <c r="C75" t="s">
        <v>321</v>
      </c>
      <c r="D75" t="s">
        <v>322</v>
      </c>
    </row>
    <row r="76" spans="1:5" hidden="1">
      <c r="A76" t="s">
        <v>271</v>
      </c>
      <c r="B76" t="s">
        <v>1459</v>
      </c>
      <c r="C76" t="s">
        <v>298</v>
      </c>
      <c r="D76" t="s">
        <v>299</v>
      </c>
    </row>
    <row r="77" spans="1:5" hidden="1">
      <c r="A77" t="s">
        <v>271</v>
      </c>
      <c r="B77" t="s">
        <v>1459</v>
      </c>
      <c r="C77" t="s">
        <v>304</v>
      </c>
      <c r="D77" t="s">
        <v>305</v>
      </c>
    </row>
    <row r="78" spans="1:5" hidden="1">
      <c r="A78" t="s">
        <v>271</v>
      </c>
      <c r="B78" t="s">
        <v>1459</v>
      </c>
      <c r="C78" t="s">
        <v>309</v>
      </c>
      <c r="D78" t="s">
        <v>310</v>
      </c>
    </row>
    <row r="79" spans="1:5" hidden="1">
      <c r="A79" t="s">
        <v>271</v>
      </c>
      <c r="B79" t="s">
        <v>1459</v>
      </c>
      <c r="C79" t="s">
        <v>331</v>
      </c>
      <c r="D79" t="s">
        <v>332</v>
      </c>
    </row>
    <row r="80" spans="1:5" hidden="1">
      <c r="A80" t="s">
        <v>271</v>
      </c>
      <c r="B80" t="s">
        <v>1459</v>
      </c>
      <c r="C80" t="s">
        <v>337</v>
      </c>
      <c r="D80" t="s">
        <v>338</v>
      </c>
    </row>
    <row r="81" spans="1:5" hidden="1">
      <c r="A81" t="s">
        <v>271</v>
      </c>
      <c r="B81" t="s">
        <v>1458</v>
      </c>
      <c r="C81" t="s">
        <v>284</v>
      </c>
      <c r="D81" t="s">
        <v>285</v>
      </c>
    </row>
    <row r="82" spans="1:5" hidden="1">
      <c r="A82" t="s">
        <v>271</v>
      </c>
      <c r="B82" t="s">
        <v>1458</v>
      </c>
      <c r="C82" t="s">
        <v>292</v>
      </c>
      <c r="D82" t="s">
        <v>293</v>
      </c>
    </row>
    <row r="83" spans="1:5" hidden="1">
      <c r="A83" t="s">
        <v>271</v>
      </c>
      <c r="B83" t="s">
        <v>1458</v>
      </c>
      <c r="C83" t="s">
        <v>326</v>
      </c>
      <c r="D83" t="s">
        <v>327</v>
      </c>
    </row>
    <row r="84" spans="1:5" hidden="1">
      <c r="A84" t="s">
        <v>344</v>
      </c>
      <c r="B84" t="s">
        <v>1451</v>
      </c>
      <c r="C84" t="s">
        <v>358</v>
      </c>
      <c r="D84" t="s">
        <v>359</v>
      </c>
    </row>
    <row r="85" spans="1:5" hidden="1">
      <c r="A85" t="s">
        <v>344</v>
      </c>
      <c r="B85" t="s">
        <v>1451</v>
      </c>
      <c r="C85" t="s">
        <v>363</v>
      </c>
      <c r="D85" t="s">
        <v>364</v>
      </c>
    </row>
    <row r="86" spans="1:5" hidden="1">
      <c r="A86" s="84" t="s">
        <v>71</v>
      </c>
      <c r="B86" s="84" t="s">
        <v>1447</v>
      </c>
      <c r="C86" s="84" t="s">
        <v>371</v>
      </c>
      <c r="D86" s="84" t="s">
        <v>372</v>
      </c>
      <c r="E86" s="84"/>
    </row>
    <row r="87" spans="1:5" hidden="1">
      <c r="A87" t="s">
        <v>344</v>
      </c>
      <c r="B87" t="s">
        <v>1449</v>
      </c>
      <c r="C87" t="s">
        <v>343</v>
      </c>
      <c r="D87" t="s">
        <v>345</v>
      </c>
    </row>
    <row r="88" spans="1:5" hidden="1">
      <c r="A88" t="s">
        <v>344</v>
      </c>
      <c r="B88" t="s">
        <v>1449</v>
      </c>
      <c r="C88" t="s">
        <v>352</v>
      </c>
      <c r="D88" t="s">
        <v>353</v>
      </c>
    </row>
  </sheetData>
  <autoFilter ref="A1:E88" xr:uid="{055AA7F6-F85B-4AA1-8223-F79E794EFFC3}">
    <filterColumn colId="0">
      <filters>
        <filter val="SmartVista"/>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7465B-E5E9-4FC6-AAB9-4BE6BFC519F0}">
  <sheetPr>
    <tabColor theme="3" tint="0.79998168889431442"/>
  </sheetPr>
  <dimension ref="A1"/>
  <sheetViews>
    <sheetView workbookViewId="0"/>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E4B2D-ADAA-4C8A-A8C2-CD5BCAD43CD1}">
  <dimension ref="A1:O61"/>
  <sheetViews>
    <sheetView zoomScale="70" zoomScaleNormal="70" workbookViewId="0">
      <pane xSplit="1" ySplit="3" topLeftCell="B4" activePane="bottomRight" state="frozen"/>
      <selection pane="topRight" activeCell="B1" sqref="B1"/>
      <selection pane="bottomLeft" activeCell="A4" sqref="A4"/>
      <selection pane="bottomRight" activeCell="A4" sqref="A4"/>
    </sheetView>
  </sheetViews>
  <sheetFormatPr defaultColWidth="13.81640625" defaultRowHeight="15" customHeight="1"/>
  <cols>
    <col min="1" max="1" width="22.90625" style="28" customWidth="1"/>
    <col min="2" max="2" width="15.26953125" style="28" customWidth="1"/>
    <col min="3" max="3" width="43.6328125" style="28" customWidth="1"/>
    <col min="4" max="5" width="85.08984375" style="28" customWidth="1"/>
    <col min="6" max="6" width="52.36328125" style="28" customWidth="1"/>
    <col min="7" max="7" width="87.54296875" style="28" customWidth="1"/>
    <col min="8" max="10" width="52.36328125" style="28" customWidth="1"/>
    <col min="11" max="11" width="85.26953125" style="28" customWidth="1"/>
    <col min="12" max="13" width="52.36328125" style="28" customWidth="1"/>
    <col min="14" max="15" width="39.26953125" style="28" customWidth="1"/>
    <col min="16" max="16384" width="13.81640625" style="28"/>
  </cols>
  <sheetData>
    <row r="1" spans="1:15" ht="37.5" customHeight="1">
      <c r="A1" s="27" t="s">
        <v>410</v>
      </c>
      <c r="B1" s="243" t="s">
        <v>411</v>
      </c>
      <c r="C1" s="244"/>
      <c r="D1" s="244"/>
      <c r="E1" s="244"/>
      <c r="F1" s="244"/>
      <c r="G1" s="244"/>
      <c r="H1" s="29"/>
      <c r="I1" s="29"/>
      <c r="J1" s="29"/>
      <c r="K1" s="29"/>
      <c r="L1" s="29"/>
      <c r="M1" s="29"/>
      <c r="N1" s="29"/>
      <c r="O1" s="29"/>
    </row>
    <row r="2" spans="1:15" ht="37.5" customHeight="1">
      <c r="A2" s="27" t="s">
        <v>412</v>
      </c>
      <c r="B2" s="245" t="s">
        <v>413</v>
      </c>
      <c r="C2" s="246"/>
      <c r="D2" s="246"/>
      <c r="E2" s="246"/>
      <c r="F2" s="30"/>
      <c r="G2" s="31"/>
      <c r="H2" s="29"/>
      <c r="I2" s="29"/>
      <c r="J2" s="29"/>
      <c r="K2" s="29"/>
      <c r="L2" s="29"/>
      <c r="M2" s="29"/>
      <c r="N2" s="29"/>
      <c r="O2" s="29"/>
    </row>
    <row r="3" spans="1:15" ht="37.5" customHeight="1">
      <c r="A3" s="32" t="s">
        <v>414</v>
      </c>
      <c r="B3" s="33" t="s">
        <v>415</v>
      </c>
      <c r="C3" s="33" t="s">
        <v>416</v>
      </c>
      <c r="D3" s="33" t="s">
        <v>417</v>
      </c>
      <c r="E3" s="34" t="s">
        <v>418</v>
      </c>
      <c r="F3" s="33" t="s">
        <v>419</v>
      </c>
      <c r="G3" s="33" t="s">
        <v>420</v>
      </c>
      <c r="H3" s="33" t="s">
        <v>421</v>
      </c>
      <c r="I3" s="33" t="s">
        <v>422</v>
      </c>
      <c r="J3" s="33" t="s">
        <v>423</v>
      </c>
      <c r="K3" s="33" t="s">
        <v>424</v>
      </c>
      <c r="L3" s="33" t="s">
        <v>425</v>
      </c>
      <c r="M3" s="33" t="s">
        <v>426</v>
      </c>
      <c r="N3" s="33" t="s">
        <v>427</v>
      </c>
      <c r="O3" s="33" t="s">
        <v>428</v>
      </c>
    </row>
    <row r="4" spans="1:15" ht="391">
      <c r="A4" s="35" t="s">
        <v>15</v>
      </c>
      <c r="B4" s="35" t="s">
        <v>16</v>
      </c>
      <c r="C4" s="35" t="s">
        <v>17</v>
      </c>
      <c r="D4" s="35" t="s">
        <v>429</v>
      </c>
      <c r="E4" s="35" t="s">
        <v>430</v>
      </c>
      <c r="F4" s="35" t="s">
        <v>431</v>
      </c>
      <c r="G4" s="35" t="s">
        <v>432</v>
      </c>
      <c r="H4" s="35" t="s">
        <v>433</v>
      </c>
      <c r="I4" s="35" t="s">
        <v>434</v>
      </c>
      <c r="J4" s="35" t="s">
        <v>435</v>
      </c>
      <c r="K4" s="35" t="s">
        <v>436</v>
      </c>
      <c r="L4" s="35" t="s">
        <v>437</v>
      </c>
      <c r="M4" s="36" t="s">
        <v>438</v>
      </c>
      <c r="N4" s="37" t="s">
        <v>439</v>
      </c>
      <c r="O4" s="37"/>
    </row>
    <row r="5" spans="1:15" ht="287.5">
      <c r="A5" s="38" t="s">
        <v>27</v>
      </c>
      <c r="B5" s="38" t="s">
        <v>16</v>
      </c>
      <c r="C5" s="38" t="s">
        <v>28</v>
      </c>
      <c r="D5" s="38" t="s">
        <v>440</v>
      </c>
      <c r="E5" s="38" t="s">
        <v>430</v>
      </c>
      <c r="F5" s="38" t="s">
        <v>441</v>
      </c>
      <c r="G5" s="38" t="s">
        <v>442</v>
      </c>
      <c r="H5" s="38" t="s">
        <v>443</v>
      </c>
      <c r="I5" s="38" t="s">
        <v>444</v>
      </c>
      <c r="J5" s="38" t="s">
        <v>445</v>
      </c>
      <c r="K5" s="38" t="s">
        <v>446</v>
      </c>
      <c r="L5" s="38" t="s">
        <v>447</v>
      </c>
      <c r="M5" s="38" t="s">
        <v>438</v>
      </c>
      <c r="N5" s="38" t="s">
        <v>448</v>
      </c>
      <c r="O5" s="38"/>
    </row>
    <row r="6" spans="1:15" ht="263.25" customHeight="1">
      <c r="A6" s="35" t="s">
        <v>35</v>
      </c>
      <c r="B6" s="35" t="s">
        <v>16</v>
      </c>
      <c r="C6" s="35" t="s">
        <v>36</v>
      </c>
      <c r="D6" s="35" t="s">
        <v>449</v>
      </c>
      <c r="E6" s="35" t="s">
        <v>430</v>
      </c>
      <c r="F6" s="35" t="s">
        <v>450</v>
      </c>
      <c r="G6" s="35" t="s">
        <v>451</v>
      </c>
      <c r="H6" s="35" t="s">
        <v>452</v>
      </c>
      <c r="I6" s="35" t="s">
        <v>453</v>
      </c>
      <c r="J6" s="35" t="s">
        <v>454</v>
      </c>
      <c r="K6" s="35" t="s">
        <v>455</v>
      </c>
      <c r="L6" s="35" t="s">
        <v>456</v>
      </c>
      <c r="M6" s="35" t="s">
        <v>438</v>
      </c>
      <c r="N6" s="35" t="s">
        <v>457</v>
      </c>
      <c r="O6" s="35"/>
    </row>
    <row r="7" spans="1:15" ht="276">
      <c r="A7" s="38" t="s">
        <v>40</v>
      </c>
      <c r="B7" s="38" t="s">
        <v>16</v>
      </c>
      <c r="C7" s="38" t="s">
        <v>41</v>
      </c>
      <c r="D7" s="38" t="s">
        <v>458</v>
      </c>
      <c r="E7" s="38" t="s">
        <v>430</v>
      </c>
      <c r="F7" s="38" t="s">
        <v>459</v>
      </c>
      <c r="G7" s="38" t="s">
        <v>460</v>
      </c>
      <c r="H7" s="38" t="s">
        <v>461</v>
      </c>
      <c r="I7" s="38" t="s">
        <v>462</v>
      </c>
      <c r="J7" s="38" t="s">
        <v>463</v>
      </c>
      <c r="K7" s="38" t="s">
        <v>464</v>
      </c>
      <c r="L7" s="38" t="s">
        <v>465</v>
      </c>
      <c r="M7" s="38" t="s">
        <v>438</v>
      </c>
      <c r="N7" s="38" t="s">
        <v>466</v>
      </c>
      <c r="O7" s="38"/>
    </row>
    <row r="8" spans="1:15" ht="195.5">
      <c r="A8" s="35" t="s">
        <v>47</v>
      </c>
      <c r="B8" s="35" t="s">
        <v>16</v>
      </c>
      <c r="C8" s="35" t="s">
        <v>48</v>
      </c>
      <c r="D8" s="35" t="s">
        <v>467</v>
      </c>
      <c r="E8" s="35" t="s">
        <v>430</v>
      </c>
      <c r="F8" s="35" t="s">
        <v>468</v>
      </c>
      <c r="G8" s="35" t="s">
        <v>469</v>
      </c>
      <c r="H8" s="35" t="s">
        <v>470</v>
      </c>
      <c r="I8" s="35" t="s">
        <v>471</v>
      </c>
      <c r="J8" s="35" t="s">
        <v>472</v>
      </c>
      <c r="K8" s="35" t="s">
        <v>473</v>
      </c>
      <c r="L8" s="35" t="s">
        <v>474</v>
      </c>
      <c r="M8" s="35" t="s">
        <v>438</v>
      </c>
      <c r="N8" s="35" t="s">
        <v>475</v>
      </c>
      <c r="O8" s="35"/>
    </row>
    <row r="9" spans="1:15" ht="264.5">
      <c r="A9" s="38" t="s">
        <v>52</v>
      </c>
      <c r="B9" s="38" t="s">
        <v>16</v>
      </c>
      <c r="C9" s="38" t="s">
        <v>53</v>
      </c>
      <c r="D9" s="38" t="s">
        <v>476</v>
      </c>
      <c r="E9" s="38" t="s">
        <v>477</v>
      </c>
      <c r="F9" s="38" t="s">
        <v>478</v>
      </c>
      <c r="G9" s="38" t="s">
        <v>479</v>
      </c>
      <c r="H9" s="38" t="s">
        <v>480</v>
      </c>
      <c r="I9" s="38" t="s">
        <v>481</v>
      </c>
      <c r="J9" s="38" t="s">
        <v>482</v>
      </c>
      <c r="K9" s="38" t="s">
        <v>483</v>
      </c>
      <c r="L9" s="38" t="s">
        <v>484</v>
      </c>
      <c r="M9" s="38" t="s">
        <v>438</v>
      </c>
      <c r="N9" s="38" t="s">
        <v>485</v>
      </c>
      <c r="O9" s="38"/>
    </row>
    <row r="10" spans="1:15" ht="230">
      <c r="A10" s="35" t="s">
        <v>58</v>
      </c>
      <c r="B10" s="35" t="s">
        <v>16</v>
      </c>
      <c r="C10" s="35" t="s">
        <v>59</v>
      </c>
      <c r="D10" s="35" t="s">
        <v>486</v>
      </c>
      <c r="E10" s="35" t="s">
        <v>487</v>
      </c>
      <c r="F10" s="35" t="s">
        <v>488</v>
      </c>
      <c r="G10" s="35" t="s">
        <v>489</v>
      </c>
      <c r="H10" s="35" t="s">
        <v>490</v>
      </c>
      <c r="I10" s="35" t="s">
        <v>491</v>
      </c>
      <c r="J10" s="35" t="s">
        <v>492</v>
      </c>
      <c r="K10" s="35" t="s">
        <v>493</v>
      </c>
      <c r="L10" s="35" t="s">
        <v>494</v>
      </c>
      <c r="M10" s="35" t="s">
        <v>438</v>
      </c>
      <c r="N10" s="35" t="s">
        <v>495</v>
      </c>
      <c r="O10" s="35"/>
    </row>
    <row r="11" spans="1:15" ht="264.5">
      <c r="A11" s="38" t="s">
        <v>64</v>
      </c>
      <c r="B11" s="38" t="s">
        <v>16</v>
      </c>
      <c r="C11" s="38" t="s">
        <v>65</v>
      </c>
      <c r="D11" s="38" t="s">
        <v>496</v>
      </c>
      <c r="E11" s="38" t="s">
        <v>487</v>
      </c>
      <c r="F11" s="38" t="s">
        <v>497</v>
      </c>
      <c r="G11" s="38" t="s">
        <v>498</v>
      </c>
      <c r="H11" s="38" t="s">
        <v>499</v>
      </c>
      <c r="I11" s="38" t="s">
        <v>500</v>
      </c>
      <c r="J11" s="38" t="s">
        <v>501</v>
      </c>
      <c r="K11" s="38" t="s">
        <v>502</v>
      </c>
      <c r="L11" s="38" t="s">
        <v>503</v>
      </c>
      <c r="M11" s="38" t="s">
        <v>438</v>
      </c>
      <c r="N11" s="38" t="s">
        <v>504</v>
      </c>
      <c r="O11" s="38"/>
    </row>
    <row r="12" spans="1:15" ht="230">
      <c r="A12" s="35" t="s">
        <v>72</v>
      </c>
      <c r="B12" s="35" t="s">
        <v>16</v>
      </c>
      <c r="C12" s="35" t="s">
        <v>73</v>
      </c>
      <c r="D12" s="35" t="s">
        <v>505</v>
      </c>
      <c r="E12" s="35" t="s">
        <v>506</v>
      </c>
      <c r="F12" s="35" t="s">
        <v>507</v>
      </c>
      <c r="G12" s="35" t="s">
        <v>508</v>
      </c>
      <c r="H12" s="35" t="s">
        <v>509</v>
      </c>
      <c r="I12" s="35" t="s">
        <v>510</v>
      </c>
      <c r="J12" s="35" t="s">
        <v>511</v>
      </c>
      <c r="K12" s="35" t="s">
        <v>512</v>
      </c>
      <c r="L12" s="35" t="s">
        <v>513</v>
      </c>
      <c r="M12" s="35" t="s">
        <v>514</v>
      </c>
      <c r="N12" s="35" t="s">
        <v>515</v>
      </c>
      <c r="O12" s="35"/>
    </row>
    <row r="13" spans="1:15" ht="244.5" customHeight="1">
      <c r="A13" s="38" t="s">
        <v>79</v>
      </c>
      <c r="B13" s="38" t="s">
        <v>16</v>
      </c>
      <c r="C13" s="38" t="s">
        <v>80</v>
      </c>
      <c r="D13" s="38" t="s">
        <v>516</v>
      </c>
      <c r="E13" s="38" t="s">
        <v>506</v>
      </c>
      <c r="F13" s="38" t="s">
        <v>517</v>
      </c>
      <c r="G13" s="38" t="s">
        <v>518</v>
      </c>
      <c r="H13" s="38" t="s">
        <v>519</v>
      </c>
      <c r="I13" s="38" t="s">
        <v>520</v>
      </c>
      <c r="J13" s="38" t="s">
        <v>521</v>
      </c>
      <c r="K13" s="38" t="s">
        <v>522</v>
      </c>
      <c r="L13" s="38" t="s">
        <v>523</v>
      </c>
      <c r="M13" s="38" t="s">
        <v>514</v>
      </c>
      <c r="N13" s="38" t="s">
        <v>524</v>
      </c>
      <c r="O13" s="38"/>
    </row>
    <row r="14" spans="1:15" ht="253">
      <c r="A14" s="35" t="s">
        <v>87</v>
      </c>
      <c r="B14" s="35" t="s">
        <v>16</v>
      </c>
      <c r="C14" s="35" t="s">
        <v>88</v>
      </c>
      <c r="D14" s="35" t="s">
        <v>525</v>
      </c>
      <c r="E14" s="35" t="s">
        <v>526</v>
      </c>
      <c r="F14" s="35" t="s">
        <v>527</v>
      </c>
      <c r="G14" s="35" t="s">
        <v>528</v>
      </c>
      <c r="H14" s="35" t="s">
        <v>529</v>
      </c>
      <c r="I14" s="35" t="s">
        <v>530</v>
      </c>
      <c r="J14" s="35" t="s">
        <v>531</v>
      </c>
      <c r="K14" s="35" t="s">
        <v>532</v>
      </c>
      <c r="L14" s="35" t="s">
        <v>533</v>
      </c>
      <c r="M14" s="35" t="s">
        <v>514</v>
      </c>
      <c r="N14" s="35" t="s">
        <v>534</v>
      </c>
      <c r="O14" s="35"/>
    </row>
    <row r="15" spans="1:15" ht="310.5">
      <c r="A15" s="38" t="s">
        <v>95</v>
      </c>
      <c r="B15" s="38" t="s">
        <v>16</v>
      </c>
      <c r="C15" s="38" t="s">
        <v>96</v>
      </c>
      <c r="D15" s="38" t="s">
        <v>535</v>
      </c>
      <c r="E15" s="38" t="s">
        <v>536</v>
      </c>
      <c r="F15" s="38" t="s">
        <v>537</v>
      </c>
      <c r="G15" s="38" t="s">
        <v>538</v>
      </c>
      <c r="H15" s="38" t="s">
        <v>539</v>
      </c>
      <c r="I15" s="38" t="s">
        <v>540</v>
      </c>
      <c r="J15" s="38" t="s">
        <v>541</v>
      </c>
      <c r="K15" s="38" t="s">
        <v>542</v>
      </c>
      <c r="L15" s="38" t="s">
        <v>543</v>
      </c>
      <c r="M15" s="38" t="s">
        <v>514</v>
      </c>
      <c r="N15" s="38" t="s">
        <v>544</v>
      </c>
      <c r="O15" s="38"/>
    </row>
    <row r="16" spans="1:15" ht="241.5">
      <c r="A16" s="35" t="s">
        <v>102</v>
      </c>
      <c r="B16" s="35" t="s">
        <v>16</v>
      </c>
      <c r="C16" s="35" t="s">
        <v>103</v>
      </c>
      <c r="D16" s="35" t="s">
        <v>545</v>
      </c>
      <c r="E16" s="35" t="s">
        <v>546</v>
      </c>
      <c r="F16" s="35" t="s">
        <v>547</v>
      </c>
      <c r="G16" s="35" t="s">
        <v>548</v>
      </c>
      <c r="H16" s="35" t="s">
        <v>549</v>
      </c>
      <c r="I16" s="35" t="s">
        <v>550</v>
      </c>
      <c r="J16" s="35" t="s">
        <v>551</v>
      </c>
      <c r="K16" s="35" t="s">
        <v>552</v>
      </c>
      <c r="L16" s="35" t="s">
        <v>553</v>
      </c>
      <c r="M16" s="35" t="s">
        <v>514</v>
      </c>
      <c r="N16" s="35" t="s">
        <v>554</v>
      </c>
      <c r="O16" s="35"/>
    </row>
    <row r="17" spans="1:15" ht="230">
      <c r="A17" s="39" t="s">
        <v>110</v>
      </c>
      <c r="B17" s="39" t="s">
        <v>16</v>
      </c>
      <c r="C17" s="39" t="s">
        <v>111</v>
      </c>
      <c r="D17" s="39" t="s">
        <v>555</v>
      </c>
      <c r="E17" s="39" t="s">
        <v>556</v>
      </c>
      <c r="F17" s="39" t="s">
        <v>557</v>
      </c>
      <c r="G17" s="39" t="s">
        <v>558</v>
      </c>
      <c r="H17" s="39" t="s">
        <v>559</v>
      </c>
      <c r="I17" s="39" t="s">
        <v>560</v>
      </c>
      <c r="J17" s="39" t="s">
        <v>561</v>
      </c>
      <c r="K17" s="39" t="s">
        <v>562</v>
      </c>
      <c r="L17" s="39" t="s">
        <v>563</v>
      </c>
      <c r="M17" s="39" t="s">
        <v>514</v>
      </c>
      <c r="N17" s="39" t="s">
        <v>564</v>
      </c>
      <c r="O17" s="40" t="s">
        <v>565</v>
      </c>
    </row>
    <row r="18" spans="1:15" ht="207">
      <c r="A18" s="35" t="s">
        <v>116</v>
      </c>
      <c r="B18" s="35" t="s">
        <v>16</v>
      </c>
      <c r="C18" s="35" t="s">
        <v>117</v>
      </c>
      <c r="D18" s="35" t="s">
        <v>566</v>
      </c>
      <c r="E18" s="35" t="s">
        <v>546</v>
      </c>
      <c r="F18" s="35" t="s">
        <v>567</v>
      </c>
      <c r="G18" s="35" t="s">
        <v>568</v>
      </c>
      <c r="H18" s="35" t="s">
        <v>569</v>
      </c>
      <c r="I18" s="35" t="s">
        <v>570</v>
      </c>
      <c r="J18" s="35" t="s">
        <v>571</v>
      </c>
      <c r="K18" s="35" t="s">
        <v>572</v>
      </c>
      <c r="L18" s="35" t="s">
        <v>573</v>
      </c>
      <c r="M18" s="35" t="s">
        <v>514</v>
      </c>
      <c r="N18" s="35" t="s">
        <v>574</v>
      </c>
      <c r="O18" s="35"/>
    </row>
    <row r="19" spans="1:15" ht="322">
      <c r="A19" s="38" t="s">
        <v>124</v>
      </c>
      <c r="B19" s="38" t="s">
        <v>16</v>
      </c>
      <c r="C19" s="38" t="s">
        <v>125</v>
      </c>
      <c r="D19" s="38" t="s">
        <v>575</v>
      </c>
      <c r="E19" s="38" t="s">
        <v>576</v>
      </c>
      <c r="F19" s="38" t="s">
        <v>577</v>
      </c>
      <c r="G19" s="38" t="s">
        <v>578</v>
      </c>
      <c r="H19" s="38" t="s">
        <v>579</v>
      </c>
      <c r="I19" s="38" t="s">
        <v>580</v>
      </c>
      <c r="J19" s="38" t="s">
        <v>581</v>
      </c>
      <c r="K19" s="38" t="s">
        <v>582</v>
      </c>
      <c r="L19" s="38" t="s">
        <v>583</v>
      </c>
      <c r="M19" s="38" t="s">
        <v>584</v>
      </c>
      <c r="N19" s="38" t="s">
        <v>585</v>
      </c>
      <c r="O19" s="38"/>
    </row>
    <row r="20" spans="1:15" ht="368">
      <c r="A20" s="35" t="s">
        <v>130</v>
      </c>
      <c r="B20" s="35" t="s">
        <v>16</v>
      </c>
      <c r="C20" s="35" t="s">
        <v>131</v>
      </c>
      <c r="D20" s="35" t="s">
        <v>586</v>
      </c>
      <c r="E20" s="35" t="s">
        <v>587</v>
      </c>
      <c r="F20" s="35" t="s">
        <v>588</v>
      </c>
      <c r="G20" s="35" t="s">
        <v>589</v>
      </c>
      <c r="H20" s="35" t="s">
        <v>590</v>
      </c>
      <c r="I20" s="35" t="s">
        <v>591</v>
      </c>
      <c r="J20" s="35" t="s">
        <v>592</v>
      </c>
      <c r="K20" s="35" t="s">
        <v>593</v>
      </c>
      <c r="L20" s="35" t="s">
        <v>594</v>
      </c>
      <c r="M20" s="35" t="s">
        <v>584</v>
      </c>
      <c r="N20" s="35" t="s">
        <v>595</v>
      </c>
      <c r="O20" s="35"/>
    </row>
    <row r="21" spans="1:15" ht="287.5">
      <c r="A21" s="41" t="s">
        <v>137</v>
      </c>
      <c r="B21" s="41" t="s">
        <v>16</v>
      </c>
      <c r="C21" s="41" t="s">
        <v>138</v>
      </c>
      <c r="D21" s="41" t="s">
        <v>596</v>
      </c>
      <c r="E21" s="41" t="s">
        <v>597</v>
      </c>
      <c r="F21" s="41" t="s">
        <v>598</v>
      </c>
      <c r="G21" s="41" t="s">
        <v>599</v>
      </c>
      <c r="H21" s="41" t="s">
        <v>600</v>
      </c>
      <c r="I21" s="41" t="s">
        <v>601</v>
      </c>
      <c r="J21" s="41" t="s">
        <v>602</v>
      </c>
      <c r="K21" s="41" t="s">
        <v>603</v>
      </c>
      <c r="L21" s="41" t="s">
        <v>604</v>
      </c>
      <c r="M21" s="41" t="s">
        <v>584</v>
      </c>
      <c r="N21" s="41" t="s">
        <v>605</v>
      </c>
      <c r="O21" s="42" t="s">
        <v>606</v>
      </c>
    </row>
    <row r="22" spans="1:15" ht="230">
      <c r="A22" s="43" t="s">
        <v>143</v>
      </c>
      <c r="B22" s="43" t="s">
        <v>16</v>
      </c>
      <c r="C22" s="43" t="s">
        <v>144</v>
      </c>
      <c r="D22" s="43" t="s">
        <v>607</v>
      </c>
      <c r="E22" s="43" t="s">
        <v>608</v>
      </c>
      <c r="F22" s="43" t="s">
        <v>609</v>
      </c>
      <c r="G22" s="43" t="s">
        <v>610</v>
      </c>
      <c r="H22" s="43" t="s">
        <v>611</v>
      </c>
      <c r="I22" s="43" t="s">
        <v>612</v>
      </c>
      <c r="J22" s="43" t="s">
        <v>613</v>
      </c>
      <c r="K22" s="43" t="s">
        <v>614</v>
      </c>
      <c r="L22" s="43" t="s">
        <v>615</v>
      </c>
      <c r="M22" s="43" t="s">
        <v>584</v>
      </c>
      <c r="N22" s="43" t="s">
        <v>616</v>
      </c>
      <c r="O22" s="43"/>
    </row>
    <row r="23" spans="1:15" ht="15.75" customHeight="1">
      <c r="A23" s="41" t="s">
        <v>150</v>
      </c>
      <c r="B23" s="41" t="s">
        <v>16</v>
      </c>
      <c r="C23" s="41" t="s">
        <v>151</v>
      </c>
      <c r="D23" s="41" t="s">
        <v>617</v>
      </c>
      <c r="E23" s="41" t="s">
        <v>618</v>
      </c>
      <c r="F23" s="41" t="s">
        <v>619</v>
      </c>
      <c r="G23" s="41" t="s">
        <v>620</v>
      </c>
      <c r="H23" s="41" t="s">
        <v>621</v>
      </c>
      <c r="I23" s="41" t="s">
        <v>622</v>
      </c>
      <c r="J23" s="41" t="s">
        <v>623</v>
      </c>
      <c r="K23" s="41" t="s">
        <v>624</v>
      </c>
      <c r="L23" s="41" t="s">
        <v>625</v>
      </c>
      <c r="M23" s="41" t="s">
        <v>584</v>
      </c>
      <c r="N23" s="41" t="s">
        <v>626</v>
      </c>
      <c r="O23" s="42" t="s">
        <v>627</v>
      </c>
    </row>
    <row r="24" spans="1:15" ht="287.5">
      <c r="A24" s="35" t="s">
        <v>155</v>
      </c>
      <c r="B24" s="35" t="s">
        <v>16</v>
      </c>
      <c r="C24" s="35" t="s">
        <v>156</v>
      </c>
      <c r="D24" s="35" t="s">
        <v>628</v>
      </c>
      <c r="E24" s="35" t="s">
        <v>629</v>
      </c>
      <c r="F24" s="35" t="s">
        <v>630</v>
      </c>
      <c r="G24" s="35" t="s">
        <v>631</v>
      </c>
      <c r="H24" s="35" t="s">
        <v>632</v>
      </c>
      <c r="I24" s="35" t="s">
        <v>633</v>
      </c>
      <c r="J24" s="35" t="s">
        <v>634</v>
      </c>
      <c r="K24" s="35" t="s">
        <v>635</v>
      </c>
      <c r="L24" s="35" t="s">
        <v>636</v>
      </c>
      <c r="M24" s="35" t="s">
        <v>584</v>
      </c>
      <c r="N24" s="35" t="s">
        <v>637</v>
      </c>
      <c r="O24" s="35"/>
    </row>
    <row r="25" spans="1:15" ht="15.75" customHeight="1">
      <c r="A25" s="44" t="s">
        <v>161</v>
      </c>
      <c r="B25" s="44" t="s">
        <v>162</v>
      </c>
      <c r="C25" s="44" t="s">
        <v>163</v>
      </c>
      <c r="D25" s="44" t="s">
        <v>638</v>
      </c>
      <c r="E25" s="44" t="s">
        <v>639</v>
      </c>
      <c r="F25" s="44" t="s">
        <v>640</v>
      </c>
      <c r="G25" s="44" t="s">
        <v>641</v>
      </c>
      <c r="H25" s="44" t="s">
        <v>642</v>
      </c>
      <c r="I25" s="44" t="s">
        <v>643</v>
      </c>
      <c r="J25" s="44" t="s">
        <v>644</v>
      </c>
      <c r="K25" s="44" t="s">
        <v>645</v>
      </c>
      <c r="L25" s="44" t="s">
        <v>646</v>
      </c>
      <c r="M25" s="44" t="s">
        <v>647</v>
      </c>
      <c r="N25" s="44" t="s">
        <v>648</v>
      </c>
      <c r="O25" s="45" t="s">
        <v>649</v>
      </c>
    </row>
    <row r="26" spans="1:15" ht="15.75" customHeight="1">
      <c r="A26" s="44" t="s">
        <v>169</v>
      </c>
      <c r="B26" s="44" t="s">
        <v>162</v>
      </c>
      <c r="C26" s="44" t="s">
        <v>170</v>
      </c>
      <c r="D26" s="44" t="s">
        <v>650</v>
      </c>
      <c r="E26" s="44" t="s">
        <v>639</v>
      </c>
      <c r="F26" s="44" t="s">
        <v>651</v>
      </c>
      <c r="G26" s="44" t="s">
        <v>652</v>
      </c>
      <c r="H26" s="44" t="s">
        <v>653</v>
      </c>
      <c r="I26" s="44" t="s">
        <v>654</v>
      </c>
      <c r="J26" s="44" t="s">
        <v>655</v>
      </c>
      <c r="K26" s="44" t="s">
        <v>656</v>
      </c>
      <c r="L26" s="44" t="s">
        <v>657</v>
      </c>
      <c r="M26" s="44" t="s">
        <v>647</v>
      </c>
      <c r="N26" s="44" t="s">
        <v>658</v>
      </c>
      <c r="O26" s="45" t="s">
        <v>649</v>
      </c>
    </row>
    <row r="27" spans="1:15" ht="15.75" customHeight="1">
      <c r="A27" s="44" t="s">
        <v>174</v>
      </c>
      <c r="B27" s="44" t="s">
        <v>162</v>
      </c>
      <c r="C27" s="44" t="s">
        <v>175</v>
      </c>
      <c r="D27" s="44" t="s">
        <v>659</v>
      </c>
      <c r="E27" s="44" t="s">
        <v>639</v>
      </c>
      <c r="F27" s="44" t="s">
        <v>660</v>
      </c>
      <c r="G27" s="44" t="s">
        <v>661</v>
      </c>
      <c r="H27" s="44" t="s">
        <v>662</v>
      </c>
      <c r="I27" s="44" t="s">
        <v>663</v>
      </c>
      <c r="J27" s="44" t="s">
        <v>664</v>
      </c>
      <c r="K27" s="44" t="s">
        <v>665</v>
      </c>
      <c r="L27" s="44" t="s">
        <v>666</v>
      </c>
      <c r="M27" s="44" t="s">
        <v>647</v>
      </c>
      <c r="N27" s="44" t="s">
        <v>667</v>
      </c>
      <c r="O27" s="45" t="s">
        <v>649</v>
      </c>
    </row>
    <row r="28" spans="1:15" ht="15.75" customHeight="1">
      <c r="A28" s="44" t="s">
        <v>179</v>
      </c>
      <c r="B28" s="44" t="s">
        <v>162</v>
      </c>
      <c r="C28" s="44" t="s">
        <v>180</v>
      </c>
      <c r="D28" s="44" t="s">
        <v>668</v>
      </c>
      <c r="E28" s="44" t="s">
        <v>669</v>
      </c>
      <c r="F28" s="44" t="s">
        <v>670</v>
      </c>
      <c r="G28" s="44" t="s">
        <v>671</v>
      </c>
      <c r="H28" s="44" t="s">
        <v>672</v>
      </c>
      <c r="I28" s="44" t="s">
        <v>673</v>
      </c>
      <c r="J28" s="44" t="s">
        <v>674</v>
      </c>
      <c r="K28" s="44" t="s">
        <v>675</v>
      </c>
      <c r="L28" s="44" t="s">
        <v>676</v>
      </c>
      <c r="M28" s="44" t="s">
        <v>647</v>
      </c>
      <c r="N28" s="44" t="s">
        <v>677</v>
      </c>
      <c r="O28" s="45" t="s">
        <v>649</v>
      </c>
    </row>
    <row r="29" spans="1:15" ht="15.75" customHeight="1">
      <c r="A29" s="44" t="s">
        <v>184</v>
      </c>
      <c r="B29" s="44" t="s">
        <v>162</v>
      </c>
      <c r="C29" s="44" t="s">
        <v>185</v>
      </c>
      <c r="D29" s="44" t="s">
        <v>678</v>
      </c>
      <c r="E29" s="44" t="s">
        <v>669</v>
      </c>
      <c r="F29" s="44" t="s">
        <v>679</v>
      </c>
      <c r="G29" s="44" t="s">
        <v>680</v>
      </c>
      <c r="H29" s="44" t="s">
        <v>681</v>
      </c>
      <c r="I29" s="44" t="s">
        <v>682</v>
      </c>
      <c r="J29" s="44" t="s">
        <v>683</v>
      </c>
      <c r="K29" s="44" t="s">
        <v>684</v>
      </c>
      <c r="L29" s="44" t="s">
        <v>685</v>
      </c>
      <c r="M29" s="44" t="s">
        <v>647</v>
      </c>
      <c r="N29" s="44" t="s">
        <v>677</v>
      </c>
      <c r="O29" s="45" t="s">
        <v>649</v>
      </c>
    </row>
    <row r="30" spans="1:15" ht="15.75" customHeight="1">
      <c r="A30" s="44" t="s">
        <v>189</v>
      </c>
      <c r="B30" s="44" t="s">
        <v>162</v>
      </c>
      <c r="C30" s="44" t="s">
        <v>190</v>
      </c>
      <c r="D30" s="44" t="s">
        <v>686</v>
      </c>
      <c r="E30" s="44" t="s">
        <v>687</v>
      </c>
      <c r="F30" s="44" t="s">
        <v>688</v>
      </c>
      <c r="G30" s="44" t="s">
        <v>689</v>
      </c>
      <c r="H30" s="44" t="s">
        <v>690</v>
      </c>
      <c r="I30" s="44" t="s">
        <v>691</v>
      </c>
      <c r="J30" s="44" t="s">
        <v>692</v>
      </c>
      <c r="K30" s="44" t="s">
        <v>693</v>
      </c>
      <c r="L30" s="44" t="s">
        <v>694</v>
      </c>
      <c r="M30" s="44" t="s">
        <v>647</v>
      </c>
      <c r="N30" s="44" t="s">
        <v>677</v>
      </c>
      <c r="O30" s="45" t="s">
        <v>649</v>
      </c>
    </row>
    <row r="31" spans="1:15" ht="15.75" customHeight="1">
      <c r="A31" s="44" t="s">
        <v>194</v>
      </c>
      <c r="B31" s="44" t="s">
        <v>162</v>
      </c>
      <c r="C31" s="44" t="s">
        <v>195</v>
      </c>
      <c r="D31" s="44" t="s">
        <v>695</v>
      </c>
      <c r="E31" s="44" t="s">
        <v>696</v>
      </c>
      <c r="F31" s="44" t="s">
        <v>697</v>
      </c>
      <c r="G31" s="44" t="s">
        <v>698</v>
      </c>
      <c r="H31" s="44" t="s">
        <v>699</v>
      </c>
      <c r="I31" s="44" t="s">
        <v>700</v>
      </c>
      <c r="J31" s="44" t="s">
        <v>701</v>
      </c>
      <c r="K31" s="44" t="s">
        <v>702</v>
      </c>
      <c r="L31" s="44" t="s">
        <v>703</v>
      </c>
      <c r="M31" s="44" t="s">
        <v>704</v>
      </c>
      <c r="N31" s="44" t="s">
        <v>705</v>
      </c>
      <c r="O31" s="45" t="s">
        <v>649</v>
      </c>
    </row>
    <row r="32" spans="1:15" ht="15.75" customHeight="1">
      <c r="A32" s="44" t="s">
        <v>199</v>
      </c>
      <c r="B32" s="44" t="s">
        <v>162</v>
      </c>
      <c r="C32" s="44" t="s">
        <v>200</v>
      </c>
      <c r="D32" s="44" t="s">
        <v>706</v>
      </c>
      <c r="E32" s="44" t="s">
        <v>707</v>
      </c>
      <c r="F32" s="44" t="s">
        <v>708</v>
      </c>
      <c r="G32" s="44" t="s">
        <v>709</v>
      </c>
      <c r="H32" s="44" t="s">
        <v>710</v>
      </c>
      <c r="I32" s="44" t="s">
        <v>711</v>
      </c>
      <c r="J32" s="44" t="s">
        <v>712</v>
      </c>
      <c r="K32" s="44" t="s">
        <v>713</v>
      </c>
      <c r="L32" s="44" t="s">
        <v>714</v>
      </c>
      <c r="M32" s="44" t="s">
        <v>704</v>
      </c>
      <c r="N32" s="44" t="s">
        <v>705</v>
      </c>
      <c r="O32" s="45" t="s">
        <v>649</v>
      </c>
    </row>
    <row r="33" spans="1:15" ht="15.75" customHeight="1">
      <c r="A33" s="44" t="s">
        <v>204</v>
      </c>
      <c r="B33" s="44" t="s">
        <v>162</v>
      </c>
      <c r="C33" s="44" t="s">
        <v>205</v>
      </c>
      <c r="D33" s="44" t="s">
        <v>715</v>
      </c>
      <c r="E33" s="44" t="s">
        <v>716</v>
      </c>
      <c r="F33" s="44" t="s">
        <v>717</v>
      </c>
      <c r="G33" s="44" t="s">
        <v>718</v>
      </c>
      <c r="H33" s="44" t="s">
        <v>719</v>
      </c>
      <c r="I33" s="44" t="s">
        <v>720</v>
      </c>
      <c r="J33" s="44" t="s">
        <v>721</v>
      </c>
      <c r="K33" s="44" t="s">
        <v>722</v>
      </c>
      <c r="L33" s="44" t="s">
        <v>723</v>
      </c>
      <c r="M33" s="44" t="s">
        <v>647</v>
      </c>
      <c r="N33" s="44" t="s">
        <v>677</v>
      </c>
      <c r="O33" s="45" t="s">
        <v>649</v>
      </c>
    </row>
    <row r="34" spans="1:15" ht="15.75" customHeight="1">
      <c r="A34" s="44" t="s">
        <v>210</v>
      </c>
      <c r="B34" s="44" t="s">
        <v>162</v>
      </c>
      <c r="C34" s="44" t="s">
        <v>211</v>
      </c>
      <c r="D34" s="44" t="s">
        <v>724</v>
      </c>
      <c r="E34" s="44" t="s">
        <v>725</v>
      </c>
      <c r="F34" s="44" t="s">
        <v>726</v>
      </c>
      <c r="G34" s="44" t="s">
        <v>727</v>
      </c>
      <c r="H34" s="44" t="s">
        <v>728</v>
      </c>
      <c r="I34" s="44" t="s">
        <v>729</v>
      </c>
      <c r="J34" s="44" t="s">
        <v>730</v>
      </c>
      <c r="K34" s="44" t="s">
        <v>731</v>
      </c>
      <c r="L34" s="44" t="s">
        <v>732</v>
      </c>
      <c r="M34" s="44" t="s">
        <v>647</v>
      </c>
      <c r="N34" s="44" t="s">
        <v>677</v>
      </c>
      <c r="O34" s="45" t="s">
        <v>649</v>
      </c>
    </row>
    <row r="35" spans="1:15" ht="15.75" customHeight="1">
      <c r="A35" s="44" t="s">
        <v>215</v>
      </c>
      <c r="B35" s="44" t="s">
        <v>162</v>
      </c>
      <c r="C35" s="44" t="s">
        <v>216</v>
      </c>
      <c r="D35" s="44" t="s">
        <v>733</v>
      </c>
      <c r="E35" s="44" t="s">
        <v>734</v>
      </c>
      <c r="F35" s="44" t="s">
        <v>735</v>
      </c>
      <c r="G35" s="44" t="s">
        <v>736</v>
      </c>
      <c r="H35" s="44" t="s">
        <v>737</v>
      </c>
      <c r="I35" s="44" t="s">
        <v>738</v>
      </c>
      <c r="J35" s="44" t="s">
        <v>739</v>
      </c>
      <c r="K35" s="44" t="s">
        <v>740</v>
      </c>
      <c r="L35" s="44" t="s">
        <v>741</v>
      </c>
      <c r="M35" s="44" t="s">
        <v>704</v>
      </c>
      <c r="N35" s="44" t="s">
        <v>705</v>
      </c>
      <c r="O35" s="45" t="s">
        <v>649</v>
      </c>
    </row>
    <row r="36" spans="1:15" ht="15.75" customHeight="1">
      <c r="A36" s="44" t="s">
        <v>220</v>
      </c>
      <c r="B36" s="44" t="s">
        <v>162</v>
      </c>
      <c r="C36" s="44" t="s">
        <v>221</v>
      </c>
      <c r="D36" s="44" t="s">
        <v>742</v>
      </c>
      <c r="E36" s="44" t="s">
        <v>743</v>
      </c>
      <c r="F36" s="44" t="s">
        <v>744</v>
      </c>
      <c r="G36" s="44" t="s">
        <v>745</v>
      </c>
      <c r="H36" s="44" t="s">
        <v>746</v>
      </c>
      <c r="I36" s="44" t="s">
        <v>747</v>
      </c>
      <c r="J36" s="44" t="s">
        <v>748</v>
      </c>
      <c r="K36" s="44" t="s">
        <v>749</v>
      </c>
      <c r="L36" s="44" t="s">
        <v>750</v>
      </c>
      <c r="M36" s="44" t="s">
        <v>704</v>
      </c>
      <c r="N36" s="44" t="s">
        <v>705</v>
      </c>
      <c r="O36" s="45" t="s">
        <v>649</v>
      </c>
    </row>
    <row r="37" spans="1:15" ht="15.75" customHeight="1">
      <c r="A37" s="44" t="s">
        <v>225</v>
      </c>
      <c r="B37" s="44" t="s">
        <v>162</v>
      </c>
      <c r="C37" s="44" t="s">
        <v>226</v>
      </c>
      <c r="D37" s="44" t="s">
        <v>751</v>
      </c>
      <c r="E37" s="44" t="s">
        <v>752</v>
      </c>
      <c r="F37" s="44" t="s">
        <v>753</v>
      </c>
      <c r="G37" s="44" t="s">
        <v>754</v>
      </c>
      <c r="H37" s="44" t="s">
        <v>755</v>
      </c>
      <c r="I37" s="44" t="s">
        <v>756</v>
      </c>
      <c r="J37" s="44" t="s">
        <v>757</v>
      </c>
      <c r="K37" s="44" t="s">
        <v>758</v>
      </c>
      <c r="L37" s="44" t="s">
        <v>759</v>
      </c>
      <c r="M37" s="44" t="s">
        <v>704</v>
      </c>
      <c r="N37" s="44" t="s">
        <v>760</v>
      </c>
      <c r="O37" s="45" t="s">
        <v>649</v>
      </c>
    </row>
    <row r="38" spans="1:15" ht="15.75" customHeight="1">
      <c r="A38" s="39" t="s">
        <v>230</v>
      </c>
      <c r="B38" s="39" t="s">
        <v>162</v>
      </c>
      <c r="C38" s="39" t="s">
        <v>231</v>
      </c>
      <c r="D38" s="39" t="s">
        <v>761</v>
      </c>
      <c r="E38" s="39" t="s">
        <v>608</v>
      </c>
      <c r="F38" s="39" t="s">
        <v>762</v>
      </c>
      <c r="G38" s="39" t="s">
        <v>763</v>
      </c>
      <c r="H38" s="39" t="s">
        <v>764</v>
      </c>
      <c r="I38" s="39" t="s">
        <v>765</v>
      </c>
      <c r="J38" s="39" t="s">
        <v>766</v>
      </c>
      <c r="K38" s="39" t="s">
        <v>767</v>
      </c>
      <c r="L38" s="39" t="s">
        <v>768</v>
      </c>
      <c r="M38" s="39" t="s">
        <v>584</v>
      </c>
      <c r="N38" s="39" t="s">
        <v>769</v>
      </c>
      <c r="O38" s="40" t="s">
        <v>770</v>
      </c>
    </row>
    <row r="39" spans="1:15" ht="15.75" customHeight="1">
      <c r="A39" s="39" t="s">
        <v>236</v>
      </c>
      <c r="B39" s="39" t="s">
        <v>162</v>
      </c>
      <c r="C39" s="39" t="s">
        <v>237</v>
      </c>
      <c r="D39" s="39" t="s">
        <v>771</v>
      </c>
      <c r="E39" s="39" t="s">
        <v>618</v>
      </c>
      <c r="F39" s="39" t="s">
        <v>772</v>
      </c>
      <c r="G39" s="39" t="s">
        <v>773</v>
      </c>
      <c r="H39" s="39" t="s">
        <v>774</v>
      </c>
      <c r="I39" s="39" t="s">
        <v>775</v>
      </c>
      <c r="J39" s="39" t="s">
        <v>776</v>
      </c>
      <c r="K39" s="39" t="s">
        <v>777</v>
      </c>
      <c r="L39" s="39" t="s">
        <v>778</v>
      </c>
      <c r="M39" s="39" t="s">
        <v>584</v>
      </c>
      <c r="N39" s="39" t="s">
        <v>779</v>
      </c>
      <c r="O39" s="40" t="s">
        <v>770</v>
      </c>
    </row>
    <row r="40" spans="1:15" ht="15.75" customHeight="1">
      <c r="A40" s="46" t="s">
        <v>241</v>
      </c>
      <c r="B40" s="46" t="s">
        <v>162</v>
      </c>
      <c r="C40" s="46" t="s">
        <v>242</v>
      </c>
      <c r="D40" s="46" t="s">
        <v>780</v>
      </c>
      <c r="E40" s="46" t="s">
        <v>629</v>
      </c>
      <c r="F40" s="46" t="s">
        <v>781</v>
      </c>
      <c r="G40" s="46" t="s">
        <v>782</v>
      </c>
      <c r="H40" s="46" t="s">
        <v>783</v>
      </c>
      <c r="I40" s="46" t="s">
        <v>784</v>
      </c>
      <c r="J40" s="46" t="s">
        <v>785</v>
      </c>
      <c r="K40" s="46" t="s">
        <v>786</v>
      </c>
      <c r="L40" s="46" t="s">
        <v>787</v>
      </c>
      <c r="M40" s="46" t="s">
        <v>584</v>
      </c>
      <c r="N40" s="46" t="s">
        <v>788</v>
      </c>
      <c r="O40" s="47" t="s">
        <v>770</v>
      </c>
    </row>
    <row r="41" spans="1:15" ht="15.75" customHeight="1">
      <c r="A41" s="44" t="s">
        <v>246</v>
      </c>
      <c r="B41" s="44" t="s">
        <v>162</v>
      </c>
      <c r="C41" s="44" t="s">
        <v>247</v>
      </c>
      <c r="D41" s="44" t="s">
        <v>789</v>
      </c>
      <c r="E41" s="44" t="s">
        <v>790</v>
      </c>
      <c r="F41" s="44" t="s">
        <v>791</v>
      </c>
      <c r="G41" s="44" t="s">
        <v>792</v>
      </c>
      <c r="H41" s="44" t="s">
        <v>793</v>
      </c>
      <c r="I41" s="44" t="s">
        <v>794</v>
      </c>
      <c r="J41" s="44" t="s">
        <v>795</v>
      </c>
      <c r="K41" s="44" t="s">
        <v>796</v>
      </c>
      <c r="L41" s="44" t="s">
        <v>797</v>
      </c>
      <c r="M41" s="44" t="s">
        <v>798</v>
      </c>
      <c r="N41" s="44" t="s">
        <v>799</v>
      </c>
      <c r="O41" s="45" t="s">
        <v>649</v>
      </c>
    </row>
    <row r="42" spans="1:15" ht="15.75" customHeight="1">
      <c r="A42" s="44" t="s">
        <v>252</v>
      </c>
      <c r="B42" s="44" t="s">
        <v>162</v>
      </c>
      <c r="C42" s="44" t="s">
        <v>253</v>
      </c>
      <c r="D42" s="44" t="s">
        <v>800</v>
      </c>
      <c r="E42" s="44" t="s">
        <v>801</v>
      </c>
      <c r="F42" s="44" t="s">
        <v>802</v>
      </c>
      <c r="G42" s="44" t="s">
        <v>803</v>
      </c>
      <c r="H42" s="44" t="s">
        <v>804</v>
      </c>
      <c r="I42" s="44" t="s">
        <v>805</v>
      </c>
      <c r="J42" s="44" t="s">
        <v>806</v>
      </c>
      <c r="K42" s="44" t="s">
        <v>807</v>
      </c>
      <c r="L42" s="44"/>
      <c r="M42" s="44" t="s">
        <v>514</v>
      </c>
      <c r="N42" s="44" t="s">
        <v>808</v>
      </c>
      <c r="O42" s="45" t="s">
        <v>649</v>
      </c>
    </row>
    <row r="43" spans="1:15" ht="15.75" customHeight="1">
      <c r="A43" s="44" t="s">
        <v>260</v>
      </c>
      <c r="B43" s="44" t="s">
        <v>162</v>
      </c>
      <c r="C43" s="44" t="s">
        <v>261</v>
      </c>
      <c r="D43" s="44" t="s">
        <v>809</v>
      </c>
      <c r="E43" s="44" t="s">
        <v>810</v>
      </c>
      <c r="F43" s="44" t="s">
        <v>811</v>
      </c>
      <c r="G43" s="44" t="s">
        <v>812</v>
      </c>
      <c r="H43" s="44" t="s">
        <v>813</v>
      </c>
      <c r="I43" s="44" t="s">
        <v>814</v>
      </c>
      <c r="J43" s="44" t="s">
        <v>815</v>
      </c>
      <c r="K43" s="44" t="s">
        <v>816</v>
      </c>
      <c r="L43" s="44"/>
      <c r="M43" s="44" t="s">
        <v>514</v>
      </c>
      <c r="N43" s="44" t="s">
        <v>808</v>
      </c>
      <c r="O43" s="45" t="s">
        <v>649</v>
      </c>
    </row>
    <row r="44" spans="1:15" ht="15.75" customHeight="1">
      <c r="A44" s="44" t="s">
        <v>265</v>
      </c>
      <c r="B44" s="44" t="s">
        <v>162</v>
      </c>
      <c r="C44" s="44" t="s">
        <v>266</v>
      </c>
      <c r="D44" s="44" t="s">
        <v>817</v>
      </c>
      <c r="E44" s="44" t="s">
        <v>818</v>
      </c>
      <c r="F44" s="44" t="s">
        <v>819</v>
      </c>
      <c r="G44" s="44" t="s">
        <v>820</v>
      </c>
      <c r="H44" s="44" t="s">
        <v>821</v>
      </c>
      <c r="I44" s="44" t="s">
        <v>822</v>
      </c>
      <c r="J44" s="44" t="s">
        <v>823</v>
      </c>
      <c r="K44" s="44" t="s">
        <v>824</v>
      </c>
      <c r="L44" s="44"/>
      <c r="M44" s="44" t="s">
        <v>825</v>
      </c>
      <c r="N44" s="44" t="s">
        <v>826</v>
      </c>
      <c r="O44" s="45" t="s">
        <v>649</v>
      </c>
    </row>
    <row r="45" spans="1:15" ht="15.75" customHeight="1">
      <c r="A45" s="38" t="s">
        <v>270</v>
      </c>
      <c r="B45" s="38" t="s">
        <v>271</v>
      </c>
      <c r="C45" s="38" t="s">
        <v>272</v>
      </c>
      <c r="D45" s="38" t="s">
        <v>827</v>
      </c>
      <c r="E45" s="38" t="s">
        <v>828</v>
      </c>
      <c r="F45" s="38" t="s">
        <v>829</v>
      </c>
      <c r="G45" s="38" t="s">
        <v>830</v>
      </c>
      <c r="H45" s="38" t="s">
        <v>831</v>
      </c>
      <c r="I45" s="38" t="s">
        <v>832</v>
      </c>
      <c r="J45" s="38" t="s">
        <v>833</v>
      </c>
      <c r="K45" s="38" t="s">
        <v>834</v>
      </c>
      <c r="L45" s="38" t="s">
        <v>835</v>
      </c>
      <c r="M45" s="38" t="s">
        <v>836</v>
      </c>
      <c r="N45" s="38" t="s">
        <v>837</v>
      </c>
      <c r="O45" s="38"/>
    </row>
    <row r="46" spans="1:15" ht="15.75" customHeight="1">
      <c r="A46" s="35" t="s">
        <v>279</v>
      </c>
      <c r="B46" s="35" t="s">
        <v>271</v>
      </c>
      <c r="C46" s="35" t="s">
        <v>280</v>
      </c>
      <c r="D46" s="35" t="s">
        <v>838</v>
      </c>
      <c r="E46" s="35" t="s">
        <v>828</v>
      </c>
      <c r="F46" s="35" t="s">
        <v>839</v>
      </c>
      <c r="G46" s="35" t="s">
        <v>840</v>
      </c>
      <c r="H46" s="35" t="s">
        <v>841</v>
      </c>
      <c r="I46" s="35" t="s">
        <v>842</v>
      </c>
      <c r="J46" s="35" t="s">
        <v>843</v>
      </c>
      <c r="K46" s="35" t="s">
        <v>844</v>
      </c>
      <c r="L46" s="35" t="s">
        <v>845</v>
      </c>
      <c r="M46" s="35" t="s">
        <v>836</v>
      </c>
      <c r="N46" s="35" t="s">
        <v>846</v>
      </c>
      <c r="O46" s="35"/>
    </row>
    <row r="47" spans="1:15" ht="15.75" customHeight="1">
      <c r="A47" s="38" t="s">
        <v>284</v>
      </c>
      <c r="B47" s="38" t="s">
        <v>271</v>
      </c>
      <c r="C47" s="38" t="s">
        <v>285</v>
      </c>
      <c r="D47" s="38" t="s">
        <v>847</v>
      </c>
      <c r="E47" s="38" t="s">
        <v>848</v>
      </c>
      <c r="F47" s="38" t="s">
        <v>849</v>
      </c>
      <c r="G47" s="38" t="s">
        <v>850</v>
      </c>
      <c r="H47" s="38" t="s">
        <v>851</v>
      </c>
      <c r="I47" s="38" t="s">
        <v>852</v>
      </c>
      <c r="J47" s="38" t="s">
        <v>853</v>
      </c>
      <c r="K47" s="38" t="s">
        <v>854</v>
      </c>
      <c r="L47" s="38" t="s">
        <v>855</v>
      </c>
      <c r="M47" s="38" t="s">
        <v>856</v>
      </c>
      <c r="N47" s="38" t="s">
        <v>857</v>
      </c>
      <c r="O47" s="38"/>
    </row>
    <row r="48" spans="1:15" ht="15.75" customHeight="1">
      <c r="A48" s="35" t="s">
        <v>292</v>
      </c>
      <c r="B48" s="35" t="s">
        <v>271</v>
      </c>
      <c r="C48" s="35" t="s">
        <v>293</v>
      </c>
      <c r="D48" s="35" t="s">
        <v>858</v>
      </c>
      <c r="E48" s="35" t="s">
        <v>848</v>
      </c>
      <c r="F48" s="35" t="s">
        <v>859</v>
      </c>
      <c r="G48" s="35" t="s">
        <v>860</v>
      </c>
      <c r="H48" s="35" t="s">
        <v>861</v>
      </c>
      <c r="I48" s="35" t="s">
        <v>862</v>
      </c>
      <c r="J48" s="35" t="s">
        <v>863</v>
      </c>
      <c r="K48" s="35" t="s">
        <v>864</v>
      </c>
      <c r="L48" s="35" t="s">
        <v>865</v>
      </c>
      <c r="M48" s="35" t="s">
        <v>856</v>
      </c>
      <c r="N48" s="35" t="s">
        <v>866</v>
      </c>
      <c r="O48" s="35"/>
    </row>
    <row r="49" spans="1:15" ht="15.75" customHeight="1">
      <c r="A49" s="38" t="s">
        <v>298</v>
      </c>
      <c r="B49" s="38" t="s">
        <v>271</v>
      </c>
      <c r="C49" s="38" t="s">
        <v>299</v>
      </c>
      <c r="D49" s="38" t="s">
        <v>867</v>
      </c>
      <c r="E49" s="38" t="s">
        <v>868</v>
      </c>
      <c r="F49" s="38" t="s">
        <v>869</v>
      </c>
      <c r="G49" s="38" t="s">
        <v>870</v>
      </c>
      <c r="H49" s="38" t="s">
        <v>871</v>
      </c>
      <c r="I49" s="38" t="s">
        <v>872</v>
      </c>
      <c r="J49" s="38" t="s">
        <v>873</v>
      </c>
      <c r="K49" s="38" t="s">
        <v>874</v>
      </c>
      <c r="L49" s="38" t="s">
        <v>875</v>
      </c>
      <c r="M49" s="38" t="s">
        <v>876</v>
      </c>
      <c r="N49" s="38" t="s">
        <v>877</v>
      </c>
      <c r="O49" s="38"/>
    </row>
    <row r="50" spans="1:15" ht="15.75" customHeight="1">
      <c r="A50" s="35" t="s">
        <v>304</v>
      </c>
      <c r="B50" s="35" t="s">
        <v>271</v>
      </c>
      <c r="C50" s="35" t="s">
        <v>305</v>
      </c>
      <c r="D50" s="35" t="s">
        <v>878</v>
      </c>
      <c r="E50" s="35" t="s">
        <v>879</v>
      </c>
      <c r="F50" s="35" t="s">
        <v>880</v>
      </c>
      <c r="G50" s="35" t="s">
        <v>881</v>
      </c>
      <c r="H50" s="35" t="s">
        <v>882</v>
      </c>
      <c r="I50" s="35" t="s">
        <v>883</v>
      </c>
      <c r="J50" s="35" t="s">
        <v>884</v>
      </c>
      <c r="K50" s="35" t="s">
        <v>885</v>
      </c>
      <c r="L50" s="35" t="s">
        <v>886</v>
      </c>
      <c r="M50" s="35" t="s">
        <v>876</v>
      </c>
      <c r="N50" s="35" t="s">
        <v>887</v>
      </c>
      <c r="O50" s="35"/>
    </row>
    <row r="51" spans="1:15" ht="15.75" customHeight="1">
      <c r="A51" s="38" t="s">
        <v>309</v>
      </c>
      <c r="B51" s="38" t="s">
        <v>271</v>
      </c>
      <c r="C51" s="38" t="s">
        <v>310</v>
      </c>
      <c r="D51" s="38" t="s">
        <v>888</v>
      </c>
      <c r="E51" s="38" t="s">
        <v>879</v>
      </c>
      <c r="F51" s="38" t="s">
        <v>889</v>
      </c>
      <c r="G51" s="38" t="s">
        <v>890</v>
      </c>
      <c r="H51" s="38" t="s">
        <v>891</v>
      </c>
      <c r="I51" s="38" t="s">
        <v>892</v>
      </c>
      <c r="J51" s="38" t="s">
        <v>893</v>
      </c>
      <c r="K51" s="38" t="s">
        <v>894</v>
      </c>
      <c r="L51" s="38" t="s">
        <v>895</v>
      </c>
      <c r="M51" s="38" t="s">
        <v>876</v>
      </c>
      <c r="N51" s="38" t="s">
        <v>896</v>
      </c>
      <c r="O51" s="38"/>
    </row>
    <row r="52" spans="1:15" ht="15.75" customHeight="1">
      <c r="A52" s="35" t="s">
        <v>314</v>
      </c>
      <c r="B52" s="35" t="s">
        <v>271</v>
      </c>
      <c r="C52" s="35" t="s">
        <v>315</v>
      </c>
      <c r="D52" s="35" t="s">
        <v>897</v>
      </c>
      <c r="E52" s="35" t="s">
        <v>898</v>
      </c>
      <c r="F52" s="35" t="s">
        <v>899</v>
      </c>
      <c r="G52" s="35" t="s">
        <v>900</v>
      </c>
      <c r="H52" s="35" t="s">
        <v>901</v>
      </c>
      <c r="I52" s="35" t="s">
        <v>902</v>
      </c>
      <c r="J52" s="35" t="s">
        <v>903</v>
      </c>
      <c r="K52" s="35" t="s">
        <v>904</v>
      </c>
      <c r="L52" s="35" t="s">
        <v>905</v>
      </c>
      <c r="M52" s="35" t="s">
        <v>836</v>
      </c>
      <c r="N52" s="35" t="s">
        <v>906</v>
      </c>
      <c r="O52" s="35"/>
    </row>
    <row r="53" spans="1:15" ht="15.75" customHeight="1">
      <c r="A53" s="38" t="s">
        <v>321</v>
      </c>
      <c r="B53" s="38" t="s">
        <v>271</v>
      </c>
      <c r="C53" s="38" t="s">
        <v>322</v>
      </c>
      <c r="D53" s="38" t="s">
        <v>907</v>
      </c>
      <c r="E53" s="38" t="s">
        <v>908</v>
      </c>
      <c r="F53" s="38" t="s">
        <v>909</v>
      </c>
      <c r="G53" s="38" t="s">
        <v>910</v>
      </c>
      <c r="H53" s="38" t="s">
        <v>911</v>
      </c>
      <c r="I53" s="38" t="s">
        <v>912</v>
      </c>
      <c r="J53" s="38" t="s">
        <v>913</v>
      </c>
      <c r="K53" s="38" t="s">
        <v>914</v>
      </c>
      <c r="L53" s="38" t="s">
        <v>915</v>
      </c>
      <c r="M53" s="38" t="s">
        <v>836</v>
      </c>
      <c r="N53" s="38" t="s">
        <v>916</v>
      </c>
      <c r="O53" s="38"/>
    </row>
    <row r="54" spans="1:15" ht="15.75" customHeight="1">
      <c r="A54" s="35" t="s">
        <v>326</v>
      </c>
      <c r="B54" s="35" t="s">
        <v>271</v>
      </c>
      <c r="C54" s="35" t="s">
        <v>327</v>
      </c>
      <c r="D54" s="35" t="s">
        <v>917</v>
      </c>
      <c r="E54" s="35" t="s">
        <v>918</v>
      </c>
      <c r="F54" s="35" t="s">
        <v>919</v>
      </c>
      <c r="G54" s="35" t="s">
        <v>920</v>
      </c>
      <c r="H54" s="35" t="s">
        <v>921</v>
      </c>
      <c r="I54" s="35" t="s">
        <v>922</v>
      </c>
      <c r="J54" s="35" t="s">
        <v>923</v>
      </c>
      <c r="K54" s="35" t="s">
        <v>924</v>
      </c>
      <c r="L54" s="35" t="s">
        <v>925</v>
      </c>
      <c r="M54" s="35" t="s">
        <v>856</v>
      </c>
      <c r="N54" s="35" t="s">
        <v>926</v>
      </c>
      <c r="O54" s="35"/>
    </row>
    <row r="55" spans="1:15" ht="15.75" customHeight="1">
      <c r="A55" s="38" t="s">
        <v>331</v>
      </c>
      <c r="B55" s="38" t="s">
        <v>271</v>
      </c>
      <c r="C55" s="38" t="s">
        <v>332</v>
      </c>
      <c r="D55" s="38" t="s">
        <v>927</v>
      </c>
      <c r="E55" s="38" t="s">
        <v>928</v>
      </c>
      <c r="F55" s="38" t="s">
        <v>929</v>
      </c>
      <c r="G55" s="38" t="s">
        <v>930</v>
      </c>
      <c r="H55" s="38" t="s">
        <v>931</v>
      </c>
      <c r="I55" s="38" t="s">
        <v>932</v>
      </c>
      <c r="J55" s="38" t="s">
        <v>933</v>
      </c>
      <c r="K55" s="38" t="s">
        <v>934</v>
      </c>
      <c r="L55" s="38" t="s">
        <v>935</v>
      </c>
      <c r="M55" s="38" t="s">
        <v>876</v>
      </c>
      <c r="N55" s="38" t="s">
        <v>936</v>
      </c>
      <c r="O55" s="38"/>
    </row>
    <row r="56" spans="1:15" ht="15.75" customHeight="1">
      <c r="A56" s="35" t="s">
        <v>337</v>
      </c>
      <c r="B56" s="35" t="s">
        <v>271</v>
      </c>
      <c r="C56" s="35" t="s">
        <v>338</v>
      </c>
      <c r="D56" s="35" t="s">
        <v>937</v>
      </c>
      <c r="E56" s="35" t="s">
        <v>938</v>
      </c>
      <c r="F56" s="35" t="s">
        <v>939</v>
      </c>
      <c r="G56" s="35" t="s">
        <v>940</v>
      </c>
      <c r="H56" s="35" t="s">
        <v>941</v>
      </c>
      <c r="I56" s="35" t="s">
        <v>942</v>
      </c>
      <c r="J56" s="35" t="s">
        <v>943</v>
      </c>
      <c r="K56" s="35" t="s">
        <v>944</v>
      </c>
      <c r="L56" s="35" t="s">
        <v>945</v>
      </c>
      <c r="M56" s="35" t="s">
        <v>876</v>
      </c>
      <c r="N56" s="35" t="s">
        <v>946</v>
      </c>
      <c r="O56" s="35"/>
    </row>
    <row r="57" spans="1:15" ht="15.75" customHeight="1">
      <c r="A57" s="38" t="s">
        <v>343</v>
      </c>
      <c r="B57" s="38" t="s">
        <v>344</v>
      </c>
      <c r="C57" s="38" t="s">
        <v>345</v>
      </c>
      <c r="D57" s="38" t="s">
        <v>947</v>
      </c>
      <c r="E57" s="38" t="s">
        <v>948</v>
      </c>
      <c r="F57" s="38" t="s">
        <v>949</v>
      </c>
      <c r="G57" s="38" t="s">
        <v>950</v>
      </c>
      <c r="H57" s="38" t="s">
        <v>951</v>
      </c>
      <c r="I57" s="38" t="s">
        <v>952</v>
      </c>
      <c r="J57" s="38" t="s">
        <v>953</v>
      </c>
      <c r="K57" s="38" t="s">
        <v>954</v>
      </c>
      <c r="L57" s="38" t="s">
        <v>955</v>
      </c>
      <c r="M57" s="38" t="s">
        <v>584</v>
      </c>
      <c r="N57" s="38" t="s">
        <v>956</v>
      </c>
      <c r="O57" s="38"/>
    </row>
    <row r="58" spans="1:15" ht="15.75" customHeight="1">
      <c r="A58" s="35" t="s">
        <v>352</v>
      </c>
      <c r="B58" s="35" t="s">
        <v>344</v>
      </c>
      <c r="C58" s="35" t="s">
        <v>353</v>
      </c>
      <c r="D58" s="35" t="s">
        <v>957</v>
      </c>
      <c r="E58" s="35" t="s">
        <v>948</v>
      </c>
      <c r="F58" s="35" t="s">
        <v>958</v>
      </c>
      <c r="G58" s="35" t="s">
        <v>959</v>
      </c>
      <c r="H58" s="35" t="s">
        <v>960</v>
      </c>
      <c r="I58" s="35" t="s">
        <v>961</v>
      </c>
      <c r="J58" s="35" t="s">
        <v>962</v>
      </c>
      <c r="K58" s="35" t="s">
        <v>963</v>
      </c>
      <c r="L58" s="35" t="s">
        <v>964</v>
      </c>
      <c r="M58" s="35" t="s">
        <v>584</v>
      </c>
      <c r="N58" s="35" t="s">
        <v>965</v>
      </c>
      <c r="O58" s="35"/>
    </row>
    <row r="59" spans="1:15" ht="15.75" customHeight="1">
      <c r="A59" s="38" t="s">
        <v>358</v>
      </c>
      <c r="B59" s="38" t="s">
        <v>344</v>
      </c>
      <c r="C59" s="38" t="s">
        <v>359</v>
      </c>
      <c r="D59" s="38" t="s">
        <v>966</v>
      </c>
      <c r="E59" s="38" t="s">
        <v>967</v>
      </c>
      <c r="F59" s="38" t="s">
        <v>968</v>
      </c>
      <c r="G59" s="38" t="s">
        <v>969</v>
      </c>
      <c r="H59" s="38" t="s">
        <v>970</v>
      </c>
      <c r="I59" s="38" t="s">
        <v>971</v>
      </c>
      <c r="J59" s="38" t="s">
        <v>972</v>
      </c>
      <c r="K59" s="38" t="s">
        <v>973</v>
      </c>
      <c r="L59" s="38" t="s">
        <v>974</v>
      </c>
      <c r="M59" s="38" t="s">
        <v>584</v>
      </c>
      <c r="N59" s="38" t="s">
        <v>975</v>
      </c>
      <c r="O59" s="38"/>
    </row>
    <row r="60" spans="1:15" ht="15.75" customHeight="1">
      <c r="A60" s="35" t="s">
        <v>363</v>
      </c>
      <c r="B60" s="35" t="s">
        <v>344</v>
      </c>
      <c r="C60" s="35" t="s">
        <v>364</v>
      </c>
      <c r="D60" s="35" t="s">
        <v>976</v>
      </c>
      <c r="E60" s="35" t="s">
        <v>977</v>
      </c>
      <c r="F60" s="35" t="s">
        <v>978</v>
      </c>
      <c r="G60" s="35" t="s">
        <v>979</v>
      </c>
      <c r="H60" s="35" t="s">
        <v>980</v>
      </c>
      <c r="I60" s="35" t="s">
        <v>981</v>
      </c>
      <c r="J60" s="35" t="s">
        <v>982</v>
      </c>
      <c r="K60" s="35" t="s">
        <v>983</v>
      </c>
      <c r="L60" s="35" t="s">
        <v>984</v>
      </c>
      <c r="M60" s="35" t="s">
        <v>584</v>
      </c>
      <c r="N60" s="35" t="s">
        <v>985</v>
      </c>
      <c r="O60" s="35"/>
    </row>
    <row r="61" spans="1:15" ht="39.5" customHeight="1">
      <c r="A61" s="38" t="s">
        <v>371</v>
      </c>
      <c r="B61" s="38" t="s">
        <v>344</v>
      </c>
      <c r="C61" s="38" t="s">
        <v>372</v>
      </c>
      <c r="D61" s="38" t="s">
        <v>986</v>
      </c>
      <c r="E61" s="38" t="s">
        <v>987</v>
      </c>
      <c r="F61" s="38" t="s">
        <v>988</v>
      </c>
      <c r="G61" s="38" t="s">
        <v>989</v>
      </c>
      <c r="H61" s="38" t="s">
        <v>990</v>
      </c>
      <c r="I61" s="38" t="s">
        <v>991</v>
      </c>
      <c r="J61" s="38" t="s">
        <v>992</v>
      </c>
      <c r="K61" s="38" t="s">
        <v>993</v>
      </c>
      <c r="L61" s="38" t="s">
        <v>994</v>
      </c>
      <c r="M61" s="38" t="s">
        <v>514</v>
      </c>
      <c r="N61" s="38" t="s">
        <v>995</v>
      </c>
      <c r="O61" s="38"/>
    </row>
  </sheetData>
  <autoFilter ref="A3:O61" xr:uid="{00000000-0009-0000-0000-000000000000}"/>
  <mergeCells count="2">
    <mergeCell ref="B1:G1"/>
    <mergeCell ref="B2:E2"/>
  </mergeCells>
  <conditionalFormatting sqref="M4:M61">
    <cfRule type="expression" dxfId="1" priority="1">
      <formula>ISNUMBER(SEARCH("En alcance",M4))</formula>
    </cfRule>
    <cfRule type="expression" dxfId="0" priority="2">
      <formula>ISNUMBER(SEARCH("Diferido",M4))</formula>
    </cfRule>
  </conditionalFormatting>
  <hyperlinks>
    <hyperlink ref="N4" r:id="rId1" xr:uid="{57BE9230-4AEE-47EB-A579-6BECC80CB9DB}"/>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5A79-64E3-4253-A002-FE5BAE4B3242}">
  <sheetPr filterMode="1"/>
  <dimension ref="A1:Z1000"/>
  <sheetViews>
    <sheetView zoomScale="70" zoomScaleNormal="70" workbookViewId="0">
      <pane ySplit="1" topLeftCell="A2" activePane="bottomLeft" state="frozen"/>
      <selection pane="bottomLeft" activeCell="D2" sqref="D2"/>
    </sheetView>
  </sheetViews>
  <sheetFormatPr defaultColWidth="13.81640625" defaultRowHeight="15" customHeight="1"/>
  <cols>
    <col min="1" max="1" width="18.54296875" style="28" customWidth="1"/>
    <col min="2" max="2" width="34.90625" style="28" customWidth="1"/>
    <col min="3" max="3" width="41.453125" style="28" customWidth="1"/>
    <col min="4" max="4" width="39.26953125" style="28" customWidth="1"/>
    <col min="5" max="5" width="41.453125" style="28" customWidth="1"/>
    <col min="6" max="6" width="45.81640625" style="28" customWidth="1"/>
    <col min="7" max="7" width="63.26953125" style="28" customWidth="1"/>
    <col min="8" max="10" width="39.26953125" style="28" customWidth="1"/>
    <col min="11" max="11" width="24" style="28" customWidth="1"/>
    <col min="12" max="12" width="28.54296875" style="28" customWidth="1"/>
    <col min="13" max="26" width="9.453125" style="28" customWidth="1"/>
    <col min="27" max="16384" width="13.81640625" style="28"/>
  </cols>
  <sheetData>
    <row r="1" spans="1:26" ht="14.5">
      <c r="A1" s="48" t="s">
        <v>414</v>
      </c>
      <c r="B1" s="48" t="s">
        <v>416</v>
      </c>
      <c r="C1" s="48" t="s">
        <v>996</v>
      </c>
      <c r="D1" s="48" t="s">
        <v>997</v>
      </c>
      <c r="E1" s="48" t="s">
        <v>419</v>
      </c>
      <c r="F1" s="48" t="s">
        <v>420</v>
      </c>
      <c r="G1" s="48" t="s">
        <v>421</v>
      </c>
      <c r="H1" s="48" t="s">
        <v>422</v>
      </c>
      <c r="I1" s="48" t="s">
        <v>423</v>
      </c>
      <c r="J1" s="48" t="s">
        <v>424</v>
      </c>
      <c r="K1" s="48" t="s">
        <v>998</v>
      </c>
      <c r="L1" s="49" t="s">
        <v>428</v>
      </c>
      <c r="M1" s="50"/>
      <c r="N1" s="50"/>
      <c r="O1" s="50"/>
      <c r="P1" s="50"/>
      <c r="Q1" s="50"/>
      <c r="R1" s="50"/>
      <c r="S1" s="50"/>
      <c r="T1" s="50"/>
      <c r="U1" s="50"/>
      <c r="V1" s="50"/>
      <c r="W1" s="50"/>
      <c r="X1" s="50"/>
      <c r="Y1" s="50"/>
      <c r="Z1" s="50"/>
    </row>
    <row r="2" spans="1:26" ht="224">
      <c r="A2" s="51" t="s">
        <v>398</v>
      </c>
      <c r="B2" s="51" t="s">
        <v>999</v>
      </c>
      <c r="C2" s="51" t="s">
        <v>1000</v>
      </c>
      <c r="D2" s="51" t="s">
        <v>1001</v>
      </c>
      <c r="E2" s="51" t="s">
        <v>1002</v>
      </c>
      <c r="F2" s="51" t="s">
        <v>1003</v>
      </c>
      <c r="G2" s="51" t="s">
        <v>1004</v>
      </c>
      <c r="H2" s="51" t="s">
        <v>1005</v>
      </c>
      <c r="I2" s="51" t="s">
        <v>1006</v>
      </c>
      <c r="J2" s="51" t="s">
        <v>1007</v>
      </c>
      <c r="K2" s="52" t="s">
        <v>1008</v>
      </c>
      <c r="L2" s="51"/>
      <c r="M2" s="50"/>
      <c r="N2" s="50"/>
      <c r="O2" s="50"/>
      <c r="P2" s="50"/>
      <c r="Q2" s="50"/>
      <c r="R2" s="50"/>
      <c r="S2" s="50"/>
      <c r="T2" s="50"/>
      <c r="U2" s="50"/>
      <c r="V2" s="50"/>
      <c r="W2" s="50"/>
      <c r="X2" s="50"/>
      <c r="Y2" s="50"/>
      <c r="Z2" s="50"/>
    </row>
    <row r="3" spans="1:26" ht="275.25" hidden="1" customHeight="1">
      <c r="A3" s="53" t="s">
        <v>1009</v>
      </c>
      <c r="B3" s="53" t="s">
        <v>1010</v>
      </c>
      <c r="C3" s="53" t="s">
        <v>1011</v>
      </c>
      <c r="D3" s="53" t="s">
        <v>1012</v>
      </c>
      <c r="E3" s="53" t="s">
        <v>1013</v>
      </c>
      <c r="F3" s="53" t="s">
        <v>1014</v>
      </c>
      <c r="G3" s="53" t="s">
        <v>1015</v>
      </c>
      <c r="H3" s="53" t="s">
        <v>1016</v>
      </c>
      <c r="I3" s="53" t="s">
        <v>1006</v>
      </c>
      <c r="J3" s="53" t="s">
        <v>1017</v>
      </c>
      <c r="K3" s="54" t="s">
        <v>1018</v>
      </c>
      <c r="L3" s="53"/>
      <c r="M3" s="50"/>
      <c r="N3" s="50"/>
      <c r="O3" s="50"/>
      <c r="P3" s="50"/>
      <c r="Q3" s="50"/>
      <c r="R3" s="50"/>
      <c r="S3" s="50"/>
      <c r="T3" s="50"/>
      <c r="U3" s="50"/>
      <c r="V3" s="50"/>
      <c r="W3" s="50"/>
      <c r="X3" s="50"/>
      <c r="Y3" s="50"/>
      <c r="Z3" s="50"/>
    </row>
    <row r="4" spans="1:26" ht="368.25" customHeight="1">
      <c r="A4" s="51" t="s">
        <v>405</v>
      </c>
      <c r="B4" s="51" t="s">
        <v>1019</v>
      </c>
      <c r="C4" s="51" t="s">
        <v>1020</v>
      </c>
      <c r="D4" s="51" t="s">
        <v>1021</v>
      </c>
      <c r="E4" s="51" t="s">
        <v>1022</v>
      </c>
      <c r="F4" s="51" t="s">
        <v>1023</v>
      </c>
      <c r="G4" s="51" t="s">
        <v>1024</v>
      </c>
      <c r="H4" s="51" t="s">
        <v>1025</v>
      </c>
      <c r="I4" s="51" t="s">
        <v>1006</v>
      </c>
      <c r="J4" s="51" t="s">
        <v>1026</v>
      </c>
      <c r="K4" s="52" t="s">
        <v>1008</v>
      </c>
      <c r="L4" s="51"/>
      <c r="M4" s="50"/>
      <c r="N4" s="50"/>
      <c r="O4" s="50"/>
      <c r="P4" s="50"/>
      <c r="Q4" s="50"/>
      <c r="R4" s="50"/>
      <c r="S4" s="50"/>
      <c r="T4" s="50"/>
      <c r="U4" s="50"/>
      <c r="V4" s="50"/>
      <c r="W4" s="50"/>
      <c r="X4" s="50"/>
      <c r="Y4" s="50"/>
      <c r="Z4" s="50"/>
    </row>
    <row r="5" spans="1:26" ht="280">
      <c r="A5" s="51" t="s">
        <v>378</v>
      </c>
      <c r="B5" s="51" t="s">
        <v>1027</v>
      </c>
      <c r="C5" s="51" t="s">
        <v>1028</v>
      </c>
      <c r="D5" s="51" t="s">
        <v>1029</v>
      </c>
      <c r="E5" s="51" t="s">
        <v>1030</v>
      </c>
      <c r="F5" s="51" t="s">
        <v>1031</v>
      </c>
      <c r="G5" s="51" t="s">
        <v>1032</v>
      </c>
      <c r="H5" s="51" t="s">
        <v>1033</v>
      </c>
      <c r="I5" s="51" t="s">
        <v>1006</v>
      </c>
      <c r="J5" s="51" t="s">
        <v>1017</v>
      </c>
      <c r="K5" s="52" t="s">
        <v>1008</v>
      </c>
      <c r="L5" s="51"/>
      <c r="M5" s="50"/>
      <c r="N5" s="50"/>
      <c r="O5" s="50"/>
      <c r="P5" s="50"/>
      <c r="Q5" s="50"/>
      <c r="R5" s="50"/>
      <c r="S5" s="50"/>
      <c r="T5" s="50"/>
      <c r="U5" s="50"/>
      <c r="V5" s="50"/>
      <c r="W5" s="50"/>
      <c r="X5" s="50"/>
      <c r="Y5" s="50"/>
      <c r="Z5" s="50"/>
    </row>
    <row r="6" spans="1:26" ht="294">
      <c r="A6" s="51" t="s">
        <v>389</v>
      </c>
      <c r="B6" s="51" t="s">
        <v>1034</v>
      </c>
      <c r="C6" s="51" t="s">
        <v>1035</v>
      </c>
      <c r="D6" s="51" t="s">
        <v>1036</v>
      </c>
      <c r="E6" s="51" t="s">
        <v>1037</v>
      </c>
      <c r="F6" s="51" t="s">
        <v>1038</v>
      </c>
      <c r="G6" s="51" t="s">
        <v>1039</v>
      </c>
      <c r="H6" s="51" t="s">
        <v>1040</v>
      </c>
      <c r="I6" s="51" t="s">
        <v>1006</v>
      </c>
      <c r="J6" s="51" t="s">
        <v>1017</v>
      </c>
      <c r="K6" s="52" t="s">
        <v>1008</v>
      </c>
      <c r="L6" s="51"/>
      <c r="M6" s="50"/>
      <c r="N6" s="50"/>
      <c r="O6" s="50"/>
      <c r="P6" s="50"/>
      <c r="Q6" s="50"/>
      <c r="R6" s="50"/>
      <c r="S6" s="50"/>
      <c r="T6" s="50"/>
      <c r="U6" s="50"/>
      <c r="V6" s="50"/>
      <c r="W6" s="50"/>
      <c r="X6" s="50"/>
      <c r="Y6" s="50"/>
      <c r="Z6" s="50"/>
    </row>
    <row r="7" spans="1:26" ht="266">
      <c r="A7" s="51" t="s">
        <v>399</v>
      </c>
      <c r="B7" s="51" t="s">
        <v>1041</v>
      </c>
      <c r="C7" s="51" t="s">
        <v>1042</v>
      </c>
      <c r="D7" s="51" t="s">
        <v>1043</v>
      </c>
      <c r="E7" s="51" t="s">
        <v>1044</v>
      </c>
      <c r="F7" s="51" t="s">
        <v>1045</v>
      </c>
      <c r="G7" s="51" t="s">
        <v>1046</v>
      </c>
      <c r="H7" s="51" t="s">
        <v>1047</v>
      </c>
      <c r="I7" s="51" t="s">
        <v>1006</v>
      </c>
      <c r="J7" s="51" t="s">
        <v>1017</v>
      </c>
      <c r="K7" s="52" t="s">
        <v>1008</v>
      </c>
      <c r="L7" s="51"/>
      <c r="M7" s="50"/>
      <c r="N7" s="50"/>
      <c r="O7" s="50"/>
      <c r="P7" s="50"/>
      <c r="Q7" s="50"/>
      <c r="R7" s="50"/>
      <c r="S7" s="50"/>
      <c r="T7" s="50"/>
      <c r="U7" s="50"/>
      <c r="V7" s="50"/>
      <c r="W7" s="50"/>
      <c r="X7" s="50"/>
      <c r="Y7" s="50"/>
      <c r="Z7" s="50"/>
    </row>
    <row r="8" spans="1:26" ht="409.5">
      <c r="A8" s="51" t="s">
        <v>396</v>
      </c>
      <c r="B8" s="51" t="s">
        <v>1048</v>
      </c>
      <c r="C8" s="51" t="s">
        <v>1049</v>
      </c>
      <c r="D8" s="51" t="s">
        <v>1050</v>
      </c>
      <c r="E8" s="51" t="s">
        <v>1051</v>
      </c>
      <c r="F8" s="51" t="s">
        <v>1052</v>
      </c>
      <c r="G8" s="51" t="s">
        <v>1053</v>
      </c>
      <c r="H8" s="51" t="s">
        <v>1054</v>
      </c>
      <c r="I8" s="51" t="s">
        <v>1006</v>
      </c>
      <c r="J8" s="51" t="s">
        <v>1017</v>
      </c>
      <c r="K8" s="52" t="s">
        <v>1008</v>
      </c>
      <c r="L8" s="51"/>
      <c r="M8" s="50"/>
      <c r="N8" s="50"/>
      <c r="O8" s="50"/>
      <c r="P8" s="50"/>
      <c r="Q8" s="50"/>
      <c r="R8" s="50"/>
      <c r="S8" s="50"/>
      <c r="T8" s="50"/>
      <c r="U8" s="50"/>
      <c r="V8" s="50"/>
      <c r="W8" s="50"/>
      <c r="X8" s="50"/>
      <c r="Y8" s="50"/>
      <c r="Z8" s="50"/>
    </row>
    <row r="9" spans="1:26" ht="280">
      <c r="A9" s="51" t="s">
        <v>397</v>
      </c>
      <c r="B9" s="51" t="s">
        <v>1055</v>
      </c>
      <c r="C9" s="51" t="s">
        <v>1049</v>
      </c>
      <c r="D9" s="51" t="s">
        <v>1056</v>
      </c>
      <c r="E9" s="51" t="s">
        <v>1057</v>
      </c>
      <c r="F9" s="51" t="s">
        <v>1058</v>
      </c>
      <c r="G9" s="51" t="s">
        <v>1059</v>
      </c>
      <c r="H9" s="51" t="s">
        <v>1060</v>
      </c>
      <c r="I9" s="51" t="s">
        <v>1006</v>
      </c>
      <c r="J9" s="51" t="s">
        <v>1017</v>
      </c>
      <c r="K9" s="52" t="s">
        <v>1008</v>
      </c>
      <c r="L9" s="51"/>
      <c r="M9" s="50"/>
      <c r="N9" s="50"/>
      <c r="O9" s="50"/>
      <c r="P9" s="50"/>
      <c r="Q9" s="50"/>
      <c r="R9" s="50"/>
      <c r="S9" s="50"/>
      <c r="T9" s="50"/>
      <c r="U9" s="50"/>
      <c r="V9" s="50"/>
      <c r="W9" s="50"/>
      <c r="X9" s="50"/>
      <c r="Y9" s="50"/>
      <c r="Z9" s="50"/>
    </row>
    <row r="10" spans="1:26" ht="120" hidden="1" customHeight="1">
      <c r="A10" s="55" t="s">
        <v>1061</v>
      </c>
      <c r="B10" s="55" t="s">
        <v>1062</v>
      </c>
      <c r="C10" s="55" t="s">
        <v>1063</v>
      </c>
      <c r="D10" s="55" t="s">
        <v>1064</v>
      </c>
      <c r="E10" s="55" t="s">
        <v>1065</v>
      </c>
      <c r="F10" s="55" t="s">
        <v>1066</v>
      </c>
      <c r="G10" s="55" t="s">
        <v>1067</v>
      </c>
      <c r="H10" s="55" t="s">
        <v>1068</v>
      </c>
      <c r="I10" s="55" t="s">
        <v>1006</v>
      </c>
      <c r="J10" s="55" t="s">
        <v>1017</v>
      </c>
      <c r="K10" s="56" t="s">
        <v>1069</v>
      </c>
      <c r="L10" s="55"/>
      <c r="M10" s="50"/>
      <c r="N10" s="50"/>
      <c r="O10" s="50"/>
      <c r="P10" s="50"/>
      <c r="Q10" s="50"/>
      <c r="R10" s="50"/>
      <c r="S10" s="50"/>
      <c r="T10" s="50"/>
      <c r="U10" s="50"/>
      <c r="V10" s="50"/>
      <c r="W10" s="50"/>
      <c r="X10" s="50"/>
      <c r="Y10" s="50"/>
      <c r="Z10" s="50"/>
    </row>
    <row r="11" spans="1:26" ht="308">
      <c r="A11" s="51" t="s">
        <v>380</v>
      </c>
      <c r="B11" s="51" t="s">
        <v>1070</v>
      </c>
      <c r="C11" s="51" t="s">
        <v>1071</v>
      </c>
      <c r="D11" s="51" t="s">
        <v>1072</v>
      </c>
      <c r="E11" s="51" t="s">
        <v>1073</v>
      </c>
      <c r="F11" s="51" t="s">
        <v>1074</v>
      </c>
      <c r="G11" s="51" t="s">
        <v>1075</v>
      </c>
      <c r="H11" s="51" t="s">
        <v>1076</v>
      </c>
      <c r="I11" s="51" t="s">
        <v>1006</v>
      </c>
      <c r="J11" s="51" t="s">
        <v>1017</v>
      </c>
      <c r="K11" s="52" t="s">
        <v>1008</v>
      </c>
      <c r="L11" s="51"/>
      <c r="M11" s="50"/>
      <c r="N11" s="50"/>
      <c r="O11" s="50"/>
      <c r="P11" s="50"/>
      <c r="Q11" s="50"/>
      <c r="R11" s="50"/>
      <c r="S11" s="50"/>
      <c r="T11" s="50"/>
      <c r="U11" s="50"/>
      <c r="V11" s="50"/>
      <c r="W11" s="50"/>
      <c r="X11" s="50"/>
      <c r="Y11" s="50"/>
      <c r="Z11" s="50"/>
    </row>
    <row r="12" spans="1:26" ht="322" hidden="1">
      <c r="A12" s="57" t="s">
        <v>1077</v>
      </c>
      <c r="B12" s="57" t="s">
        <v>1078</v>
      </c>
      <c r="C12" s="57" t="s">
        <v>1011</v>
      </c>
      <c r="D12" s="57" t="s">
        <v>1079</v>
      </c>
      <c r="E12" s="57" t="s">
        <v>1080</v>
      </c>
      <c r="F12" s="57" t="s">
        <v>1081</v>
      </c>
      <c r="G12" s="57" t="s">
        <v>1082</v>
      </c>
      <c r="H12" s="57" t="s">
        <v>1083</v>
      </c>
      <c r="I12" s="57" t="s">
        <v>1006</v>
      </c>
      <c r="J12" s="57" t="s">
        <v>1017</v>
      </c>
      <c r="K12" s="58" t="s">
        <v>1084</v>
      </c>
      <c r="L12" s="57" t="s">
        <v>1085</v>
      </c>
      <c r="M12" s="50"/>
      <c r="N12" s="50"/>
      <c r="O12" s="50"/>
      <c r="P12" s="50"/>
      <c r="Q12" s="50"/>
      <c r="R12" s="50"/>
      <c r="S12" s="50"/>
      <c r="T12" s="50"/>
      <c r="U12" s="50"/>
      <c r="V12" s="50"/>
      <c r="W12" s="50"/>
      <c r="X12" s="50"/>
      <c r="Y12" s="50"/>
      <c r="Z12" s="50"/>
    </row>
    <row r="13" spans="1:26" ht="266" hidden="1">
      <c r="A13" s="53" t="s">
        <v>1086</v>
      </c>
      <c r="B13" s="53" t="s">
        <v>1087</v>
      </c>
      <c r="C13" s="53" t="s">
        <v>1088</v>
      </c>
      <c r="D13" s="53" t="s">
        <v>1089</v>
      </c>
      <c r="E13" s="53" t="s">
        <v>1090</v>
      </c>
      <c r="F13" s="53" t="s">
        <v>1091</v>
      </c>
      <c r="G13" s="53" t="s">
        <v>1092</v>
      </c>
      <c r="H13" s="53" t="s">
        <v>1093</v>
      </c>
      <c r="I13" s="53" t="s">
        <v>1006</v>
      </c>
      <c r="J13" s="53" t="s">
        <v>1017</v>
      </c>
      <c r="K13" s="54" t="s">
        <v>1018</v>
      </c>
      <c r="L13" s="53"/>
      <c r="M13" s="50"/>
      <c r="N13" s="50"/>
      <c r="O13" s="50"/>
      <c r="P13" s="50"/>
      <c r="Q13" s="50"/>
      <c r="R13" s="50"/>
      <c r="S13" s="50"/>
      <c r="T13" s="50"/>
      <c r="U13" s="50"/>
      <c r="V13" s="50"/>
      <c r="W13" s="50"/>
      <c r="X13" s="50"/>
      <c r="Y13" s="50"/>
      <c r="Z13" s="50"/>
    </row>
    <row r="14" spans="1:26" ht="350">
      <c r="A14" s="51" t="s">
        <v>390</v>
      </c>
      <c r="B14" s="51" t="s">
        <v>1094</v>
      </c>
      <c r="C14" s="51" t="s">
        <v>1095</v>
      </c>
      <c r="D14" s="51" t="s">
        <v>1096</v>
      </c>
      <c r="E14" s="51" t="s">
        <v>1097</v>
      </c>
      <c r="F14" s="51" t="s">
        <v>1098</v>
      </c>
      <c r="G14" s="51" t="s">
        <v>1099</v>
      </c>
      <c r="H14" s="51" t="s">
        <v>1100</v>
      </c>
      <c r="I14" s="51" t="s">
        <v>1006</v>
      </c>
      <c r="J14" s="51" t="s">
        <v>1017</v>
      </c>
      <c r="K14" s="52" t="s">
        <v>1008</v>
      </c>
      <c r="L14" s="51"/>
      <c r="M14" s="50"/>
      <c r="N14" s="50"/>
      <c r="O14" s="50"/>
      <c r="P14" s="50"/>
      <c r="Q14" s="50"/>
      <c r="R14" s="50"/>
      <c r="S14" s="50"/>
      <c r="T14" s="50"/>
      <c r="U14" s="50"/>
      <c r="V14" s="50"/>
      <c r="W14" s="50"/>
      <c r="X14" s="50"/>
      <c r="Y14" s="50"/>
      <c r="Z14" s="50"/>
    </row>
    <row r="15" spans="1:26" ht="364">
      <c r="A15" s="51" t="s">
        <v>393</v>
      </c>
      <c r="B15" s="51" t="s">
        <v>1101</v>
      </c>
      <c r="C15" s="51" t="s">
        <v>1102</v>
      </c>
      <c r="D15" s="51" t="s">
        <v>1103</v>
      </c>
      <c r="E15" s="51" t="s">
        <v>1104</v>
      </c>
      <c r="F15" s="51" t="s">
        <v>1105</v>
      </c>
      <c r="G15" s="51" t="s">
        <v>1106</v>
      </c>
      <c r="H15" s="51" t="s">
        <v>1107</v>
      </c>
      <c r="I15" s="51" t="s">
        <v>1006</v>
      </c>
      <c r="J15" s="51" t="s">
        <v>1017</v>
      </c>
      <c r="K15" s="52" t="s">
        <v>1008</v>
      </c>
      <c r="L15" s="51"/>
      <c r="M15" s="50"/>
      <c r="N15" s="50"/>
      <c r="O15" s="50"/>
      <c r="P15" s="50"/>
      <c r="Q15" s="50"/>
      <c r="R15" s="50"/>
      <c r="S15" s="50"/>
      <c r="T15" s="50"/>
      <c r="U15" s="50"/>
      <c r="V15" s="50"/>
      <c r="W15" s="50"/>
      <c r="X15" s="50"/>
      <c r="Y15" s="50"/>
      <c r="Z15" s="50"/>
    </row>
    <row r="16" spans="1:26" ht="120" hidden="1" customHeight="1">
      <c r="A16" s="57" t="s">
        <v>1108</v>
      </c>
      <c r="B16" s="57" t="s">
        <v>1109</v>
      </c>
      <c r="C16" s="57" t="s">
        <v>1110</v>
      </c>
      <c r="D16" s="57" t="s">
        <v>1111</v>
      </c>
      <c r="E16" s="57" t="s">
        <v>1112</v>
      </c>
      <c r="F16" s="57" t="s">
        <v>1113</v>
      </c>
      <c r="G16" s="57" t="s">
        <v>1114</v>
      </c>
      <c r="H16" s="57" t="s">
        <v>1115</v>
      </c>
      <c r="I16" s="57" t="s">
        <v>1006</v>
      </c>
      <c r="J16" s="57" t="s">
        <v>1017</v>
      </c>
      <c r="K16" s="58" t="s">
        <v>1084</v>
      </c>
      <c r="L16" s="57" t="s">
        <v>1116</v>
      </c>
      <c r="M16" s="50"/>
      <c r="N16" s="50"/>
      <c r="O16" s="50"/>
      <c r="P16" s="50"/>
      <c r="Q16" s="50"/>
      <c r="R16" s="50"/>
      <c r="S16" s="50"/>
      <c r="T16" s="50"/>
      <c r="U16" s="50"/>
      <c r="V16" s="50"/>
      <c r="W16" s="50"/>
      <c r="X16" s="50"/>
      <c r="Y16" s="50"/>
      <c r="Z16" s="50"/>
    </row>
    <row r="17" spans="1:26" ht="322">
      <c r="A17" s="51" t="s">
        <v>394</v>
      </c>
      <c r="B17" s="51" t="s">
        <v>1117</v>
      </c>
      <c r="C17" s="51" t="s">
        <v>1118</v>
      </c>
      <c r="D17" s="51" t="s">
        <v>1119</v>
      </c>
      <c r="E17" s="51" t="s">
        <v>1120</v>
      </c>
      <c r="F17" s="51" t="s">
        <v>1121</v>
      </c>
      <c r="G17" s="51" t="s">
        <v>1122</v>
      </c>
      <c r="H17" s="51" t="s">
        <v>1123</v>
      </c>
      <c r="I17" s="51" t="s">
        <v>1006</v>
      </c>
      <c r="J17" s="51" t="s">
        <v>1017</v>
      </c>
      <c r="K17" s="52" t="s">
        <v>1008</v>
      </c>
      <c r="L17" s="51"/>
      <c r="M17" s="50"/>
      <c r="N17" s="50"/>
      <c r="O17" s="50"/>
      <c r="P17" s="50"/>
      <c r="Q17" s="50"/>
      <c r="R17" s="50"/>
      <c r="S17" s="50"/>
      <c r="T17" s="50"/>
      <c r="U17" s="50"/>
      <c r="V17" s="50"/>
      <c r="W17" s="50"/>
      <c r="X17" s="50"/>
      <c r="Y17" s="50"/>
      <c r="Z17" s="50"/>
    </row>
    <row r="18" spans="1:26" ht="409.5">
      <c r="A18" s="51" t="s">
        <v>400</v>
      </c>
      <c r="B18" s="51" t="s">
        <v>1124</v>
      </c>
      <c r="C18" s="51" t="s">
        <v>1125</v>
      </c>
      <c r="D18" s="51" t="s">
        <v>1126</v>
      </c>
      <c r="E18" s="51" t="s">
        <v>1127</v>
      </c>
      <c r="F18" s="51" t="s">
        <v>1128</v>
      </c>
      <c r="G18" s="51" t="s">
        <v>1129</v>
      </c>
      <c r="H18" s="51" t="s">
        <v>1130</v>
      </c>
      <c r="I18" s="51" t="s">
        <v>1006</v>
      </c>
      <c r="J18" s="51" t="s">
        <v>1017</v>
      </c>
      <c r="K18" s="52" t="s">
        <v>1008</v>
      </c>
      <c r="L18" s="51"/>
      <c r="M18" s="50"/>
      <c r="N18" s="50"/>
      <c r="O18" s="50"/>
      <c r="P18" s="50"/>
      <c r="Q18" s="50"/>
      <c r="R18" s="50"/>
      <c r="S18" s="50"/>
      <c r="T18" s="50"/>
      <c r="U18" s="50"/>
      <c r="V18" s="50"/>
      <c r="W18" s="50"/>
      <c r="X18" s="50"/>
      <c r="Y18" s="50"/>
      <c r="Z18" s="50"/>
    </row>
    <row r="19" spans="1:26" ht="224">
      <c r="A19" s="51" t="s">
        <v>401</v>
      </c>
      <c r="B19" s="51" t="s">
        <v>1131</v>
      </c>
      <c r="C19" s="51" t="s">
        <v>1011</v>
      </c>
      <c r="D19" s="51" t="s">
        <v>1132</v>
      </c>
      <c r="E19" s="51" t="s">
        <v>1133</v>
      </c>
      <c r="F19" s="51" t="s">
        <v>1134</v>
      </c>
      <c r="G19" s="51" t="s">
        <v>1135</v>
      </c>
      <c r="H19" s="51" t="s">
        <v>1136</v>
      </c>
      <c r="I19" s="51" t="s">
        <v>1006</v>
      </c>
      <c r="J19" s="51" t="s">
        <v>1017</v>
      </c>
      <c r="K19" s="52" t="s">
        <v>1008</v>
      </c>
      <c r="L19" s="51"/>
      <c r="M19" s="50"/>
      <c r="N19" s="50"/>
      <c r="O19" s="50"/>
      <c r="P19" s="50"/>
      <c r="Q19" s="50"/>
      <c r="R19" s="50"/>
      <c r="S19" s="50"/>
      <c r="T19" s="50"/>
      <c r="U19" s="50"/>
      <c r="V19" s="50"/>
      <c r="W19" s="50"/>
      <c r="X19" s="50"/>
      <c r="Y19" s="50"/>
      <c r="Z19" s="50"/>
    </row>
    <row r="20" spans="1:26" ht="392">
      <c r="A20" s="51" t="s">
        <v>402</v>
      </c>
      <c r="B20" s="51" t="s">
        <v>1137</v>
      </c>
      <c r="C20" s="51" t="s">
        <v>1011</v>
      </c>
      <c r="D20" s="51" t="s">
        <v>1138</v>
      </c>
      <c r="E20" s="51" t="s">
        <v>1139</v>
      </c>
      <c r="F20" s="51" t="s">
        <v>1140</v>
      </c>
      <c r="G20" s="51" t="s">
        <v>1141</v>
      </c>
      <c r="H20" s="51" t="s">
        <v>1142</v>
      </c>
      <c r="I20" s="51" t="s">
        <v>1006</v>
      </c>
      <c r="J20" s="51" t="s">
        <v>1017</v>
      </c>
      <c r="K20" s="52" t="s">
        <v>1008</v>
      </c>
      <c r="L20" s="51"/>
      <c r="M20" s="50"/>
      <c r="N20" s="50"/>
      <c r="O20" s="50"/>
      <c r="P20" s="50"/>
      <c r="Q20" s="50"/>
      <c r="R20" s="50"/>
      <c r="S20" s="50"/>
      <c r="T20" s="50"/>
      <c r="U20" s="50"/>
      <c r="V20" s="50"/>
      <c r="W20" s="50"/>
      <c r="X20" s="50"/>
      <c r="Y20" s="50"/>
      <c r="Z20" s="50"/>
    </row>
    <row r="21" spans="1:26" ht="336">
      <c r="A21" s="51" t="s">
        <v>403</v>
      </c>
      <c r="B21" s="51" t="s">
        <v>1143</v>
      </c>
      <c r="C21" s="51" t="s">
        <v>1144</v>
      </c>
      <c r="D21" s="51" t="s">
        <v>1145</v>
      </c>
      <c r="E21" s="51" t="s">
        <v>1146</v>
      </c>
      <c r="F21" s="51" t="s">
        <v>1147</v>
      </c>
      <c r="G21" s="51" t="s">
        <v>1148</v>
      </c>
      <c r="H21" s="51" t="s">
        <v>1149</v>
      </c>
      <c r="I21" s="51" t="s">
        <v>1006</v>
      </c>
      <c r="J21" s="51" t="s">
        <v>1017</v>
      </c>
      <c r="K21" s="52" t="s">
        <v>1008</v>
      </c>
      <c r="L21" s="51"/>
      <c r="M21" s="50"/>
      <c r="N21" s="50"/>
      <c r="O21" s="50"/>
      <c r="P21" s="50"/>
      <c r="Q21" s="50"/>
      <c r="R21" s="50"/>
      <c r="S21" s="50"/>
      <c r="T21" s="50"/>
      <c r="U21" s="50"/>
      <c r="V21" s="50"/>
      <c r="W21" s="50"/>
      <c r="X21" s="50"/>
      <c r="Y21" s="50"/>
      <c r="Z21" s="50"/>
    </row>
    <row r="22" spans="1:26" ht="210">
      <c r="A22" s="51" t="s">
        <v>395</v>
      </c>
      <c r="B22" s="51" t="s">
        <v>1150</v>
      </c>
      <c r="C22" s="51" t="s">
        <v>1151</v>
      </c>
      <c r="D22" s="51" t="s">
        <v>1152</v>
      </c>
      <c r="E22" s="51" t="s">
        <v>1153</v>
      </c>
      <c r="F22" s="51" t="s">
        <v>1154</v>
      </c>
      <c r="G22" s="51" t="s">
        <v>1155</v>
      </c>
      <c r="H22" s="51" t="s">
        <v>1156</v>
      </c>
      <c r="I22" s="51" t="s">
        <v>1006</v>
      </c>
      <c r="J22" s="51" t="s">
        <v>1017</v>
      </c>
      <c r="K22" s="52" t="s">
        <v>1008</v>
      </c>
      <c r="L22" s="51"/>
      <c r="M22" s="50"/>
      <c r="N22" s="50"/>
      <c r="O22" s="50"/>
      <c r="P22" s="50"/>
      <c r="Q22" s="50"/>
      <c r="R22" s="50"/>
      <c r="S22" s="50"/>
      <c r="T22" s="50"/>
      <c r="U22" s="50"/>
      <c r="V22" s="50"/>
      <c r="W22" s="50"/>
      <c r="X22" s="50"/>
      <c r="Y22" s="50"/>
      <c r="Z22" s="50"/>
    </row>
    <row r="23" spans="1:26" ht="120" hidden="1" customHeight="1">
      <c r="A23" s="59" t="s">
        <v>1157</v>
      </c>
      <c r="B23" s="59" t="s">
        <v>1158</v>
      </c>
      <c r="C23" s="59" t="s">
        <v>1159</v>
      </c>
      <c r="D23" s="59" t="s">
        <v>1160</v>
      </c>
      <c r="E23" s="59" t="s">
        <v>1161</v>
      </c>
      <c r="F23" s="59" t="s">
        <v>1162</v>
      </c>
      <c r="G23" s="59" t="s">
        <v>1163</v>
      </c>
      <c r="H23" s="59" t="s">
        <v>1164</v>
      </c>
      <c r="I23" s="59" t="s">
        <v>1006</v>
      </c>
      <c r="J23" s="59" t="s">
        <v>1017</v>
      </c>
      <c r="K23" s="60" t="s">
        <v>1069</v>
      </c>
      <c r="L23" s="59"/>
      <c r="M23" s="50"/>
      <c r="N23" s="50"/>
      <c r="O23" s="50"/>
      <c r="P23" s="50"/>
      <c r="Q23" s="50"/>
      <c r="R23" s="50"/>
      <c r="S23" s="50"/>
      <c r="T23" s="50"/>
      <c r="U23" s="50"/>
      <c r="V23" s="50"/>
      <c r="W23" s="50"/>
      <c r="X23" s="50"/>
      <c r="Y23" s="50"/>
      <c r="Z23" s="50"/>
    </row>
    <row r="24" spans="1:26" ht="409.6" customHeight="1">
      <c r="A24" s="51" t="s">
        <v>383</v>
      </c>
      <c r="B24" s="51" t="s">
        <v>1165</v>
      </c>
      <c r="C24" s="51" t="s">
        <v>1166</v>
      </c>
      <c r="D24" s="51" t="s">
        <v>1167</v>
      </c>
      <c r="E24" s="51" t="s">
        <v>1168</v>
      </c>
      <c r="F24" s="51" t="s">
        <v>1169</v>
      </c>
      <c r="G24" s="51" t="s">
        <v>1170</v>
      </c>
      <c r="H24" s="51" t="s">
        <v>1171</v>
      </c>
      <c r="I24" s="51" t="s">
        <v>1006</v>
      </c>
      <c r="J24" s="51" t="s">
        <v>1017</v>
      </c>
      <c r="K24" s="52" t="s">
        <v>1008</v>
      </c>
      <c r="L24" s="51"/>
      <c r="M24" s="50"/>
      <c r="N24" s="50"/>
      <c r="O24" s="50"/>
      <c r="P24" s="50"/>
      <c r="Q24" s="50"/>
      <c r="R24" s="50"/>
      <c r="S24" s="50"/>
      <c r="T24" s="50"/>
      <c r="U24" s="50"/>
      <c r="V24" s="50"/>
      <c r="W24" s="50"/>
      <c r="X24" s="50"/>
      <c r="Y24" s="50"/>
      <c r="Z24" s="50"/>
    </row>
    <row r="25" spans="1:26" ht="294">
      <c r="A25" s="51" t="s">
        <v>384</v>
      </c>
      <c r="B25" s="51" t="s">
        <v>1172</v>
      </c>
      <c r="C25" s="51" t="s">
        <v>1173</v>
      </c>
      <c r="D25" s="51" t="s">
        <v>1174</v>
      </c>
      <c r="E25" s="51" t="s">
        <v>1175</v>
      </c>
      <c r="F25" s="51" t="s">
        <v>1176</v>
      </c>
      <c r="G25" s="51" t="s">
        <v>1177</v>
      </c>
      <c r="H25" s="51" t="s">
        <v>1178</v>
      </c>
      <c r="I25" s="51" t="s">
        <v>1006</v>
      </c>
      <c r="J25" s="51" t="s">
        <v>1017</v>
      </c>
      <c r="K25" s="52" t="s">
        <v>1008</v>
      </c>
      <c r="L25" s="51"/>
      <c r="M25" s="50"/>
      <c r="N25" s="50"/>
      <c r="O25" s="50"/>
      <c r="P25" s="50"/>
      <c r="Q25" s="50"/>
      <c r="R25" s="50"/>
      <c r="S25" s="50"/>
      <c r="T25" s="50"/>
      <c r="U25" s="50"/>
      <c r="V25" s="50"/>
      <c r="W25" s="50"/>
      <c r="X25" s="50"/>
      <c r="Y25" s="50"/>
      <c r="Z25" s="50"/>
    </row>
    <row r="26" spans="1:26" ht="280">
      <c r="A26" s="51" t="s">
        <v>404</v>
      </c>
      <c r="B26" s="51" t="s">
        <v>1179</v>
      </c>
      <c r="C26" s="51" t="s">
        <v>1180</v>
      </c>
      <c r="D26" s="51" t="s">
        <v>1181</v>
      </c>
      <c r="E26" s="51" t="s">
        <v>1182</v>
      </c>
      <c r="F26" s="51" t="s">
        <v>1183</v>
      </c>
      <c r="G26" s="51" t="s">
        <v>1184</v>
      </c>
      <c r="H26" s="51" t="s">
        <v>1185</v>
      </c>
      <c r="I26" s="51" t="s">
        <v>1006</v>
      </c>
      <c r="J26" s="51" t="s">
        <v>1017</v>
      </c>
      <c r="K26" s="52" t="s">
        <v>1008</v>
      </c>
      <c r="L26" s="51"/>
      <c r="M26" s="50"/>
      <c r="N26" s="50"/>
      <c r="O26" s="50"/>
      <c r="P26" s="50"/>
      <c r="Q26" s="50"/>
      <c r="R26" s="50"/>
      <c r="S26" s="50"/>
      <c r="T26" s="50"/>
      <c r="U26" s="50"/>
      <c r="V26" s="50"/>
      <c r="W26" s="50"/>
      <c r="X26" s="50"/>
      <c r="Y26" s="50"/>
      <c r="Z26" s="50"/>
    </row>
    <row r="27" spans="1:26" ht="378">
      <c r="A27" s="51" t="s">
        <v>386</v>
      </c>
      <c r="B27" s="51" t="s">
        <v>1186</v>
      </c>
      <c r="C27" s="51" t="s">
        <v>1187</v>
      </c>
      <c r="D27" s="51" t="s">
        <v>1188</v>
      </c>
      <c r="E27" s="51" t="s">
        <v>1189</v>
      </c>
      <c r="F27" s="51" t="s">
        <v>1190</v>
      </c>
      <c r="G27" s="51" t="s">
        <v>1191</v>
      </c>
      <c r="H27" s="51" t="s">
        <v>1192</v>
      </c>
      <c r="I27" s="51" t="s">
        <v>1006</v>
      </c>
      <c r="J27" s="51" t="s">
        <v>1017</v>
      </c>
      <c r="K27" s="52" t="s">
        <v>1008</v>
      </c>
      <c r="L27" s="51"/>
      <c r="M27" s="50"/>
      <c r="N27" s="50"/>
      <c r="O27" s="50"/>
      <c r="P27" s="50"/>
      <c r="Q27" s="50"/>
      <c r="R27" s="50"/>
      <c r="S27" s="50"/>
      <c r="T27" s="50"/>
      <c r="U27" s="50"/>
      <c r="V27" s="50"/>
      <c r="W27" s="50"/>
      <c r="X27" s="50"/>
      <c r="Y27" s="50"/>
      <c r="Z27" s="50"/>
    </row>
    <row r="28" spans="1:26" ht="280">
      <c r="A28" s="51" t="s">
        <v>388</v>
      </c>
      <c r="B28" s="51" t="s">
        <v>1193</v>
      </c>
      <c r="C28" s="51" t="s">
        <v>1187</v>
      </c>
      <c r="D28" s="51" t="s">
        <v>1194</v>
      </c>
      <c r="E28" s="51" t="s">
        <v>1195</v>
      </c>
      <c r="F28" s="51" t="s">
        <v>1196</v>
      </c>
      <c r="G28" s="51" t="s">
        <v>1197</v>
      </c>
      <c r="H28" s="51" t="s">
        <v>1198</v>
      </c>
      <c r="I28" s="51" t="s">
        <v>1006</v>
      </c>
      <c r="J28" s="51" t="s">
        <v>1017</v>
      </c>
      <c r="K28" s="52" t="s">
        <v>1008</v>
      </c>
      <c r="L28" s="51"/>
      <c r="M28" s="50"/>
      <c r="N28" s="50"/>
      <c r="O28" s="50"/>
      <c r="P28" s="50"/>
      <c r="Q28" s="50"/>
      <c r="R28" s="50"/>
      <c r="S28" s="50"/>
      <c r="T28" s="50"/>
      <c r="U28" s="50"/>
      <c r="V28" s="50"/>
      <c r="W28" s="50"/>
      <c r="X28" s="50"/>
      <c r="Y28" s="50"/>
      <c r="Z28" s="50"/>
    </row>
    <row r="29" spans="1:26" ht="120" hidden="1" customHeight="1">
      <c r="A29" s="53" t="s">
        <v>1199</v>
      </c>
      <c r="B29" s="53" t="s">
        <v>1200</v>
      </c>
      <c r="C29" s="53" t="s">
        <v>1201</v>
      </c>
      <c r="D29" s="53" t="s">
        <v>1202</v>
      </c>
      <c r="E29" s="53" t="s">
        <v>1203</v>
      </c>
      <c r="F29" s="53" t="s">
        <v>1204</v>
      </c>
      <c r="G29" s="53" t="s">
        <v>1205</v>
      </c>
      <c r="H29" s="53" t="s">
        <v>1206</v>
      </c>
      <c r="I29" s="53" t="s">
        <v>1006</v>
      </c>
      <c r="J29" s="53" t="s">
        <v>1017</v>
      </c>
      <c r="K29" s="54" t="s">
        <v>1018</v>
      </c>
      <c r="L29" s="53"/>
      <c r="M29" s="50"/>
      <c r="N29" s="50"/>
      <c r="O29" s="50"/>
      <c r="P29" s="50"/>
      <c r="Q29" s="50"/>
      <c r="R29" s="50"/>
      <c r="S29" s="50"/>
      <c r="T29" s="50"/>
      <c r="U29" s="50"/>
      <c r="V29" s="50"/>
      <c r="W29" s="50"/>
      <c r="X29" s="50"/>
      <c r="Y29" s="50"/>
      <c r="Z29" s="50"/>
    </row>
    <row r="30" spans="1:26" ht="120" hidden="1" customHeight="1">
      <c r="A30" s="53" t="s">
        <v>1207</v>
      </c>
      <c r="B30" s="53" t="s">
        <v>1208</v>
      </c>
      <c r="C30" s="53" t="s">
        <v>1209</v>
      </c>
      <c r="D30" s="53" t="s">
        <v>1210</v>
      </c>
      <c r="E30" s="53" t="s">
        <v>1211</v>
      </c>
      <c r="F30" s="53" t="s">
        <v>1212</v>
      </c>
      <c r="G30" s="53" t="s">
        <v>1213</v>
      </c>
      <c r="H30" s="53" t="s">
        <v>1214</v>
      </c>
      <c r="I30" s="53" t="s">
        <v>1006</v>
      </c>
      <c r="J30" s="53" t="s">
        <v>1017</v>
      </c>
      <c r="K30" s="54" t="s">
        <v>1018</v>
      </c>
      <c r="L30" s="53"/>
      <c r="M30" s="50"/>
      <c r="N30" s="50"/>
      <c r="O30" s="50"/>
      <c r="P30" s="50"/>
      <c r="Q30" s="50"/>
      <c r="R30" s="50"/>
      <c r="S30" s="50"/>
      <c r="T30" s="50"/>
      <c r="U30" s="50"/>
      <c r="V30" s="50"/>
      <c r="W30" s="50"/>
      <c r="X30" s="50"/>
      <c r="Y30" s="50"/>
      <c r="Z30" s="50"/>
    </row>
    <row r="31" spans="1:26" ht="120" hidden="1" customHeight="1">
      <c r="A31" s="53" t="s">
        <v>1215</v>
      </c>
      <c r="B31" s="53" t="s">
        <v>1216</v>
      </c>
      <c r="C31" s="53" t="s">
        <v>1217</v>
      </c>
      <c r="D31" s="53" t="s">
        <v>1218</v>
      </c>
      <c r="E31" s="53" t="s">
        <v>1219</v>
      </c>
      <c r="F31" s="53" t="s">
        <v>1220</v>
      </c>
      <c r="G31" s="53" t="s">
        <v>1221</v>
      </c>
      <c r="H31" s="53" t="s">
        <v>1222</v>
      </c>
      <c r="I31" s="53" t="s">
        <v>1006</v>
      </c>
      <c r="J31" s="53" t="s">
        <v>1017</v>
      </c>
      <c r="K31" s="54" t="s">
        <v>1018</v>
      </c>
      <c r="L31" s="53"/>
      <c r="M31" s="50"/>
      <c r="N31" s="50"/>
      <c r="O31" s="50"/>
      <c r="P31" s="50"/>
      <c r="Q31" s="50"/>
      <c r="R31" s="50"/>
      <c r="S31" s="50"/>
      <c r="T31" s="50"/>
      <c r="U31" s="50"/>
      <c r="V31" s="50"/>
      <c r="W31" s="50"/>
      <c r="X31" s="50"/>
      <c r="Y31" s="50"/>
      <c r="Z31" s="50"/>
    </row>
    <row r="32" spans="1:26" ht="120" hidden="1" customHeight="1">
      <c r="A32" s="53" t="s">
        <v>1223</v>
      </c>
      <c r="B32" s="53" t="s">
        <v>1224</v>
      </c>
      <c r="C32" s="53" t="s">
        <v>1225</v>
      </c>
      <c r="D32" s="53" t="s">
        <v>1226</v>
      </c>
      <c r="E32" s="53" t="s">
        <v>1227</v>
      </c>
      <c r="F32" s="53" t="s">
        <v>1228</v>
      </c>
      <c r="G32" s="53" t="s">
        <v>1229</v>
      </c>
      <c r="H32" s="53" t="s">
        <v>1230</v>
      </c>
      <c r="I32" s="53" t="s">
        <v>1006</v>
      </c>
      <c r="J32" s="53" t="s">
        <v>1017</v>
      </c>
      <c r="K32" s="54" t="s">
        <v>1018</v>
      </c>
      <c r="L32" s="53"/>
      <c r="M32" s="50"/>
      <c r="N32" s="50"/>
      <c r="O32" s="50"/>
      <c r="P32" s="50"/>
      <c r="Q32" s="50"/>
      <c r="R32" s="50"/>
      <c r="S32" s="50"/>
      <c r="T32" s="50"/>
      <c r="U32" s="50"/>
      <c r="V32" s="50"/>
      <c r="W32" s="50"/>
      <c r="X32" s="50"/>
      <c r="Y32" s="50"/>
      <c r="Z32" s="50"/>
    </row>
    <row r="33" spans="1:26" ht="120" hidden="1" customHeight="1">
      <c r="A33" s="53" t="s">
        <v>1231</v>
      </c>
      <c r="B33" s="53" t="s">
        <v>1232</v>
      </c>
      <c r="C33" s="53" t="s">
        <v>1233</v>
      </c>
      <c r="D33" s="53" t="s">
        <v>1234</v>
      </c>
      <c r="E33" s="53" t="s">
        <v>1235</v>
      </c>
      <c r="F33" s="53" t="s">
        <v>1236</v>
      </c>
      <c r="G33" s="53" t="s">
        <v>1237</v>
      </c>
      <c r="H33" s="53" t="s">
        <v>1238</v>
      </c>
      <c r="I33" s="53" t="s">
        <v>1006</v>
      </c>
      <c r="J33" s="53" t="s">
        <v>1017</v>
      </c>
      <c r="K33" s="54" t="s">
        <v>1018</v>
      </c>
      <c r="L33" s="53"/>
      <c r="M33" s="50"/>
      <c r="N33" s="50"/>
      <c r="O33" s="50"/>
      <c r="P33" s="50"/>
      <c r="Q33" s="50"/>
      <c r="R33" s="50"/>
      <c r="S33" s="50"/>
      <c r="T33" s="50"/>
      <c r="U33" s="50"/>
      <c r="V33" s="50"/>
      <c r="W33" s="50"/>
      <c r="X33" s="50"/>
      <c r="Y33" s="50"/>
      <c r="Z33" s="50"/>
    </row>
    <row r="34" spans="1:26" ht="120" hidden="1" customHeight="1">
      <c r="A34" s="53" t="s">
        <v>1239</v>
      </c>
      <c r="B34" s="53" t="s">
        <v>1240</v>
      </c>
      <c r="C34" s="53" t="s">
        <v>1241</v>
      </c>
      <c r="D34" s="53" t="s">
        <v>1242</v>
      </c>
      <c r="E34" s="53" t="s">
        <v>1243</v>
      </c>
      <c r="F34" s="53" t="s">
        <v>1244</v>
      </c>
      <c r="G34" s="53" t="s">
        <v>1245</v>
      </c>
      <c r="H34" s="53" t="s">
        <v>1246</v>
      </c>
      <c r="I34" s="53" t="s">
        <v>1006</v>
      </c>
      <c r="J34" s="53" t="s">
        <v>1017</v>
      </c>
      <c r="K34" s="54" t="s">
        <v>1018</v>
      </c>
      <c r="L34" s="53"/>
      <c r="M34" s="50"/>
      <c r="N34" s="50"/>
      <c r="O34" s="50"/>
      <c r="P34" s="50"/>
      <c r="Q34" s="50"/>
      <c r="R34" s="50"/>
      <c r="S34" s="50"/>
      <c r="T34" s="50"/>
      <c r="U34" s="50"/>
      <c r="V34" s="50"/>
      <c r="W34" s="50"/>
      <c r="X34" s="50"/>
      <c r="Y34" s="50"/>
      <c r="Z34" s="50"/>
    </row>
    <row r="35" spans="1:26" ht="168">
      <c r="A35" s="51" t="s">
        <v>391</v>
      </c>
      <c r="B35" s="51" t="s">
        <v>1247</v>
      </c>
      <c r="C35" s="51" t="s">
        <v>1248</v>
      </c>
      <c r="D35" s="51" t="s">
        <v>1249</v>
      </c>
      <c r="E35" s="51" t="s">
        <v>1250</v>
      </c>
      <c r="F35" s="51" t="s">
        <v>1251</v>
      </c>
      <c r="G35" s="51" t="s">
        <v>1252</v>
      </c>
      <c r="H35" s="51" t="s">
        <v>1253</v>
      </c>
      <c r="I35" s="51" t="s">
        <v>1006</v>
      </c>
      <c r="J35" s="51" t="s">
        <v>1017</v>
      </c>
      <c r="K35" s="52" t="s">
        <v>1008</v>
      </c>
      <c r="L35" s="51"/>
      <c r="M35" s="50"/>
      <c r="N35" s="50"/>
      <c r="O35" s="50"/>
      <c r="P35" s="50"/>
      <c r="Q35" s="50"/>
      <c r="R35" s="50"/>
      <c r="S35" s="50"/>
      <c r="T35" s="50"/>
      <c r="U35" s="50"/>
      <c r="V35" s="50"/>
      <c r="W35" s="50"/>
      <c r="X35" s="50"/>
      <c r="Y35" s="50"/>
      <c r="Z35" s="50"/>
    </row>
    <row r="36" spans="1:26" ht="120" hidden="1" customHeight="1">
      <c r="A36" s="53" t="s">
        <v>1254</v>
      </c>
      <c r="B36" s="53" t="s">
        <v>1255</v>
      </c>
      <c r="C36" s="53" t="s">
        <v>1256</v>
      </c>
      <c r="D36" s="53" t="s">
        <v>1257</v>
      </c>
      <c r="E36" s="53" t="s">
        <v>1258</v>
      </c>
      <c r="F36" s="53" t="s">
        <v>1259</v>
      </c>
      <c r="G36" s="53" t="s">
        <v>1260</v>
      </c>
      <c r="H36" s="53" t="s">
        <v>1261</v>
      </c>
      <c r="I36" s="53" t="s">
        <v>1006</v>
      </c>
      <c r="J36" s="53" t="s">
        <v>1017</v>
      </c>
      <c r="K36" s="54" t="s">
        <v>1018</v>
      </c>
      <c r="L36" s="53"/>
      <c r="M36" s="50"/>
      <c r="N36" s="50"/>
      <c r="O36" s="50"/>
      <c r="P36" s="50"/>
      <c r="Q36" s="50"/>
      <c r="R36" s="50"/>
      <c r="S36" s="50"/>
      <c r="T36" s="50"/>
      <c r="U36" s="50"/>
      <c r="V36" s="50"/>
      <c r="W36" s="50"/>
      <c r="X36" s="50"/>
      <c r="Y36" s="50"/>
      <c r="Z36" s="50"/>
    </row>
    <row r="37" spans="1:26" ht="120" hidden="1" customHeight="1">
      <c r="A37" s="53" t="s">
        <v>1262</v>
      </c>
      <c r="B37" s="53" t="s">
        <v>1263</v>
      </c>
      <c r="C37" s="53" t="s">
        <v>1264</v>
      </c>
      <c r="D37" s="53" t="s">
        <v>1265</v>
      </c>
      <c r="E37" s="53" t="s">
        <v>1266</v>
      </c>
      <c r="F37" s="53" t="s">
        <v>1267</v>
      </c>
      <c r="G37" s="53" t="s">
        <v>1268</v>
      </c>
      <c r="H37" s="53" t="s">
        <v>1269</v>
      </c>
      <c r="I37" s="53" t="s">
        <v>1006</v>
      </c>
      <c r="J37" s="53" t="s">
        <v>1017</v>
      </c>
      <c r="K37" s="54" t="s">
        <v>1018</v>
      </c>
      <c r="L37" s="53"/>
      <c r="M37" s="50"/>
      <c r="N37" s="50"/>
      <c r="O37" s="50"/>
      <c r="P37" s="50"/>
      <c r="Q37" s="50"/>
      <c r="R37" s="50"/>
      <c r="S37" s="50"/>
      <c r="T37" s="50"/>
      <c r="U37" s="50"/>
      <c r="V37" s="50"/>
      <c r="W37" s="50"/>
      <c r="X37" s="50"/>
      <c r="Y37" s="50"/>
      <c r="Z37" s="50"/>
    </row>
    <row r="38" spans="1:26" ht="409.5" hidden="1">
      <c r="A38" s="61" t="s">
        <v>1270</v>
      </c>
      <c r="B38" s="61" t="s">
        <v>1271</v>
      </c>
      <c r="C38" s="61" t="s">
        <v>1272</v>
      </c>
      <c r="D38" s="61" t="s">
        <v>1273</v>
      </c>
      <c r="E38" s="61" t="s">
        <v>1274</v>
      </c>
      <c r="F38" s="61" t="s">
        <v>1275</v>
      </c>
      <c r="G38" s="61" t="s">
        <v>1276</v>
      </c>
      <c r="H38" s="61" t="s">
        <v>1277</v>
      </c>
      <c r="I38" s="61" t="s">
        <v>1006</v>
      </c>
      <c r="J38" s="61" t="s">
        <v>1017</v>
      </c>
      <c r="K38" s="62" t="s">
        <v>1069</v>
      </c>
      <c r="L38" s="61"/>
      <c r="M38" s="50"/>
      <c r="N38" s="50"/>
      <c r="O38" s="50"/>
      <c r="P38" s="50"/>
      <c r="Q38" s="50"/>
      <c r="R38" s="50"/>
      <c r="S38" s="50"/>
      <c r="T38" s="50"/>
      <c r="U38" s="50"/>
      <c r="V38" s="50"/>
      <c r="W38" s="50"/>
      <c r="X38" s="50"/>
      <c r="Y38" s="50"/>
      <c r="Z38" s="50"/>
    </row>
    <row r="39" spans="1:26" ht="15.75" hidden="1" customHeight="1">
      <c r="A39" s="63" t="s">
        <v>1278</v>
      </c>
      <c r="B39" s="64"/>
      <c r="C39" s="64"/>
      <c r="D39" s="64"/>
      <c r="E39" s="64"/>
      <c r="F39" s="64"/>
      <c r="G39" s="64"/>
      <c r="H39" s="64"/>
      <c r="I39" s="64"/>
      <c r="J39" s="64"/>
      <c r="K39" s="65"/>
      <c r="L39" s="66"/>
      <c r="M39" s="50"/>
      <c r="N39" s="50"/>
      <c r="O39" s="50"/>
      <c r="P39" s="50"/>
      <c r="Q39" s="50"/>
      <c r="R39" s="50"/>
      <c r="S39" s="50"/>
      <c r="T39" s="50"/>
      <c r="U39" s="50"/>
      <c r="V39" s="50"/>
      <c r="W39" s="50"/>
      <c r="X39" s="50"/>
      <c r="Y39" s="50"/>
      <c r="Z39" s="50"/>
    </row>
    <row r="40" spans="1:26" ht="15.75" hidden="1" customHeight="1">
      <c r="A40" s="67" t="s">
        <v>1279</v>
      </c>
      <c r="B40" s="68"/>
      <c r="C40" s="68"/>
      <c r="D40" s="68"/>
      <c r="E40" s="68"/>
      <c r="F40" s="68"/>
      <c r="G40" s="68"/>
      <c r="H40" s="68"/>
      <c r="I40" s="68"/>
      <c r="J40" s="68"/>
      <c r="K40" s="69"/>
      <c r="L40" s="68"/>
      <c r="M40" s="50"/>
      <c r="N40" s="50"/>
      <c r="O40" s="50"/>
      <c r="P40" s="50"/>
      <c r="Q40" s="50"/>
      <c r="R40" s="50"/>
      <c r="S40" s="50"/>
      <c r="T40" s="50"/>
      <c r="U40" s="50"/>
      <c r="V40" s="50"/>
      <c r="W40" s="50"/>
      <c r="X40" s="50"/>
      <c r="Y40" s="50"/>
      <c r="Z40" s="50"/>
    </row>
    <row r="41" spans="1:26" ht="15.75" hidden="1" customHeight="1">
      <c r="A41" s="63" t="s">
        <v>1280</v>
      </c>
      <c r="B41" s="64"/>
      <c r="C41" s="64"/>
      <c r="D41" s="64"/>
      <c r="E41" s="64"/>
      <c r="F41" s="64"/>
      <c r="G41" s="64"/>
      <c r="H41" s="64"/>
      <c r="I41" s="64"/>
      <c r="J41" s="64"/>
      <c r="K41" s="65"/>
      <c r="L41" s="66"/>
      <c r="M41" s="50"/>
      <c r="N41" s="50"/>
      <c r="O41" s="50"/>
      <c r="P41" s="50"/>
      <c r="Q41" s="50"/>
      <c r="R41" s="50"/>
      <c r="S41" s="50"/>
      <c r="T41" s="50"/>
      <c r="U41" s="50"/>
      <c r="V41" s="50"/>
      <c r="W41" s="50"/>
      <c r="X41" s="50"/>
      <c r="Y41" s="50"/>
      <c r="Z41" s="50"/>
    </row>
    <row r="42" spans="1:26" ht="15.75" customHeight="1">
      <c r="A42" s="50"/>
      <c r="B42" s="50"/>
      <c r="C42" s="50"/>
      <c r="D42" s="50"/>
      <c r="E42" s="50"/>
      <c r="F42" s="50"/>
      <c r="G42" s="50"/>
      <c r="H42" s="50"/>
      <c r="I42" s="50"/>
      <c r="J42" s="50"/>
      <c r="K42" s="70"/>
      <c r="L42" s="71"/>
      <c r="M42" s="50"/>
      <c r="N42" s="50"/>
      <c r="O42" s="50"/>
      <c r="P42" s="50"/>
      <c r="Q42" s="50"/>
      <c r="R42" s="50"/>
      <c r="S42" s="50"/>
      <c r="T42" s="50"/>
      <c r="U42" s="50"/>
      <c r="V42" s="50"/>
      <c r="W42" s="50"/>
      <c r="X42" s="50"/>
      <c r="Y42" s="50"/>
      <c r="Z42" s="50"/>
    </row>
    <row r="43" spans="1:26" ht="15.75" customHeight="1">
      <c r="A43" s="50"/>
      <c r="B43" s="50"/>
      <c r="C43" s="50"/>
      <c r="D43" s="50"/>
      <c r="E43" s="50"/>
      <c r="F43" s="50"/>
      <c r="G43" s="50"/>
      <c r="H43" s="50"/>
      <c r="I43" s="50"/>
      <c r="J43" s="50"/>
      <c r="K43" s="70"/>
      <c r="L43" s="71"/>
      <c r="M43" s="50"/>
      <c r="N43" s="50"/>
      <c r="O43" s="50"/>
      <c r="P43" s="50"/>
      <c r="Q43" s="50"/>
      <c r="R43" s="50"/>
      <c r="S43" s="50"/>
      <c r="T43" s="50"/>
      <c r="U43" s="50"/>
      <c r="V43" s="50"/>
      <c r="W43" s="50"/>
      <c r="X43" s="50"/>
      <c r="Y43" s="50"/>
      <c r="Z43" s="50"/>
    </row>
    <row r="44" spans="1:26" ht="15.75" customHeight="1">
      <c r="A44" s="50"/>
      <c r="B44" s="50"/>
      <c r="C44" s="50"/>
      <c r="D44" s="50"/>
      <c r="E44" s="50"/>
      <c r="F44" s="50"/>
      <c r="G44" s="50"/>
      <c r="H44" s="50"/>
      <c r="I44" s="50"/>
      <c r="J44" s="50"/>
      <c r="K44" s="70"/>
      <c r="L44" s="71"/>
      <c r="M44" s="50"/>
      <c r="N44" s="50"/>
      <c r="O44" s="50"/>
      <c r="P44" s="50"/>
      <c r="Q44" s="50"/>
      <c r="R44" s="50"/>
      <c r="S44" s="50"/>
      <c r="T44" s="50"/>
      <c r="U44" s="50"/>
      <c r="V44" s="50"/>
      <c r="W44" s="50"/>
      <c r="X44" s="50"/>
      <c r="Y44" s="50"/>
      <c r="Z44" s="50"/>
    </row>
    <row r="45" spans="1:26" ht="15.75" customHeight="1">
      <c r="A45" s="50"/>
      <c r="B45" s="50"/>
      <c r="C45" s="50"/>
      <c r="D45" s="50"/>
      <c r="E45" s="50"/>
      <c r="F45" s="50"/>
      <c r="G45" s="50"/>
      <c r="H45" s="50"/>
      <c r="I45" s="50"/>
      <c r="J45" s="50"/>
      <c r="K45" s="70"/>
      <c r="L45" s="71"/>
      <c r="M45" s="50"/>
      <c r="N45" s="50"/>
      <c r="O45" s="50"/>
      <c r="P45" s="50"/>
      <c r="Q45" s="50"/>
      <c r="R45" s="50"/>
      <c r="S45" s="50"/>
      <c r="T45" s="50"/>
      <c r="U45" s="50"/>
      <c r="V45" s="50"/>
      <c r="W45" s="50"/>
      <c r="X45" s="50"/>
      <c r="Y45" s="50"/>
      <c r="Z45" s="50"/>
    </row>
    <row r="46" spans="1:26" ht="15.75" customHeight="1">
      <c r="A46" s="50"/>
      <c r="B46" s="50"/>
      <c r="C46" s="50"/>
      <c r="D46" s="50"/>
      <c r="E46" s="50"/>
      <c r="F46" s="50"/>
      <c r="G46" s="50"/>
      <c r="H46" s="50"/>
      <c r="I46" s="50"/>
      <c r="J46" s="50"/>
      <c r="K46" s="70"/>
      <c r="L46" s="71"/>
      <c r="M46" s="50"/>
      <c r="N46" s="50"/>
      <c r="O46" s="50"/>
      <c r="P46" s="50"/>
      <c r="Q46" s="50"/>
      <c r="R46" s="50"/>
      <c r="S46" s="50"/>
      <c r="T46" s="50"/>
      <c r="U46" s="50"/>
      <c r="V46" s="50"/>
      <c r="W46" s="50"/>
      <c r="X46" s="50"/>
      <c r="Y46" s="50"/>
      <c r="Z46" s="50"/>
    </row>
    <row r="47" spans="1:26" ht="15.75" customHeight="1">
      <c r="A47" s="50"/>
      <c r="B47" s="50"/>
      <c r="C47" s="50"/>
      <c r="D47" s="50"/>
      <c r="E47" s="50"/>
      <c r="F47" s="50"/>
      <c r="G47" s="50"/>
      <c r="H47" s="50"/>
      <c r="I47" s="50"/>
      <c r="J47" s="50"/>
      <c r="K47" s="70"/>
      <c r="L47" s="71"/>
      <c r="M47" s="50"/>
      <c r="N47" s="50"/>
      <c r="O47" s="50"/>
      <c r="P47" s="50"/>
      <c r="Q47" s="50"/>
      <c r="R47" s="50"/>
      <c r="S47" s="50"/>
      <c r="T47" s="50"/>
      <c r="U47" s="50"/>
      <c r="V47" s="50"/>
      <c r="W47" s="50"/>
      <c r="X47" s="50"/>
      <c r="Y47" s="50"/>
      <c r="Z47" s="50"/>
    </row>
    <row r="48" spans="1:26" ht="15.75" customHeight="1">
      <c r="A48" s="50"/>
      <c r="B48" s="50"/>
      <c r="C48" s="50"/>
      <c r="D48" s="50"/>
      <c r="E48" s="50"/>
      <c r="F48" s="50"/>
      <c r="G48" s="50"/>
      <c r="H48" s="50"/>
      <c r="I48" s="50"/>
      <c r="J48" s="50"/>
      <c r="K48" s="70"/>
      <c r="L48" s="71"/>
      <c r="M48" s="50"/>
      <c r="N48" s="50"/>
      <c r="O48" s="50"/>
      <c r="P48" s="50"/>
      <c r="Q48" s="50"/>
      <c r="R48" s="50"/>
      <c r="S48" s="50"/>
      <c r="T48" s="50"/>
      <c r="U48" s="50"/>
      <c r="V48" s="50"/>
      <c r="W48" s="50"/>
      <c r="X48" s="50"/>
      <c r="Y48" s="50"/>
      <c r="Z48" s="50"/>
    </row>
    <row r="49" spans="1:26" ht="15.75" customHeight="1">
      <c r="A49" s="50"/>
      <c r="B49" s="50"/>
      <c r="C49" s="50"/>
      <c r="D49" s="50"/>
      <c r="E49" s="50"/>
      <c r="F49" s="50"/>
      <c r="G49" s="50"/>
      <c r="H49" s="50"/>
      <c r="I49" s="50"/>
      <c r="J49" s="50"/>
      <c r="K49" s="70"/>
      <c r="L49" s="71"/>
      <c r="M49" s="50"/>
      <c r="N49" s="50"/>
      <c r="O49" s="50"/>
      <c r="P49" s="50"/>
      <c r="Q49" s="50"/>
      <c r="R49" s="50"/>
      <c r="S49" s="50"/>
      <c r="T49" s="50"/>
      <c r="U49" s="50"/>
      <c r="V49" s="50"/>
      <c r="W49" s="50"/>
      <c r="X49" s="50"/>
      <c r="Y49" s="50"/>
      <c r="Z49" s="50"/>
    </row>
    <row r="50" spans="1:26" ht="15.75" customHeight="1">
      <c r="A50" s="50"/>
      <c r="B50" s="50"/>
      <c r="C50" s="50"/>
      <c r="D50" s="50"/>
      <c r="E50" s="50"/>
      <c r="F50" s="50"/>
      <c r="G50" s="50"/>
      <c r="H50" s="50"/>
      <c r="I50" s="50"/>
      <c r="J50" s="50"/>
      <c r="K50" s="70"/>
      <c r="L50" s="71"/>
      <c r="M50" s="50"/>
      <c r="N50" s="50"/>
      <c r="O50" s="50"/>
      <c r="P50" s="50"/>
      <c r="Q50" s="50"/>
      <c r="R50" s="50"/>
      <c r="S50" s="50"/>
      <c r="T50" s="50"/>
      <c r="U50" s="50"/>
      <c r="V50" s="50"/>
      <c r="W50" s="50"/>
      <c r="X50" s="50"/>
      <c r="Y50" s="50"/>
      <c r="Z50" s="50"/>
    </row>
    <row r="51" spans="1:26" ht="15.75" customHeight="1">
      <c r="A51" s="50"/>
      <c r="B51" s="50"/>
      <c r="C51" s="50"/>
      <c r="D51" s="50"/>
      <c r="E51" s="50"/>
      <c r="F51" s="50"/>
      <c r="G51" s="50"/>
      <c r="H51" s="50"/>
      <c r="I51" s="50"/>
      <c r="J51" s="50"/>
      <c r="K51" s="70"/>
      <c r="L51" s="71"/>
      <c r="M51" s="50"/>
      <c r="N51" s="50"/>
      <c r="O51" s="50"/>
      <c r="P51" s="50"/>
      <c r="Q51" s="50"/>
      <c r="R51" s="50"/>
      <c r="S51" s="50"/>
      <c r="T51" s="50"/>
      <c r="U51" s="50"/>
      <c r="V51" s="50"/>
      <c r="W51" s="50"/>
      <c r="X51" s="50"/>
      <c r="Y51" s="50"/>
      <c r="Z51" s="50"/>
    </row>
    <row r="52" spans="1:26" ht="15.75" customHeight="1">
      <c r="A52" s="50"/>
      <c r="B52" s="50"/>
      <c r="C52" s="50"/>
      <c r="D52" s="50"/>
      <c r="E52" s="50"/>
      <c r="F52" s="50"/>
      <c r="G52" s="50"/>
      <c r="H52" s="50"/>
      <c r="I52" s="50"/>
      <c r="J52" s="50"/>
      <c r="K52" s="70"/>
      <c r="L52" s="71"/>
      <c r="M52" s="50"/>
      <c r="N52" s="50"/>
      <c r="O52" s="50"/>
      <c r="P52" s="50"/>
      <c r="Q52" s="50"/>
      <c r="R52" s="50"/>
      <c r="S52" s="50"/>
      <c r="T52" s="50"/>
      <c r="U52" s="50"/>
      <c r="V52" s="50"/>
      <c r="W52" s="50"/>
      <c r="X52" s="50"/>
      <c r="Y52" s="50"/>
      <c r="Z52" s="50"/>
    </row>
    <row r="53" spans="1:26" ht="15.75" customHeight="1">
      <c r="A53" s="50"/>
      <c r="B53" s="50"/>
      <c r="C53" s="50"/>
      <c r="D53" s="50"/>
      <c r="E53" s="50"/>
      <c r="F53" s="50"/>
      <c r="G53" s="50"/>
      <c r="H53" s="50"/>
      <c r="I53" s="50"/>
      <c r="J53" s="50"/>
      <c r="K53" s="70"/>
      <c r="L53" s="71"/>
      <c r="M53" s="50"/>
      <c r="N53" s="50"/>
      <c r="O53" s="50"/>
      <c r="P53" s="50"/>
      <c r="Q53" s="50"/>
      <c r="R53" s="50"/>
      <c r="S53" s="50"/>
      <c r="T53" s="50"/>
      <c r="U53" s="50"/>
      <c r="V53" s="50"/>
      <c r="W53" s="50"/>
      <c r="X53" s="50"/>
      <c r="Y53" s="50"/>
      <c r="Z53" s="50"/>
    </row>
    <row r="54" spans="1:26" ht="15.75" customHeight="1">
      <c r="A54" s="50"/>
      <c r="B54" s="50"/>
      <c r="C54" s="50"/>
      <c r="D54" s="50"/>
      <c r="E54" s="50"/>
      <c r="F54" s="50"/>
      <c r="G54" s="50"/>
      <c r="H54" s="50"/>
      <c r="I54" s="50"/>
      <c r="J54" s="50"/>
      <c r="K54" s="70"/>
      <c r="L54" s="71"/>
      <c r="M54" s="50"/>
      <c r="N54" s="50"/>
      <c r="O54" s="50"/>
      <c r="P54" s="50"/>
      <c r="Q54" s="50"/>
      <c r="R54" s="50"/>
      <c r="S54" s="50"/>
      <c r="T54" s="50"/>
      <c r="U54" s="50"/>
      <c r="V54" s="50"/>
      <c r="W54" s="50"/>
      <c r="X54" s="50"/>
      <c r="Y54" s="50"/>
      <c r="Z54" s="50"/>
    </row>
    <row r="55" spans="1:26" ht="15.75" customHeight="1">
      <c r="A55" s="50"/>
      <c r="B55" s="50"/>
      <c r="C55" s="50"/>
      <c r="D55" s="50"/>
      <c r="E55" s="50"/>
      <c r="F55" s="50"/>
      <c r="G55" s="50"/>
      <c r="H55" s="50"/>
      <c r="I55" s="50"/>
      <c r="J55" s="50"/>
      <c r="K55" s="70"/>
      <c r="L55" s="71"/>
      <c r="M55" s="50"/>
      <c r="N55" s="50"/>
      <c r="O55" s="50"/>
      <c r="P55" s="50"/>
      <c r="Q55" s="50"/>
      <c r="R55" s="50"/>
      <c r="S55" s="50"/>
      <c r="T55" s="50"/>
      <c r="U55" s="50"/>
      <c r="V55" s="50"/>
      <c r="W55" s="50"/>
      <c r="X55" s="50"/>
      <c r="Y55" s="50"/>
      <c r="Z55" s="50"/>
    </row>
    <row r="56" spans="1:26" ht="15.75" customHeight="1">
      <c r="A56" s="50"/>
      <c r="B56" s="50"/>
      <c r="C56" s="50"/>
      <c r="D56" s="50"/>
      <c r="E56" s="50"/>
      <c r="F56" s="50"/>
      <c r="G56" s="50"/>
      <c r="H56" s="50"/>
      <c r="I56" s="50"/>
      <c r="J56" s="50"/>
      <c r="K56" s="70"/>
      <c r="L56" s="71"/>
      <c r="M56" s="50"/>
      <c r="N56" s="50"/>
      <c r="O56" s="50"/>
      <c r="P56" s="50"/>
      <c r="Q56" s="50"/>
      <c r="R56" s="50"/>
      <c r="S56" s="50"/>
      <c r="T56" s="50"/>
      <c r="U56" s="50"/>
      <c r="V56" s="50"/>
      <c r="W56" s="50"/>
      <c r="X56" s="50"/>
      <c r="Y56" s="50"/>
      <c r="Z56" s="50"/>
    </row>
    <row r="57" spans="1:26" ht="15.75" customHeight="1">
      <c r="A57" s="50"/>
      <c r="B57" s="50"/>
      <c r="C57" s="50"/>
      <c r="D57" s="50"/>
      <c r="E57" s="50"/>
      <c r="F57" s="50"/>
      <c r="G57" s="50"/>
      <c r="H57" s="50"/>
      <c r="I57" s="50"/>
      <c r="J57" s="50"/>
      <c r="K57" s="70"/>
      <c r="L57" s="71"/>
      <c r="M57" s="50"/>
      <c r="N57" s="50"/>
      <c r="O57" s="50"/>
      <c r="P57" s="50"/>
      <c r="Q57" s="50"/>
      <c r="R57" s="50"/>
      <c r="S57" s="50"/>
      <c r="T57" s="50"/>
      <c r="U57" s="50"/>
      <c r="V57" s="50"/>
      <c r="W57" s="50"/>
      <c r="X57" s="50"/>
      <c r="Y57" s="50"/>
      <c r="Z57" s="50"/>
    </row>
    <row r="58" spans="1:26" ht="15.75" customHeight="1">
      <c r="A58" s="50"/>
      <c r="B58" s="50"/>
      <c r="C58" s="50"/>
      <c r="D58" s="50"/>
      <c r="E58" s="50"/>
      <c r="F58" s="50"/>
      <c r="G58" s="50"/>
      <c r="H58" s="50"/>
      <c r="I58" s="50"/>
      <c r="J58" s="50"/>
      <c r="K58" s="70"/>
      <c r="L58" s="71"/>
      <c r="M58" s="50"/>
      <c r="N58" s="50"/>
      <c r="O58" s="50"/>
      <c r="P58" s="50"/>
      <c r="Q58" s="50"/>
      <c r="R58" s="50"/>
      <c r="S58" s="50"/>
      <c r="T58" s="50"/>
      <c r="U58" s="50"/>
      <c r="V58" s="50"/>
      <c r="W58" s="50"/>
      <c r="X58" s="50"/>
      <c r="Y58" s="50"/>
      <c r="Z58" s="50"/>
    </row>
    <row r="59" spans="1:26" ht="15.75" customHeight="1">
      <c r="A59" s="50"/>
      <c r="B59" s="50"/>
      <c r="C59" s="50"/>
      <c r="D59" s="50"/>
      <c r="E59" s="50"/>
      <c r="F59" s="50"/>
      <c r="G59" s="50"/>
      <c r="H59" s="50"/>
      <c r="I59" s="50"/>
      <c r="J59" s="50"/>
      <c r="K59" s="70"/>
      <c r="L59" s="71"/>
      <c r="M59" s="50"/>
      <c r="N59" s="50"/>
      <c r="O59" s="50"/>
      <c r="P59" s="50"/>
      <c r="Q59" s="50"/>
      <c r="R59" s="50"/>
      <c r="S59" s="50"/>
      <c r="T59" s="50"/>
      <c r="U59" s="50"/>
      <c r="V59" s="50"/>
      <c r="W59" s="50"/>
      <c r="X59" s="50"/>
      <c r="Y59" s="50"/>
      <c r="Z59" s="50"/>
    </row>
    <row r="60" spans="1:26" ht="15.75" customHeight="1">
      <c r="A60" s="50"/>
      <c r="B60" s="50"/>
      <c r="C60" s="50"/>
      <c r="D60" s="50"/>
      <c r="E60" s="50"/>
      <c r="F60" s="50"/>
      <c r="G60" s="50"/>
      <c r="H60" s="50"/>
      <c r="I60" s="50"/>
      <c r="J60" s="50"/>
      <c r="K60" s="70"/>
      <c r="L60" s="71"/>
      <c r="M60" s="50"/>
      <c r="N60" s="50"/>
      <c r="O60" s="50"/>
      <c r="P60" s="50"/>
      <c r="Q60" s="50"/>
      <c r="R60" s="50"/>
      <c r="S60" s="50"/>
      <c r="T60" s="50"/>
      <c r="U60" s="50"/>
      <c r="V60" s="50"/>
      <c r="W60" s="50"/>
      <c r="X60" s="50"/>
      <c r="Y60" s="50"/>
      <c r="Z60" s="50"/>
    </row>
    <row r="61" spans="1:26" ht="15.75" customHeight="1">
      <c r="A61" s="50"/>
      <c r="B61" s="50"/>
      <c r="C61" s="50"/>
      <c r="D61" s="50"/>
      <c r="E61" s="50"/>
      <c r="F61" s="50"/>
      <c r="G61" s="50"/>
      <c r="H61" s="50"/>
      <c r="I61" s="50"/>
      <c r="J61" s="50"/>
      <c r="K61" s="70"/>
      <c r="L61" s="71"/>
      <c r="M61" s="50"/>
      <c r="N61" s="50"/>
      <c r="O61" s="50"/>
      <c r="P61" s="50"/>
      <c r="Q61" s="50"/>
      <c r="R61" s="50"/>
      <c r="S61" s="50"/>
      <c r="T61" s="50"/>
      <c r="U61" s="50"/>
      <c r="V61" s="50"/>
      <c r="W61" s="50"/>
      <c r="X61" s="50"/>
      <c r="Y61" s="50"/>
      <c r="Z61" s="50"/>
    </row>
    <row r="62" spans="1:26" ht="15.75" customHeight="1">
      <c r="A62" s="50"/>
      <c r="B62" s="50"/>
      <c r="C62" s="50"/>
      <c r="D62" s="50"/>
      <c r="E62" s="50"/>
      <c r="F62" s="50"/>
      <c r="G62" s="50"/>
      <c r="H62" s="50"/>
      <c r="I62" s="50"/>
      <c r="J62" s="50"/>
      <c r="K62" s="70"/>
      <c r="L62" s="71"/>
      <c r="M62" s="50"/>
      <c r="N62" s="50"/>
      <c r="O62" s="50"/>
      <c r="P62" s="50"/>
      <c r="Q62" s="50"/>
      <c r="R62" s="50"/>
      <c r="S62" s="50"/>
      <c r="T62" s="50"/>
      <c r="U62" s="50"/>
      <c r="V62" s="50"/>
      <c r="W62" s="50"/>
      <c r="X62" s="50"/>
      <c r="Y62" s="50"/>
      <c r="Z62" s="50"/>
    </row>
    <row r="63" spans="1:26" ht="15.75" customHeight="1">
      <c r="A63" s="50"/>
      <c r="B63" s="50"/>
      <c r="C63" s="50"/>
      <c r="D63" s="50"/>
      <c r="E63" s="50"/>
      <c r="F63" s="50"/>
      <c r="G63" s="50"/>
      <c r="H63" s="50"/>
      <c r="I63" s="50"/>
      <c r="J63" s="50"/>
      <c r="K63" s="70"/>
      <c r="L63" s="71"/>
      <c r="M63" s="50"/>
      <c r="N63" s="50"/>
      <c r="O63" s="50"/>
      <c r="P63" s="50"/>
      <c r="Q63" s="50"/>
      <c r="R63" s="50"/>
      <c r="S63" s="50"/>
      <c r="T63" s="50"/>
      <c r="U63" s="50"/>
      <c r="V63" s="50"/>
      <c r="W63" s="50"/>
      <c r="X63" s="50"/>
      <c r="Y63" s="50"/>
      <c r="Z63" s="50"/>
    </row>
    <row r="64" spans="1:26" ht="15.75" customHeight="1">
      <c r="A64" s="50"/>
      <c r="B64" s="50"/>
      <c r="C64" s="50"/>
      <c r="D64" s="50"/>
      <c r="E64" s="50"/>
      <c r="F64" s="50"/>
      <c r="G64" s="50"/>
      <c r="H64" s="50"/>
      <c r="I64" s="50"/>
      <c r="J64" s="50"/>
      <c r="K64" s="70"/>
      <c r="L64" s="71"/>
      <c r="M64" s="50"/>
      <c r="N64" s="50"/>
      <c r="O64" s="50"/>
      <c r="P64" s="50"/>
      <c r="Q64" s="50"/>
      <c r="R64" s="50"/>
      <c r="S64" s="50"/>
      <c r="T64" s="50"/>
      <c r="U64" s="50"/>
      <c r="V64" s="50"/>
      <c r="W64" s="50"/>
      <c r="X64" s="50"/>
      <c r="Y64" s="50"/>
      <c r="Z64" s="50"/>
    </row>
    <row r="65" spans="1:26" ht="15.75" customHeight="1">
      <c r="A65" s="50"/>
      <c r="B65" s="50"/>
      <c r="C65" s="50"/>
      <c r="D65" s="50"/>
      <c r="E65" s="50"/>
      <c r="F65" s="50"/>
      <c r="G65" s="50"/>
      <c r="H65" s="50"/>
      <c r="I65" s="50"/>
      <c r="J65" s="50"/>
      <c r="K65" s="70"/>
      <c r="L65" s="71"/>
      <c r="M65" s="50"/>
      <c r="N65" s="50"/>
      <c r="O65" s="50"/>
      <c r="P65" s="50"/>
      <c r="Q65" s="50"/>
      <c r="R65" s="50"/>
      <c r="S65" s="50"/>
      <c r="T65" s="50"/>
      <c r="U65" s="50"/>
      <c r="V65" s="50"/>
      <c r="W65" s="50"/>
      <c r="X65" s="50"/>
      <c r="Y65" s="50"/>
      <c r="Z65" s="50"/>
    </row>
    <row r="66" spans="1:26" ht="15.75" customHeight="1">
      <c r="A66" s="50"/>
      <c r="B66" s="50"/>
      <c r="C66" s="50"/>
      <c r="D66" s="50"/>
      <c r="E66" s="50"/>
      <c r="F66" s="50"/>
      <c r="G66" s="50"/>
      <c r="H66" s="50"/>
      <c r="I66" s="50"/>
      <c r="J66" s="50"/>
      <c r="K66" s="70"/>
      <c r="L66" s="71"/>
      <c r="M66" s="50"/>
      <c r="N66" s="50"/>
      <c r="O66" s="50"/>
      <c r="P66" s="50"/>
      <c r="Q66" s="50"/>
      <c r="R66" s="50"/>
      <c r="S66" s="50"/>
      <c r="T66" s="50"/>
      <c r="U66" s="50"/>
      <c r="V66" s="50"/>
      <c r="W66" s="50"/>
      <c r="X66" s="50"/>
      <c r="Y66" s="50"/>
      <c r="Z66" s="50"/>
    </row>
    <row r="67" spans="1:26" ht="15.75" customHeight="1">
      <c r="A67" s="50"/>
      <c r="B67" s="50"/>
      <c r="C67" s="50"/>
      <c r="D67" s="50"/>
      <c r="E67" s="50"/>
      <c r="F67" s="50"/>
      <c r="G67" s="50"/>
      <c r="H67" s="50"/>
      <c r="I67" s="50"/>
      <c r="J67" s="50"/>
      <c r="K67" s="70"/>
      <c r="L67" s="71"/>
      <c r="M67" s="50"/>
      <c r="N67" s="50"/>
      <c r="O67" s="50"/>
      <c r="P67" s="50"/>
      <c r="Q67" s="50"/>
      <c r="R67" s="50"/>
      <c r="S67" s="50"/>
      <c r="T67" s="50"/>
      <c r="U67" s="50"/>
      <c r="V67" s="50"/>
      <c r="W67" s="50"/>
      <c r="X67" s="50"/>
      <c r="Y67" s="50"/>
      <c r="Z67" s="50"/>
    </row>
    <row r="68" spans="1:26" ht="15.75" customHeight="1">
      <c r="A68" s="50"/>
      <c r="B68" s="50"/>
      <c r="C68" s="50"/>
      <c r="D68" s="50"/>
      <c r="E68" s="50"/>
      <c r="F68" s="50"/>
      <c r="G68" s="50"/>
      <c r="H68" s="50"/>
      <c r="I68" s="50"/>
      <c r="J68" s="50"/>
      <c r="K68" s="70"/>
      <c r="L68" s="71"/>
      <c r="M68" s="50"/>
      <c r="N68" s="50"/>
      <c r="O68" s="50"/>
      <c r="P68" s="50"/>
      <c r="Q68" s="50"/>
      <c r="R68" s="50"/>
      <c r="S68" s="50"/>
      <c r="T68" s="50"/>
      <c r="U68" s="50"/>
      <c r="V68" s="50"/>
      <c r="W68" s="50"/>
      <c r="X68" s="50"/>
      <c r="Y68" s="50"/>
      <c r="Z68" s="50"/>
    </row>
    <row r="69" spans="1:26" ht="15.75" customHeight="1">
      <c r="A69" s="50"/>
      <c r="B69" s="50"/>
      <c r="C69" s="50"/>
      <c r="D69" s="50"/>
      <c r="E69" s="50"/>
      <c r="F69" s="50"/>
      <c r="G69" s="50"/>
      <c r="H69" s="50"/>
      <c r="I69" s="50"/>
      <c r="J69" s="50"/>
      <c r="K69" s="70"/>
      <c r="L69" s="71"/>
      <c r="M69" s="50"/>
      <c r="N69" s="50"/>
      <c r="O69" s="50"/>
      <c r="P69" s="50"/>
      <c r="Q69" s="50"/>
      <c r="R69" s="50"/>
      <c r="S69" s="50"/>
      <c r="T69" s="50"/>
      <c r="U69" s="50"/>
      <c r="V69" s="50"/>
      <c r="W69" s="50"/>
      <c r="X69" s="50"/>
      <c r="Y69" s="50"/>
      <c r="Z69" s="50"/>
    </row>
    <row r="70" spans="1:26" ht="15.75" customHeight="1">
      <c r="A70" s="50"/>
      <c r="B70" s="50"/>
      <c r="C70" s="50"/>
      <c r="D70" s="50"/>
      <c r="E70" s="50"/>
      <c r="F70" s="50"/>
      <c r="G70" s="50"/>
      <c r="H70" s="50"/>
      <c r="I70" s="50"/>
      <c r="J70" s="50"/>
      <c r="K70" s="70"/>
      <c r="L70" s="71"/>
      <c r="M70" s="50"/>
      <c r="N70" s="50"/>
      <c r="O70" s="50"/>
      <c r="P70" s="50"/>
      <c r="Q70" s="50"/>
      <c r="R70" s="50"/>
      <c r="S70" s="50"/>
      <c r="T70" s="50"/>
      <c r="U70" s="50"/>
      <c r="V70" s="50"/>
      <c r="W70" s="50"/>
      <c r="X70" s="50"/>
      <c r="Y70" s="50"/>
      <c r="Z70" s="50"/>
    </row>
    <row r="71" spans="1:26" ht="15.75" customHeight="1">
      <c r="A71" s="50"/>
      <c r="B71" s="50"/>
      <c r="C71" s="50"/>
      <c r="D71" s="50"/>
      <c r="E71" s="50"/>
      <c r="F71" s="50"/>
      <c r="G71" s="50"/>
      <c r="H71" s="50"/>
      <c r="I71" s="50"/>
      <c r="J71" s="50"/>
      <c r="K71" s="70"/>
      <c r="L71" s="71"/>
      <c r="M71" s="50"/>
      <c r="N71" s="50"/>
      <c r="O71" s="50"/>
      <c r="P71" s="50"/>
      <c r="Q71" s="50"/>
      <c r="R71" s="50"/>
      <c r="S71" s="50"/>
      <c r="T71" s="50"/>
      <c r="U71" s="50"/>
      <c r="V71" s="50"/>
      <c r="W71" s="50"/>
      <c r="X71" s="50"/>
      <c r="Y71" s="50"/>
      <c r="Z71" s="50"/>
    </row>
    <row r="72" spans="1:26" ht="15.75" customHeight="1">
      <c r="A72" s="50"/>
      <c r="B72" s="50"/>
      <c r="C72" s="50"/>
      <c r="D72" s="50"/>
      <c r="E72" s="50"/>
      <c r="F72" s="50"/>
      <c r="G72" s="50"/>
      <c r="H72" s="50"/>
      <c r="I72" s="50"/>
      <c r="J72" s="50"/>
      <c r="K72" s="70"/>
      <c r="L72" s="71"/>
      <c r="M72" s="50"/>
      <c r="N72" s="50"/>
      <c r="O72" s="50"/>
      <c r="P72" s="50"/>
      <c r="Q72" s="50"/>
      <c r="R72" s="50"/>
      <c r="S72" s="50"/>
      <c r="T72" s="50"/>
      <c r="U72" s="50"/>
      <c r="V72" s="50"/>
      <c r="W72" s="50"/>
      <c r="X72" s="50"/>
      <c r="Y72" s="50"/>
      <c r="Z72" s="50"/>
    </row>
    <row r="73" spans="1:26" ht="15.75" customHeight="1">
      <c r="A73" s="50"/>
      <c r="B73" s="50"/>
      <c r="C73" s="50"/>
      <c r="D73" s="50"/>
      <c r="E73" s="50"/>
      <c r="F73" s="50"/>
      <c r="G73" s="50"/>
      <c r="H73" s="50"/>
      <c r="I73" s="50"/>
      <c r="J73" s="50"/>
      <c r="K73" s="70"/>
      <c r="L73" s="71"/>
      <c r="M73" s="50"/>
      <c r="N73" s="50"/>
      <c r="O73" s="50"/>
      <c r="P73" s="50"/>
      <c r="Q73" s="50"/>
      <c r="R73" s="50"/>
      <c r="S73" s="50"/>
      <c r="T73" s="50"/>
      <c r="U73" s="50"/>
      <c r="V73" s="50"/>
      <c r="W73" s="50"/>
      <c r="X73" s="50"/>
      <c r="Y73" s="50"/>
      <c r="Z73" s="50"/>
    </row>
    <row r="74" spans="1:26" ht="15.75" customHeight="1">
      <c r="A74" s="50"/>
      <c r="B74" s="50"/>
      <c r="C74" s="50"/>
      <c r="D74" s="50"/>
      <c r="E74" s="50"/>
      <c r="F74" s="50"/>
      <c r="G74" s="50"/>
      <c r="H74" s="50"/>
      <c r="I74" s="50"/>
      <c r="J74" s="50"/>
      <c r="K74" s="70"/>
      <c r="L74" s="71"/>
      <c r="M74" s="50"/>
      <c r="N74" s="50"/>
      <c r="O74" s="50"/>
      <c r="P74" s="50"/>
      <c r="Q74" s="50"/>
      <c r="R74" s="50"/>
      <c r="S74" s="50"/>
      <c r="T74" s="50"/>
      <c r="U74" s="50"/>
      <c r="V74" s="50"/>
      <c r="W74" s="50"/>
      <c r="X74" s="50"/>
      <c r="Y74" s="50"/>
      <c r="Z74" s="50"/>
    </row>
    <row r="75" spans="1:26" ht="15.75" customHeight="1">
      <c r="A75" s="50"/>
      <c r="B75" s="50"/>
      <c r="C75" s="50"/>
      <c r="D75" s="50"/>
      <c r="E75" s="50"/>
      <c r="F75" s="50"/>
      <c r="G75" s="50"/>
      <c r="H75" s="50"/>
      <c r="I75" s="50"/>
      <c r="J75" s="50"/>
      <c r="K75" s="70"/>
      <c r="L75" s="71"/>
      <c r="M75" s="50"/>
      <c r="N75" s="50"/>
      <c r="O75" s="50"/>
      <c r="P75" s="50"/>
      <c r="Q75" s="50"/>
      <c r="R75" s="50"/>
      <c r="S75" s="50"/>
      <c r="T75" s="50"/>
      <c r="U75" s="50"/>
      <c r="V75" s="50"/>
      <c r="W75" s="50"/>
      <c r="X75" s="50"/>
      <c r="Y75" s="50"/>
      <c r="Z75" s="50"/>
    </row>
    <row r="76" spans="1:26" ht="15.75" customHeight="1">
      <c r="A76" s="50"/>
      <c r="B76" s="50"/>
      <c r="C76" s="50"/>
      <c r="D76" s="50"/>
      <c r="E76" s="50"/>
      <c r="F76" s="50"/>
      <c r="G76" s="50"/>
      <c r="H76" s="50"/>
      <c r="I76" s="50"/>
      <c r="J76" s="50"/>
      <c r="K76" s="70"/>
      <c r="L76" s="71"/>
      <c r="M76" s="50"/>
      <c r="N76" s="50"/>
      <c r="O76" s="50"/>
      <c r="P76" s="50"/>
      <c r="Q76" s="50"/>
      <c r="R76" s="50"/>
      <c r="S76" s="50"/>
      <c r="T76" s="50"/>
      <c r="U76" s="50"/>
      <c r="V76" s="50"/>
      <c r="W76" s="50"/>
      <c r="X76" s="50"/>
      <c r="Y76" s="50"/>
      <c r="Z76" s="50"/>
    </row>
    <row r="77" spans="1:26" ht="15.75" customHeight="1">
      <c r="A77" s="50"/>
      <c r="B77" s="50"/>
      <c r="C77" s="50"/>
      <c r="D77" s="50"/>
      <c r="E77" s="50"/>
      <c r="F77" s="50"/>
      <c r="G77" s="50"/>
      <c r="H77" s="50"/>
      <c r="I77" s="50"/>
      <c r="J77" s="50"/>
      <c r="K77" s="70"/>
      <c r="L77" s="71"/>
      <c r="M77" s="50"/>
      <c r="N77" s="50"/>
      <c r="O77" s="50"/>
      <c r="P77" s="50"/>
      <c r="Q77" s="50"/>
      <c r="R77" s="50"/>
      <c r="S77" s="50"/>
      <c r="T77" s="50"/>
      <c r="U77" s="50"/>
      <c r="V77" s="50"/>
      <c r="W77" s="50"/>
      <c r="X77" s="50"/>
      <c r="Y77" s="50"/>
      <c r="Z77" s="50"/>
    </row>
    <row r="78" spans="1:26" ht="15.75" customHeight="1">
      <c r="A78" s="50"/>
      <c r="B78" s="50"/>
      <c r="C78" s="50"/>
      <c r="D78" s="50"/>
      <c r="E78" s="50"/>
      <c r="F78" s="50"/>
      <c r="G78" s="50"/>
      <c r="H78" s="50"/>
      <c r="I78" s="50"/>
      <c r="J78" s="50"/>
      <c r="K78" s="70"/>
      <c r="L78" s="71"/>
      <c r="M78" s="50"/>
      <c r="N78" s="50"/>
      <c r="O78" s="50"/>
      <c r="P78" s="50"/>
      <c r="Q78" s="50"/>
      <c r="R78" s="50"/>
      <c r="S78" s="50"/>
      <c r="T78" s="50"/>
      <c r="U78" s="50"/>
      <c r="V78" s="50"/>
      <c r="W78" s="50"/>
      <c r="X78" s="50"/>
      <c r="Y78" s="50"/>
      <c r="Z78" s="50"/>
    </row>
    <row r="79" spans="1:26" ht="15.75" customHeight="1">
      <c r="A79" s="50"/>
      <c r="B79" s="50"/>
      <c r="C79" s="50"/>
      <c r="D79" s="50"/>
      <c r="E79" s="50"/>
      <c r="F79" s="50"/>
      <c r="G79" s="50"/>
      <c r="H79" s="50"/>
      <c r="I79" s="50"/>
      <c r="J79" s="50"/>
      <c r="K79" s="70"/>
      <c r="L79" s="71"/>
      <c r="M79" s="50"/>
      <c r="N79" s="50"/>
      <c r="O79" s="50"/>
      <c r="P79" s="50"/>
      <c r="Q79" s="50"/>
      <c r="R79" s="50"/>
      <c r="S79" s="50"/>
      <c r="T79" s="50"/>
      <c r="U79" s="50"/>
      <c r="V79" s="50"/>
      <c r="W79" s="50"/>
      <c r="X79" s="50"/>
      <c r="Y79" s="50"/>
      <c r="Z79" s="50"/>
    </row>
    <row r="80" spans="1:26" ht="15.75" customHeight="1">
      <c r="A80" s="50"/>
      <c r="B80" s="50"/>
      <c r="C80" s="50"/>
      <c r="D80" s="50"/>
      <c r="E80" s="50"/>
      <c r="F80" s="50"/>
      <c r="G80" s="50"/>
      <c r="H80" s="50"/>
      <c r="I80" s="50"/>
      <c r="J80" s="50"/>
      <c r="K80" s="70"/>
      <c r="L80" s="71"/>
      <c r="M80" s="50"/>
      <c r="N80" s="50"/>
      <c r="O80" s="50"/>
      <c r="P80" s="50"/>
      <c r="Q80" s="50"/>
      <c r="R80" s="50"/>
      <c r="S80" s="50"/>
      <c r="T80" s="50"/>
      <c r="U80" s="50"/>
      <c r="V80" s="50"/>
      <c r="W80" s="50"/>
      <c r="X80" s="50"/>
      <c r="Y80" s="50"/>
      <c r="Z80" s="50"/>
    </row>
    <row r="81" spans="1:26" ht="15.75" customHeight="1">
      <c r="A81" s="50"/>
      <c r="B81" s="50"/>
      <c r="C81" s="50"/>
      <c r="D81" s="50"/>
      <c r="E81" s="50"/>
      <c r="F81" s="50"/>
      <c r="G81" s="50"/>
      <c r="H81" s="50"/>
      <c r="I81" s="50"/>
      <c r="J81" s="50"/>
      <c r="K81" s="70"/>
      <c r="L81" s="71"/>
      <c r="M81" s="50"/>
      <c r="N81" s="50"/>
      <c r="O81" s="50"/>
      <c r="P81" s="50"/>
      <c r="Q81" s="50"/>
      <c r="R81" s="50"/>
      <c r="S81" s="50"/>
      <c r="T81" s="50"/>
      <c r="U81" s="50"/>
      <c r="V81" s="50"/>
      <c r="W81" s="50"/>
      <c r="X81" s="50"/>
      <c r="Y81" s="50"/>
      <c r="Z81" s="50"/>
    </row>
    <row r="82" spans="1:26" ht="15.75" customHeight="1">
      <c r="A82" s="50"/>
      <c r="B82" s="50"/>
      <c r="C82" s="50"/>
      <c r="D82" s="50"/>
      <c r="E82" s="50"/>
      <c r="F82" s="50"/>
      <c r="G82" s="50"/>
      <c r="H82" s="50"/>
      <c r="I82" s="50"/>
      <c r="J82" s="50"/>
      <c r="K82" s="70"/>
      <c r="L82" s="71"/>
      <c r="M82" s="50"/>
      <c r="N82" s="50"/>
      <c r="O82" s="50"/>
      <c r="P82" s="50"/>
      <c r="Q82" s="50"/>
      <c r="R82" s="50"/>
      <c r="S82" s="50"/>
      <c r="T82" s="50"/>
      <c r="U82" s="50"/>
      <c r="V82" s="50"/>
      <c r="W82" s="50"/>
      <c r="X82" s="50"/>
      <c r="Y82" s="50"/>
      <c r="Z82" s="50"/>
    </row>
    <row r="83" spans="1:26" ht="15.75" customHeight="1">
      <c r="A83" s="50"/>
      <c r="B83" s="50"/>
      <c r="C83" s="50"/>
      <c r="D83" s="50"/>
      <c r="E83" s="50"/>
      <c r="F83" s="50"/>
      <c r="G83" s="50"/>
      <c r="H83" s="50"/>
      <c r="I83" s="50"/>
      <c r="J83" s="50"/>
      <c r="K83" s="70"/>
      <c r="L83" s="71"/>
      <c r="M83" s="50"/>
      <c r="N83" s="50"/>
      <c r="O83" s="50"/>
      <c r="P83" s="50"/>
      <c r="Q83" s="50"/>
      <c r="R83" s="50"/>
      <c r="S83" s="50"/>
      <c r="T83" s="50"/>
      <c r="U83" s="50"/>
      <c r="V83" s="50"/>
      <c r="W83" s="50"/>
      <c r="X83" s="50"/>
      <c r="Y83" s="50"/>
      <c r="Z83" s="50"/>
    </row>
    <row r="84" spans="1:26" ht="15.75" customHeight="1">
      <c r="A84" s="50"/>
      <c r="B84" s="50"/>
      <c r="C84" s="50"/>
      <c r="D84" s="50"/>
      <c r="E84" s="50"/>
      <c r="F84" s="50"/>
      <c r="G84" s="50"/>
      <c r="H84" s="50"/>
      <c r="I84" s="50"/>
      <c r="J84" s="50"/>
      <c r="K84" s="70"/>
      <c r="L84" s="71"/>
      <c r="M84" s="50"/>
      <c r="N84" s="50"/>
      <c r="O84" s="50"/>
      <c r="P84" s="50"/>
      <c r="Q84" s="50"/>
      <c r="R84" s="50"/>
      <c r="S84" s="50"/>
      <c r="T84" s="50"/>
      <c r="U84" s="50"/>
      <c r="V84" s="50"/>
      <c r="W84" s="50"/>
      <c r="X84" s="50"/>
      <c r="Y84" s="50"/>
      <c r="Z84" s="50"/>
    </row>
    <row r="85" spans="1:26" ht="15.75" customHeight="1">
      <c r="A85" s="50"/>
      <c r="B85" s="50"/>
      <c r="C85" s="50"/>
      <c r="D85" s="50"/>
      <c r="E85" s="50"/>
      <c r="F85" s="50"/>
      <c r="G85" s="50"/>
      <c r="H85" s="50"/>
      <c r="I85" s="50"/>
      <c r="J85" s="50"/>
      <c r="K85" s="70"/>
      <c r="L85" s="71"/>
      <c r="M85" s="50"/>
      <c r="N85" s="50"/>
      <c r="O85" s="50"/>
      <c r="P85" s="50"/>
      <c r="Q85" s="50"/>
      <c r="R85" s="50"/>
      <c r="S85" s="50"/>
      <c r="T85" s="50"/>
      <c r="U85" s="50"/>
      <c r="V85" s="50"/>
      <c r="W85" s="50"/>
      <c r="X85" s="50"/>
      <c r="Y85" s="50"/>
      <c r="Z85" s="50"/>
    </row>
    <row r="86" spans="1:26" ht="15.75" customHeight="1">
      <c r="A86" s="50"/>
      <c r="B86" s="50"/>
      <c r="C86" s="50"/>
      <c r="D86" s="50"/>
      <c r="E86" s="50"/>
      <c r="F86" s="50"/>
      <c r="G86" s="50"/>
      <c r="H86" s="50"/>
      <c r="I86" s="50"/>
      <c r="J86" s="50"/>
      <c r="K86" s="70"/>
      <c r="L86" s="71"/>
      <c r="M86" s="50"/>
      <c r="N86" s="50"/>
      <c r="O86" s="50"/>
      <c r="P86" s="50"/>
      <c r="Q86" s="50"/>
      <c r="R86" s="50"/>
      <c r="S86" s="50"/>
      <c r="T86" s="50"/>
      <c r="U86" s="50"/>
      <c r="V86" s="50"/>
      <c r="W86" s="50"/>
      <c r="X86" s="50"/>
      <c r="Y86" s="50"/>
      <c r="Z86" s="50"/>
    </row>
    <row r="87" spans="1:26" ht="15.75" customHeight="1">
      <c r="A87" s="50"/>
      <c r="B87" s="50"/>
      <c r="C87" s="50"/>
      <c r="D87" s="50"/>
      <c r="E87" s="50"/>
      <c r="F87" s="50"/>
      <c r="G87" s="50"/>
      <c r="H87" s="50"/>
      <c r="I87" s="50"/>
      <c r="J87" s="50"/>
      <c r="K87" s="70"/>
      <c r="L87" s="71"/>
      <c r="M87" s="50"/>
      <c r="N87" s="50"/>
      <c r="O87" s="50"/>
      <c r="P87" s="50"/>
      <c r="Q87" s="50"/>
      <c r="R87" s="50"/>
      <c r="S87" s="50"/>
      <c r="T87" s="50"/>
      <c r="U87" s="50"/>
      <c r="V87" s="50"/>
      <c r="W87" s="50"/>
      <c r="X87" s="50"/>
      <c r="Y87" s="50"/>
      <c r="Z87" s="50"/>
    </row>
    <row r="88" spans="1:26" ht="15.75" customHeight="1">
      <c r="A88" s="50"/>
      <c r="B88" s="50"/>
      <c r="C88" s="50"/>
      <c r="D88" s="50"/>
      <c r="E88" s="50"/>
      <c r="F88" s="50"/>
      <c r="G88" s="50"/>
      <c r="H88" s="50"/>
      <c r="I88" s="50"/>
      <c r="J88" s="50"/>
      <c r="K88" s="70"/>
      <c r="L88" s="71"/>
      <c r="M88" s="50"/>
      <c r="N88" s="50"/>
      <c r="O88" s="50"/>
      <c r="P88" s="50"/>
      <c r="Q88" s="50"/>
      <c r="R88" s="50"/>
      <c r="S88" s="50"/>
      <c r="T88" s="50"/>
      <c r="U88" s="50"/>
      <c r="V88" s="50"/>
      <c r="W88" s="50"/>
      <c r="X88" s="50"/>
      <c r="Y88" s="50"/>
      <c r="Z88" s="50"/>
    </row>
    <row r="89" spans="1:26" ht="15.75" customHeight="1">
      <c r="A89" s="50"/>
      <c r="B89" s="50"/>
      <c r="C89" s="50"/>
      <c r="D89" s="50"/>
      <c r="E89" s="50"/>
      <c r="F89" s="50"/>
      <c r="G89" s="50"/>
      <c r="H89" s="50"/>
      <c r="I89" s="50"/>
      <c r="J89" s="50"/>
      <c r="K89" s="70"/>
      <c r="L89" s="71"/>
      <c r="M89" s="50"/>
      <c r="N89" s="50"/>
      <c r="O89" s="50"/>
      <c r="P89" s="50"/>
      <c r="Q89" s="50"/>
      <c r="R89" s="50"/>
      <c r="S89" s="50"/>
      <c r="T89" s="50"/>
      <c r="U89" s="50"/>
      <c r="V89" s="50"/>
      <c r="W89" s="50"/>
      <c r="X89" s="50"/>
      <c r="Y89" s="50"/>
      <c r="Z89" s="50"/>
    </row>
    <row r="90" spans="1:26" ht="15.75" customHeight="1">
      <c r="A90" s="50"/>
      <c r="B90" s="50"/>
      <c r="C90" s="50"/>
      <c r="D90" s="50"/>
      <c r="E90" s="50"/>
      <c r="F90" s="50"/>
      <c r="G90" s="50"/>
      <c r="H90" s="50"/>
      <c r="I90" s="50"/>
      <c r="J90" s="50"/>
      <c r="K90" s="70"/>
      <c r="L90" s="71"/>
      <c r="M90" s="50"/>
      <c r="N90" s="50"/>
      <c r="O90" s="50"/>
      <c r="P90" s="50"/>
      <c r="Q90" s="50"/>
      <c r="R90" s="50"/>
      <c r="S90" s="50"/>
      <c r="T90" s="50"/>
      <c r="U90" s="50"/>
      <c r="V90" s="50"/>
      <c r="W90" s="50"/>
      <c r="X90" s="50"/>
      <c r="Y90" s="50"/>
      <c r="Z90" s="50"/>
    </row>
    <row r="91" spans="1:26" ht="15.75" customHeight="1">
      <c r="A91" s="50"/>
      <c r="B91" s="50"/>
      <c r="C91" s="50"/>
      <c r="D91" s="50"/>
      <c r="E91" s="50"/>
      <c r="F91" s="50"/>
      <c r="G91" s="50"/>
      <c r="H91" s="50"/>
      <c r="I91" s="50"/>
      <c r="J91" s="50"/>
      <c r="K91" s="70"/>
      <c r="L91" s="71"/>
      <c r="M91" s="50"/>
      <c r="N91" s="50"/>
      <c r="O91" s="50"/>
      <c r="P91" s="50"/>
      <c r="Q91" s="50"/>
      <c r="R91" s="50"/>
      <c r="S91" s="50"/>
      <c r="T91" s="50"/>
      <c r="U91" s="50"/>
      <c r="V91" s="50"/>
      <c r="W91" s="50"/>
      <c r="X91" s="50"/>
      <c r="Y91" s="50"/>
      <c r="Z91" s="50"/>
    </row>
    <row r="92" spans="1:26" ht="15.75" customHeight="1">
      <c r="A92" s="50"/>
      <c r="B92" s="50"/>
      <c r="C92" s="50"/>
      <c r="D92" s="50"/>
      <c r="E92" s="50"/>
      <c r="F92" s="50"/>
      <c r="G92" s="50"/>
      <c r="H92" s="50"/>
      <c r="I92" s="50"/>
      <c r="J92" s="50"/>
      <c r="K92" s="70"/>
      <c r="L92" s="71"/>
      <c r="M92" s="50"/>
      <c r="N92" s="50"/>
      <c r="O92" s="50"/>
      <c r="P92" s="50"/>
      <c r="Q92" s="50"/>
      <c r="R92" s="50"/>
      <c r="S92" s="50"/>
      <c r="T92" s="50"/>
      <c r="U92" s="50"/>
      <c r="V92" s="50"/>
      <c r="W92" s="50"/>
      <c r="X92" s="50"/>
      <c r="Y92" s="50"/>
      <c r="Z92" s="50"/>
    </row>
    <row r="93" spans="1:26" ht="15.75" customHeight="1">
      <c r="A93" s="50"/>
      <c r="B93" s="50"/>
      <c r="C93" s="50"/>
      <c r="D93" s="50"/>
      <c r="E93" s="50"/>
      <c r="F93" s="50"/>
      <c r="G93" s="50"/>
      <c r="H93" s="50"/>
      <c r="I93" s="50"/>
      <c r="J93" s="50"/>
      <c r="K93" s="70"/>
      <c r="L93" s="71"/>
      <c r="M93" s="50"/>
      <c r="N93" s="50"/>
      <c r="O93" s="50"/>
      <c r="P93" s="50"/>
      <c r="Q93" s="50"/>
      <c r="R93" s="50"/>
      <c r="S93" s="50"/>
      <c r="T93" s="50"/>
      <c r="U93" s="50"/>
      <c r="V93" s="50"/>
      <c r="W93" s="50"/>
      <c r="X93" s="50"/>
      <c r="Y93" s="50"/>
      <c r="Z93" s="50"/>
    </row>
    <row r="94" spans="1:26" ht="15.75" customHeight="1">
      <c r="A94" s="50"/>
      <c r="B94" s="50"/>
      <c r="C94" s="50"/>
      <c r="D94" s="50"/>
      <c r="E94" s="50"/>
      <c r="F94" s="50"/>
      <c r="G94" s="50"/>
      <c r="H94" s="50"/>
      <c r="I94" s="50"/>
      <c r="J94" s="50"/>
      <c r="K94" s="70"/>
      <c r="L94" s="71"/>
      <c r="M94" s="50"/>
      <c r="N94" s="50"/>
      <c r="O94" s="50"/>
      <c r="P94" s="50"/>
      <c r="Q94" s="50"/>
      <c r="R94" s="50"/>
      <c r="S94" s="50"/>
      <c r="T94" s="50"/>
      <c r="U94" s="50"/>
      <c r="V94" s="50"/>
      <c r="W94" s="50"/>
      <c r="X94" s="50"/>
      <c r="Y94" s="50"/>
      <c r="Z94" s="50"/>
    </row>
    <row r="95" spans="1:26" ht="15.75" customHeight="1">
      <c r="A95" s="50"/>
      <c r="B95" s="50"/>
      <c r="C95" s="50"/>
      <c r="D95" s="50"/>
      <c r="E95" s="50"/>
      <c r="F95" s="50"/>
      <c r="G95" s="50"/>
      <c r="H95" s="50"/>
      <c r="I95" s="50"/>
      <c r="J95" s="50"/>
      <c r="K95" s="70"/>
      <c r="L95" s="71"/>
      <c r="M95" s="50"/>
      <c r="N95" s="50"/>
      <c r="O95" s="50"/>
      <c r="P95" s="50"/>
      <c r="Q95" s="50"/>
      <c r="R95" s="50"/>
      <c r="S95" s="50"/>
      <c r="T95" s="50"/>
      <c r="U95" s="50"/>
      <c r="V95" s="50"/>
      <c r="W95" s="50"/>
      <c r="X95" s="50"/>
      <c r="Y95" s="50"/>
      <c r="Z95" s="50"/>
    </row>
    <row r="96" spans="1:26" ht="15.75" customHeight="1">
      <c r="A96" s="50"/>
      <c r="B96" s="50"/>
      <c r="C96" s="50"/>
      <c r="D96" s="50"/>
      <c r="E96" s="50"/>
      <c r="F96" s="50"/>
      <c r="G96" s="50"/>
      <c r="H96" s="50"/>
      <c r="I96" s="50"/>
      <c r="J96" s="50"/>
      <c r="K96" s="70"/>
      <c r="L96" s="71"/>
      <c r="M96" s="50"/>
      <c r="N96" s="50"/>
      <c r="O96" s="50"/>
      <c r="P96" s="50"/>
      <c r="Q96" s="50"/>
      <c r="R96" s="50"/>
      <c r="S96" s="50"/>
      <c r="T96" s="50"/>
      <c r="U96" s="50"/>
      <c r="V96" s="50"/>
      <c r="W96" s="50"/>
      <c r="X96" s="50"/>
      <c r="Y96" s="50"/>
      <c r="Z96" s="50"/>
    </row>
    <row r="97" spans="1:26" ht="15.75" customHeight="1">
      <c r="A97" s="50"/>
      <c r="B97" s="50"/>
      <c r="C97" s="50"/>
      <c r="D97" s="50"/>
      <c r="E97" s="50"/>
      <c r="F97" s="50"/>
      <c r="G97" s="50"/>
      <c r="H97" s="50"/>
      <c r="I97" s="50"/>
      <c r="J97" s="50"/>
      <c r="K97" s="70"/>
      <c r="L97" s="71"/>
      <c r="M97" s="50"/>
      <c r="N97" s="50"/>
      <c r="O97" s="50"/>
      <c r="P97" s="50"/>
      <c r="Q97" s="50"/>
      <c r="R97" s="50"/>
      <c r="S97" s="50"/>
      <c r="T97" s="50"/>
      <c r="U97" s="50"/>
      <c r="V97" s="50"/>
      <c r="W97" s="50"/>
      <c r="X97" s="50"/>
      <c r="Y97" s="50"/>
      <c r="Z97" s="50"/>
    </row>
    <row r="98" spans="1:26" ht="15.75" customHeight="1">
      <c r="A98" s="50"/>
      <c r="B98" s="50"/>
      <c r="C98" s="50"/>
      <c r="D98" s="50"/>
      <c r="E98" s="50"/>
      <c r="F98" s="50"/>
      <c r="G98" s="50"/>
      <c r="H98" s="50"/>
      <c r="I98" s="50"/>
      <c r="J98" s="50"/>
      <c r="K98" s="70"/>
      <c r="L98" s="71"/>
      <c r="M98" s="50"/>
      <c r="N98" s="50"/>
      <c r="O98" s="50"/>
      <c r="P98" s="50"/>
      <c r="Q98" s="50"/>
      <c r="R98" s="50"/>
      <c r="S98" s="50"/>
      <c r="T98" s="50"/>
      <c r="U98" s="50"/>
      <c r="V98" s="50"/>
      <c r="W98" s="50"/>
      <c r="X98" s="50"/>
      <c r="Y98" s="50"/>
      <c r="Z98" s="50"/>
    </row>
    <row r="99" spans="1:26" ht="15.75" customHeight="1">
      <c r="A99" s="50"/>
      <c r="B99" s="50"/>
      <c r="C99" s="50"/>
      <c r="D99" s="50"/>
      <c r="E99" s="50"/>
      <c r="F99" s="50"/>
      <c r="G99" s="50"/>
      <c r="H99" s="50"/>
      <c r="I99" s="50"/>
      <c r="J99" s="50"/>
      <c r="K99" s="70"/>
      <c r="L99" s="71"/>
      <c r="M99" s="50"/>
      <c r="N99" s="50"/>
      <c r="O99" s="50"/>
      <c r="P99" s="50"/>
      <c r="Q99" s="50"/>
      <c r="R99" s="50"/>
      <c r="S99" s="50"/>
      <c r="T99" s="50"/>
      <c r="U99" s="50"/>
      <c r="V99" s="50"/>
      <c r="W99" s="50"/>
      <c r="X99" s="50"/>
      <c r="Y99" s="50"/>
      <c r="Z99" s="50"/>
    </row>
    <row r="100" spans="1:26" ht="15.75" customHeight="1">
      <c r="A100" s="50"/>
      <c r="B100" s="50"/>
      <c r="C100" s="50"/>
      <c r="D100" s="50"/>
      <c r="E100" s="50"/>
      <c r="F100" s="50"/>
      <c r="G100" s="50"/>
      <c r="H100" s="50"/>
      <c r="I100" s="50"/>
      <c r="J100" s="50"/>
      <c r="K100" s="70"/>
      <c r="L100" s="71"/>
      <c r="M100" s="50"/>
      <c r="N100" s="50"/>
      <c r="O100" s="50"/>
      <c r="P100" s="50"/>
      <c r="Q100" s="50"/>
      <c r="R100" s="50"/>
      <c r="S100" s="50"/>
      <c r="T100" s="50"/>
      <c r="U100" s="50"/>
      <c r="V100" s="50"/>
      <c r="W100" s="50"/>
      <c r="X100" s="50"/>
      <c r="Y100" s="50"/>
      <c r="Z100" s="50"/>
    </row>
    <row r="101" spans="1:26" ht="15.75" customHeight="1">
      <c r="A101" s="50"/>
      <c r="B101" s="50"/>
      <c r="C101" s="50"/>
      <c r="D101" s="50"/>
      <c r="E101" s="50"/>
      <c r="F101" s="50"/>
      <c r="G101" s="50"/>
      <c r="H101" s="50"/>
      <c r="I101" s="50"/>
      <c r="J101" s="50"/>
      <c r="K101" s="70"/>
      <c r="L101" s="71"/>
      <c r="M101" s="50"/>
      <c r="N101" s="50"/>
      <c r="O101" s="50"/>
      <c r="P101" s="50"/>
      <c r="Q101" s="50"/>
      <c r="R101" s="50"/>
      <c r="S101" s="50"/>
      <c r="T101" s="50"/>
      <c r="U101" s="50"/>
      <c r="V101" s="50"/>
      <c r="W101" s="50"/>
      <c r="X101" s="50"/>
      <c r="Y101" s="50"/>
      <c r="Z101" s="50"/>
    </row>
    <row r="102" spans="1:26" ht="15.75" customHeight="1">
      <c r="A102" s="50"/>
      <c r="B102" s="50"/>
      <c r="C102" s="50"/>
      <c r="D102" s="50"/>
      <c r="E102" s="50"/>
      <c r="F102" s="50"/>
      <c r="G102" s="50"/>
      <c r="H102" s="50"/>
      <c r="I102" s="50"/>
      <c r="J102" s="50"/>
      <c r="K102" s="70"/>
      <c r="L102" s="71"/>
      <c r="M102" s="50"/>
      <c r="N102" s="50"/>
      <c r="O102" s="50"/>
      <c r="P102" s="50"/>
      <c r="Q102" s="50"/>
      <c r="R102" s="50"/>
      <c r="S102" s="50"/>
      <c r="T102" s="50"/>
      <c r="U102" s="50"/>
      <c r="V102" s="50"/>
      <c r="W102" s="50"/>
      <c r="X102" s="50"/>
      <c r="Y102" s="50"/>
      <c r="Z102" s="50"/>
    </row>
    <row r="103" spans="1:26" ht="15.75" customHeight="1">
      <c r="A103" s="50"/>
      <c r="B103" s="50"/>
      <c r="C103" s="50"/>
      <c r="D103" s="50"/>
      <c r="E103" s="50"/>
      <c r="F103" s="50"/>
      <c r="G103" s="50"/>
      <c r="H103" s="50"/>
      <c r="I103" s="50"/>
      <c r="J103" s="50"/>
      <c r="K103" s="70"/>
      <c r="L103" s="71"/>
      <c r="M103" s="50"/>
      <c r="N103" s="50"/>
      <c r="O103" s="50"/>
      <c r="P103" s="50"/>
      <c r="Q103" s="50"/>
      <c r="R103" s="50"/>
      <c r="S103" s="50"/>
      <c r="T103" s="50"/>
      <c r="U103" s="50"/>
      <c r="V103" s="50"/>
      <c r="W103" s="50"/>
      <c r="X103" s="50"/>
      <c r="Y103" s="50"/>
      <c r="Z103" s="50"/>
    </row>
    <row r="104" spans="1:26" ht="15.75" customHeight="1">
      <c r="A104" s="50"/>
      <c r="B104" s="50"/>
      <c r="C104" s="50"/>
      <c r="D104" s="50"/>
      <c r="E104" s="50"/>
      <c r="F104" s="50"/>
      <c r="G104" s="50"/>
      <c r="H104" s="50"/>
      <c r="I104" s="50"/>
      <c r="J104" s="50"/>
      <c r="K104" s="70"/>
      <c r="L104" s="71"/>
      <c r="M104" s="50"/>
      <c r="N104" s="50"/>
      <c r="O104" s="50"/>
      <c r="P104" s="50"/>
      <c r="Q104" s="50"/>
      <c r="R104" s="50"/>
      <c r="S104" s="50"/>
      <c r="T104" s="50"/>
      <c r="U104" s="50"/>
      <c r="V104" s="50"/>
      <c r="W104" s="50"/>
      <c r="X104" s="50"/>
      <c r="Y104" s="50"/>
      <c r="Z104" s="50"/>
    </row>
    <row r="105" spans="1:26" ht="15.75" customHeight="1">
      <c r="A105" s="50"/>
      <c r="B105" s="50"/>
      <c r="C105" s="50"/>
      <c r="D105" s="50"/>
      <c r="E105" s="50"/>
      <c r="F105" s="50"/>
      <c r="G105" s="50"/>
      <c r="H105" s="50"/>
      <c r="I105" s="50"/>
      <c r="J105" s="50"/>
      <c r="K105" s="70"/>
      <c r="L105" s="71"/>
      <c r="M105" s="50"/>
      <c r="N105" s="50"/>
      <c r="O105" s="50"/>
      <c r="P105" s="50"/>
      <c r="Q105" s="50"/>
      <c r="R105" s="50"/>
      <c r="S105" s="50"/>
      <c r="T105" s="50"/>
      <c r="U105" s="50"/>
      <c r="V105" s="50"/>
      <c r="W105" s="50"/>
      <c r="X105" s="50"/>
      <c r="Y105" s="50"/>
      <c r="Z105" s="50"/>
    </row>
    <row r="106" spans="1:26" ht="15.75" customHeight="1">
      <c r="A106" s="50"/>
      <c r="B106" s="50"/>
      <c r="C106" s="50"/>
      <c r="D106" s="50"/>
      <c r="E106" s="50"/>
      <c r="F106" s="50"/>
      <c r="G106" s="50"/>
      <c r="H106" s="50"/>
      <c r="I106" s="50"/>
      <c r="J106" s="50"/>
      <c r="K106" s="70"/>
      <c r="L106" s="71"/>
      <c r="M106" s="50"/>
      <c r="N106" s="50"/>
      <c r="O106" s="50"/>
      <c r="P106" s="50"/>
      <c r="Q106" s="50"/>
      <c r="R106" s="50"/>
      <c r="S106" s="50"/>
      <c r="T106" s="50"/>
      <c r="U106" s="50"/>
      <c r="V106" s="50"/>
      <c r="W106" s="50"/>
      <c r="X106" s="50"/>
      <c r="Y106" s="50"/>
      <c r="Z106" s="50"/>
    </row>
    <row r="107" spans="1:26" ht="15.75" customHeight="1">
      <c r="A107" s="50"/>
      <c r="B107" s="50"/>
      <c r="C107" s="50"/>
      <c r="D107" s="50"/>
      <c r="E107" s="50"/>
      <c r="F107" s="50"/>
      <c r="G107" s="50"/>
      <c r="H107" s="50"/>
      <c r="I107" s="50"/>
      <c r="J107" s="50"/>
      <c r="K107" s="70"/>
      <c r="L107" s="71"/>
      <c r="M107" s="50"/>
      <c r="N107" s="50"/>
      <c r="O107" s="50"/>
      <c r="P107" s="50"/>
      <c r="Q107" s="50"/>
      <c r="R107" s="50"/>
      <c r="S107" s="50"/>
      <c r="T107" s="50"/>
      <c r="U107" s="50"/>
      <c r="V107" s="50"/>
      <c r="W107" s="50"/>
      <c r="X107" s="50"/>
      <c r="Y107" s="50"/>
      <c r="Z107" s="50"/>
    </row>
    <row r="108" spans="1:26" ht="15.75" customHeight="1">
      <c r="A108" s="50"/>
      <c r="B108" s="50"/>
      <c r="C108" s="50"/>
      <c r="D108" s="50"/>
      <c r="E108" s="50"/>
      <c r="F108" s="50"/>
      <c r="G108" s="50"/>
      <c r="H108" s="50"/>
      <c r="I108" s="50"/>
      <c r="J108" s="50"/>
      <c r="K108" s="70"/>
      <c r="L108" s="71"/>
      <c r="M108" s="50"/>
      <c r="N108" s="50"/>
      <c r="O108" s="50"/>
      <c r="P108" s="50"/>
      <c r="Q108" s="50"/>
      <c r="R108" s="50"/>
      <c r="S108" s="50"/>
      <c r="T108" s="50"/>
      <c r="U108" s="50"/>
      <c r="V108" s="50"/>
      <c r="W108" s="50"/>
      <c r="X108" s="50"/>
      <c r="Y108" s="50"/>
      <c r="Z108" s="50"/>
    </row>
    <row r="109" spans="1:26" ht="15.75" customHeight="1">
      <c r="A109" s="50"/>
      <c r="B109" s="50"/>
      <c r="C109" s="50"/>
      <c r="D109" s="50"/>
      <c r="E109" s="50"/>
      <c r="F109" s="50"/>
      <c r="G109" s="50"/>
      <c r="H109" s="50"/>
      <c r="I109" s="50"/>
      <c r="J109" s="50"/>
      <c r="K109" s="70"/>
      <c r="L109" s="71"/>
      <c r="M109" s="50"/>
      <c r="N109" s="50"/>
      <c r="O109" s="50"/>
      <c r="P109" s="50"/>
      <c r="Q109" s="50"/>
      <c r="R109" s="50"/>
      <c r="S109" s="50"/>
      <c r="T109" s="50"/>
      <c r="U109" s="50"/>
      <c r="V109" s="50"/>
      <c r="W109" s="50"/>
      <c r="X109" s="50"/>
      <c r="Y109" s="50"/>
      <c r="Z109" s="50"/>
    </row>
    <row r="110" spans="1:26" ht="15.75" customHeight="1">
      <c r="A110" s="50"/>
      <c r="B110" s="50"/>
      <c r="C110" s="50"/>
      <c r="D110" s="50"/>
      <c r="E110" s="50"/>
      <c r="F110" s="50"/>
      <c r="G110" s="50"/>
      <c r="H110" s="50"/>
      <c r="I110" s="50"/>
      <c r="J110" s="50"/>
      <c r="K110" s="70"/>
      <c r="L110" s="71"/>
      <c r="M110" s="50"/>
      <c r="N110" s="50"/>
      <c r="O110" s="50"/>
      <c r="P110" s="50"/>
      <c r="Q110" s="50"/>
      <c r="R110" s="50"/>
      <c r="S110" s="50"/>
      <c r="T110" s="50"/>
      <c r="U110" s="50"/>
      <c r="V110" s="50"/>
      <c r="W110" s="50"/>
      <c r="X110" s="50"/>
      <c r="Y110" s="50"/>
      <c r="Z110" s="50"/>
    </row>
    <row r="111" spans="1:26" ht="15.75" customHeight="1">
      <c r="A111" s="50"/>
      <c r="B111" s="50"/>
      <c r="C111" s="50"/>
      <c r="D111" s="50"/>
      <c r="E111" s="50"/>
      <c r="F111" s="50"/>
      <c r="G111" s="50"/>
      <c r="H111" s="50"/>
      <c r="I111" s="50"/>
      <c r="J111" s="50"/>
      <c r="K111" s="70"/>
      <c r="L111" s="71"/>
      <c r="M111" s="50"/>
      <c r="N111" s="50"/>
      <c r="O111" s="50"/>
      <c r="P111" s="50"/>
      <c r="Q111" s="50"/>
      <c r="R111" s="50"/>
      <c r="S111" s="50"/>
      <c r="T111" s="50"/>
      <c r="U111" s="50"/>
      <c r="V111" s="50"/>
      <c r="W111" s="50"/>
      <c r="X111" s="50"/>
      <c r="Y111" s="50"/>
      <c r="Z111" s="50"/>
    </row>
    <row r="112" spans="1:26" ht="15.75" customHeight="1">
      <c r="A112" s="50"/>
      <c r="B112" s="50"/>
      <c r="C112" s="50"/>
      <c r="D112" s="50"/>
      <c r="E112" s="50"/>
      <c r="F112" s="50"/>
      <c r="G112" s="50"/>
      <c r="H112" s="50"/>
      <c r="I112" s="50"/>
      <c r="J112" s="50"/>
      <c r="K112" s="70"/>
      <c r="L112" s="71"/>
      <c r="M112" s="50"/>
      <c r="N112" s="50"/>
      <c r="O112" s="50"/>
      <c r="P112" s="50"/>
      <c r="Q112" s="50"/>
      <c r="R112" s="50"/>
      <c r="S112" s="50"/>
      <c r="T112" s="50"/>
      <c r="U112" s="50"/>
      <c r="V112" s="50"/>
      <c r="W112" s="50"/>
      <c r="X112" s="50"/>
      <c r="Y112" s="50"/>
      <c r="Z112" s="50"/>
    </row>
    <row r="113" spans="1:26" ht="15.75" customHeight="1">
      <c r="A113" s="50"/>
      <c r="B113" s="50"/>
      <c r="C113" s="50"/>
      <c r="D113" s="50"/>
      <c r="E113" s="50"/>
      <c r="F113" s="50"/>
      <c r="G113" s="50"/>
      <c r="H113" s="50"/>
      <c r="I113" s="50"/>
      <c r="J113" s="50"/>
      <c r="K113" s="70"/>
      <c r="L113" s="71"/>
      <c r="M113" s="50"/>
      <c r="N113" s="50"/>
      <c r="O113" s="50"/>
      <c r="P113" s="50"/>
      <c r="Q113" s="50"/>
      <c r="R113" s="50"/>
      <c r="S113" s="50"/>
      <c r="T113" s="50"/>
      <c r="U113" s="50"/>
      <c r="V113" s="50"/>
      <c r="W113" s="50"/>
      <c r="X113" s="50"/>
      <c r="Y113" s="50"/>
      <c r="Z113" s="50"/>
    </row>
    <row r="114" spans="1:26" ht="15.75" customHeight="1">
      <c r="A114" s="50"/>
      <c r="B114" s="50"/>
      <c r="C114" s="50"/>
      <c r="D114" s="50"/>
      <c r="E114" s="50"/>
      <c r="F114" s="50"/>
      <c r="G114" s="50"/>
      <c r="H114" s="50"/>
      <c r="I114" s="50"/>
      <c r="J114" s="50"/>
      <c r="K114" s="70"/>
      <c r="L114" s="71"/>
      <c r="M114" s="50"/>
      <c r="N114" s="50"/>
      <c r="O114" s="50"/>
      <c r="P114" s="50"/>
      <c r="Q114" s="50"/>
      <c r="R114" s="50"/>
      <c r="S114" s="50"/>
      <c r="T114" s="50"/>
      <c r="U114" s="50"/>
      <c r="V114" s="50"/>
      <c r="W114" s="50"/>
      <c r="X114" s="50"/>
      <c r="Y114" s="50"/>
      <c r="Z114" s="50"/>
    </row>
    <row r="115" spans="1:26" ht="15.75" customHeight="1">
      <c r="A115" s="50"/>
      <c r="B115" s="50"/>
      <c r="C115" s="50"/>
      <c r="D115" s="50"/>
      <c r="E115" s="50"/>
      <c r="F115" s="50"/>
      <c r="G115" s="50"/>
      <c r="H115" s="50"/>
      <c r="I115" s="50"/>
      <c r="J115" s="50"/>
      <c r="K115" s="70"/>
      <c r="L115" s="71"/>
      <c r="M115" s="50"/>
      <c r="N115" s="50"/>
      <c r="O115" s="50"/>
      <c r="P115" s="50"/>
      <c r="Q115" s="50"/>
      <c r="R115" s="50"/>
      <c r="S115" s="50"/>
      <c r="T115" s="50"/>
      <c r="U115" s="50"/>
      <c r="V115" s="50"/>
      <c r="W115" s="50"/>
      <c r="X115" s="50"/>
      <c r="Y115" s="50"/>
      <c r="Z115" s="50"/>
    </row>
    <row r="116" spans="1:26" ht="15.75" customHeight="1">
      <c r="A116" s="50"/>
      <c r="B116" s="50"/>
      <c r="C116" s="50"/>
      <c r="D116" s="50"/>
      <c r="E116" s="50"/>
      <c r="F116" s="50"/>
      <c r="G116" s="50"/>
      <c r="H116" s="50"/>
      <c r="I116" s="50"/>
      <c r="J116" s="50"/>
      <c r="K116" s="70"/>
      <c r="L116" s="71"/>
      <c r="M116" s="50"/>
      <c r="N116" s="50"/>
      <c r="O116" s="50"/>
      <c r="P116" s="50"/>
      <c r="Q116" s="50"/>
      <c r="R116" s="50"/>
      <c r="S116" s="50"/>
      <c r="T116" s="50"/>
      <c r="U116" s="50"/>
      <c r="V116" s="50"/>
      <c r="W116" s="50"/>
      <c r="X116" s="50"/>
      <c r="Y116" s="50"/>
      <c r="Z116" s="50"/>
    </row>
    <row r="117" spans="1:26" ht="15.75" customHeight="1">
      <c r="A117" s="50"/>
      <c r="B117" s="50"/>
      <c r="C117" s="50"/>
      <c r="D117" s="50"/>
      <c r="E117" s="50"/>
      <c r="F117" s="50"/>
      <c r="G117" s="50"/>
      <c r="H117" s="50"/>
      <c r="I117" s="50"/>
      <c r="J117" s="50"/>
      <c r="K117" s="70"/>
      <c r="L117" s="71"/>
      <c r="M117" s="50"/>
      <c r="N117" s="50"/>
      <c r="O117" s="50"/>
      <c r="P117" s="50"/>
      <c r="Q117" s="50"/>
      <c r="R117" s="50"/>
      <c r="S117" s="50"/>
      <c r="T117" s="50"/>
      <c r="U117" s="50"/>
      <c r="V117" s="50"/>
      <c r="W117" s="50"/>
      <c r="X117" s="50"/>
      <c r="Y117" s="50"/>
      <c r="Z117" s="50"/>
    </row>
    <row r="118" spans="1:26" ht="15.75" customHeight="1">
      <c r="A118" s="50"/>
      <c r="B118" s="50"/>
      <c r="C118" s="50"/>
      <c r="D118" s="50"/>
      <c r="E118" s="50"/>
      <c r="F118" s="50"/>
      <c r="G118" s="50"/>
      <c r="H118" s="50"/>
      <c r="I118" s="50"/>
      <c r="J118" s="50"/>
      <c r="K118" s="70"/>
      <c r="L118" s="71"/>
      <c r="M118" s="50"/>
      <c r="N118" s="50"/>
      <c r="O118" s="50"/>
      <c r="P118" s="50"/>
      <c r="Q118" s="50"/>
      <c r="R118" s="50"/>
      <c r="S118" s="50"/>
      <c r="T118" s="50"/>
      <c r="U118" s="50"/>
      <c r="V118" s="50"/>
      <c r="W118" s="50"/>
      <c r="X118" s="50"/>
      <c r="Y118" s="50"/>
      <c r="Z118" s="50"/>
    </row>
    <row r="119" spans="1:26" ht="15.75" customHeight="1">
      <c r="A119" s="50"/>
      <c r="B119" s="50"/>
      <c r="C119" s="50"/>
      <c r="D119" s="50"/>
      <c r="E119" s="50"/>
      <c r="F119" s="50"/>
      <c r="G119" s="50"/>
      <c r="H119" s="50"/>
      <c r="I119" s="50"/>
      <c r="J119" s="50"/>
      <c r="K119" s="70"/>
      <c r="L119" s="71"/>
      <c r="M119" s="50"/>
      <c r="N119" s="50"/>
      <c r="O119" s="50"/>
      <c r="P119" s="50"/>
      <c r="Q119" s="50"/>
      <c r="R119" s="50"/>
      <c r="S119" s="50"/>
      <c r="T119" s="50"/>
      <c r="U119" s="50"/>
      <c r="V119" s="50"/>
      <c r="W119" s="50"/>
      <c r="X119" s="50"/>
      <c r="Y119" s="50"/>
      <c r="Z119" s="50"/>
    </row>
    <row r="120" spans="1:26" ht="15.75" customHeight="1">
      <c r="A120" s="50"/>
      <c r="B120" s="50"/>
      <c r="C120" s="50"/>
      <c r="D120" s="50"/>
      <c r="E120" s="50"/>
      <c r="F120" s="50"/>
      <c r="G120" s="50"/>
      <c r="H120" s="50"/>
      <c r="I120" s="50"/>
      <c r="J120" s="50"/>
      <c r="K120" s="70"/>
      <c r="L120" s="71"/>
      <c r="M120" s="50"/>
      <c r="N120" s="50"/>
      <c r="O120" s="50"/>
      <c r="P120" s="50"/>
      <c r="Q120" s="50"/>
      <c r="R120" s="50"/>
      <c r="S120" s="50"/>
      <c r="T120" s="50"/>
      <c r="U120" s="50"/>
      <c r="V120" s="50"/>
      <c r="W120" s="50"/>
      <c r="X120" s="50"/>
      <c r="Y120" s="50"/>
      <c r="Z120" s="50"/>
    </row>
    <row r="121" spans="1:26" ht="15.75" customHeight="1">
      <c r="A121" s="50"/>
      <c r="B121" s="50"/>
      <c r="C121" s="50"/>
      <c r="D121" s="50"/>
      <c r="E121" s="50"/>
      <c r="F121" s="50"/>
      <c r="G121" s="50"/>
      <c r="H121" s="50"/>
      <c r="I121" s="50"/>
      <c r="J121" s="50"/>
      <c r="K121" s="70"/>
      <c r="L121" s="71"/>
      <c r="M121" s="50"/>
      <c r="N121" s="50"/>
      <c r="O121" s="50"/>
      <c r="P121" s="50"/>
      <c r="Q121" s="50"/>
      <c r="R121" s="50"/>
      <c r="S121" s="50"/>
      <c r="T121" s="50"/>
      <c r="U121" s="50"/>
      <c r="V121" s="50"/>
      <c r="W121" s="50"/>
      <c r="X121" s="50"/>
      <c r="Y121" s="50"/>
      <c r="Z121" s="50"/>
    </row>
    <row r="122" spans="1:26" ht="15.75" customHeight="1">
      <c r="A122" s="50"/>
      <c r="B122" s="50"/>
      <c r="C122" s="50"/>
      <c r="D122" s="50"/>
      <c r="E122" s="50"/>
      <c r="F122" s="50"/>
      <c r="G122" s="50"/>
      <c r="H122" s="50"/>
      <c r="I122" s="50"/>
      <c r="J122" s="50"/>
      <c r="K122" s="70"/>
      <c r="L122" s="71"/>
      <c r="M122" s="50"/>
      <c r="N122" s="50"/>
      <c r="O122" s="50"/>
      <c r="P122" s="50"/>
      <c r="Q122" s="50"/>
      <c r="R122" s="50"/>
      <c r="S122" s="50"/>
      <c r="T122" s="50"/>
      <c r="U122" s="50"/>
      <c r="V122" s="50"/>
      <c r="W122" s="50"/>
      <c r="X122" s="50"/>
      <c r="Y122" s="50"/>
      <c r="Z122" s="50"/>
    </row>
    <row r="123" spans="1:26" ht="15.75" customHeight="1">
      <c r="A123" s="50"/>
      <c r="B123" s="50"/>
      <c r="C123" s="50"/>
      <c r="D123" s="50"/>
      <c r="E123" s="50"/>
      <c r="F123" s="50"/>
      <c r="G123" s="50"/>
      <c r="H123" s="50"/>
      <c r="I123" s="50"/>
      <c r="J123" s="50"/>
      <c r="K123" s="70"/>
      <c r="L123" s="71"/>
      <c r="M123" s="50"/>
      <c r="N123" s="50"/>
      <c r="O123" s="50"/>
      <c r="P123" s="50"/>
      <c r="Q123" s="50"/>
      <c r="R123" s="50"/>
      <c r="S123" s="50"/>
      <c r="T123" s="50"/>
      <c r="U123" s="50"/>
      <c r="V123" s="50"/>
      <c r="W123" s="50"/>
      <c r="X123" s="50"/>
      <c r="Y123" s="50"/>
      <c r="Z123" s="50"/>
    </row>
    <row r="124" spans="1:26" ht="15.75" customHeight="1">
      <c r="A124" s="50"/>
      <c r="B124" s="50"/>
      <c r="C124" s="50"/>
      <c r="D124" s="50"/>
      <c r="E124" s="50"/>
      <c r="F124" s="50"/>
      <c r="G124" s="50"/>
      <c r="H124" s="50"/>
      <c r="I124" s="50"/>
      <c r="J124" s="50"/>
      <c r="K124" s="70"/>
      <c r="L124" s="71"/>
      <c r="M124" s="50"/>
      <c r="N124" s="50"/>
      <c r="O124" s="50"/>
      <c r="P124" s="50"/>
      <c r="Q124" s="50"/>
      <c r="R124" s="50"/>
      <c r="S124" s="50"/>
      <c r="T124" s="50"/>
      <c r="U124" s="50"/>
      <c r="V124" s="50"/>
      <c r="W124" s="50"/>
      <c r="X124" s="50"/>
      <c r="Y124" s="50"/>
      <c r="Z124" s="50"/>
    </row>
    <row r="125" spans="1:26" ht="15.75" customHeight="1">
      <c r="A125" s="50"/>
      <c r="B125" s="50"/>
      <c r="C125" s="50"/>
      <c r="D125" s="50"/>
      <c r="E125" s="50"/>
      <c r="F125" s="50"/>
      <c r="G125" s="50"/>
      <c r="H125" s="50"/>
      <c r="I125" s="50"/>
      <c r="J125" s="50"/>
      <c r="K125" s="70"/>
      <c r="L125" s="71"/>
      <c r="M125" s="50"/>
      <c r="N125" s="50"/>
      <c r="O125" s="50"/>
      <c r="P125" s="50"/>
      <c r="Q125" s="50"/>
      <c r="R125" s="50"/>
      <c r="S125" s="50"/>
      <c r="T125" s="50"/>
      <c r="U125" s="50"/>
      <c r="V125" s="50"/>
      <c r="W125" s="50"/>
      <c r="X125" s="50"/>
      <c r="Y125" s="50"/>
      <c r="Z125" s="50"/>
    </row>
    <row r="126" spans="1:26" ht="15.75" customHeight="1">
      <c r="A126" s="50"/>
      <c r="B126" s="50"/>
      <c r="C126" s="50"/>
      <c r="D126" s="50"/>
      <c r="E126" s="50"/>
      <c r="F126" s="50"/>
      <c r="G126" s="50"/>
      <c r="H126" s="50"/>
      <c r="I126" s="50"/>
      <c r="J126" s="50"/>
      <c r="K126" s="70"/>
      <c r="L126" s="71"/>
      <c r="M126" s="50"/>
      <c r="N126" s="50"/>
      <c r="O126" s="50"/>
      <c r="P126" s="50"/>
      <c r="Q126" s="50"/>
      <c r="R126" s="50"/>
      <c r="S126" s="50"/>
      <c r="T126" s="50"/>
      <c r="U126" s="50"/>
      <c r="V126" s="50"/>
      <c r="W126" s="50"/>
      <c r="X126" s="50"/>
      <c r="Y126" s="50"/>
      <c r="Z126" s="50"/>
    </row>
    <row r="127" spans="1:26" ht="15.75" customHeight="1">
      <c r="A127" s="50"/>
      <c r="B127" s="50"/>
      <c r="C127" s="50"/>
      <c r="D127" s="50"/>
      <c r="E127" s="50"/>
      <c r="F127" s="50"/>
      <c r="G127" s="50"/>
      <c r="H127" s="50"/>
      <c r="I127" s="50"/>
      <c r="J127" s="50"/>
      <c r="K127" s="70"/>
      <c r="L127" s="71"/>
      <c r="M127" s="50"/>
      <c r="N127" s="50"/>
      <c r="O127" s="50"/>
      <c r="P127" s="50"/>
      <c r="Q127" s="50"/>
      <c r="R127" s="50"/>
      <c r="S127" s="50"/>
      <c r="T127" s="50"/>
      <c r="U127" s="50"/>
      <c r="V127" s="50"/>
      <c r="W127" s="50"/>
      <c r="X127" s="50"/>
      <c r="Y127" s="50"/>
      <c r="Z127" s="50"/>
    </row>
    <row r="128" spans="1:26" ht="15.75" customHeight="1">
      <c r="A128" s="50"/>
      <c r="B128" s="50"/>
      <c r="C128" s="50"/>
      <c r="D128" s="50"/>
      <c r="E128" s="50"/>
      <c r="F128" s="50"/>
      <c r="G128" s="50"/>
      <c r="H128" s="50"/>
      <c r="I128" s="50"/>
      <c r="J128" s="50"/>
      <c r="K128" s="70"/>
      <c r="L128" s="71"/>
      <c r="M128" s="50"/>
      <c r="N128" s="50"/>
      <c r="O128" s="50"/>
      <c r="P128" s="50"/>
      <c r="Q128" s="50"/>
      <c r="R128" s="50"/>
      <c r="S128" s="50"/>
      <c r="T128" s="50"/>
      <c r="U128" s="50"/>
      <c r="V128" s="50"/>
      <c r="W128" s="50"/>
      <c r="X128" s="50"/>
      <c r="Y128" s="50"/>
      <c r="Z128" s="50"/>
    </row>
    <row r="129" spans="1:26" ht="15.75" customHeight="1">
      <c r="A129" s="50"/>
      <c r="B129" s="50"/>
      <c r="C129" s="50"/>
      <c r="D129" s="50"/>
      <c r="E129" s="50"/>
      <c r="F129" s="50"/>
      <c r="G129" s="50"/>
      <c r="H129" s="50"/>
      <c r="I129" s="50"/>
      <c r="J129" s="50"/>
      <c r="K129" s="70"/>
      <c r="L129" s="71"/>
      <c r="M129" s="50"/>
      <c r="N129" s="50"/>
      <c r="O129" s="50"/>
      <c r="P129" s="50"/>
      <c r="Q129" s="50"/>
      <c r="R129" s="50"/>
      <c r="S129" s="50"/>
      <c r="T129" s="50"/>
      <c r="U129" s="50"/>
      <c r="V129" s="50"/>
      <c r="W129" s="50"/>
      <c r="X129" s="50"/>
      <c r="Y129" s="50"/>
      <c r="Z129" s="50"/>
    </row>
    <row r="130" spans="1:26" ht="15.75" customHeight="1">
      <c r="A130" s="50"/>
      <c r="B130" s="50"/>
      <c r="C130" s="50"/>
      <c r="D130" s="50"/>
      <c r="E130" s="50"/>
      <c r="F130" s="50"/>
      <c r="G130" s="50"/>
      <c r="H130" s="50"/>
      <c r="I130" s="50"/>
      <c r="J130" s="50"/>
      <c r="K130" s="70"/>
      <c r="L130" s="71"/>
      <c r="M130" s="50"/>
      <c r="N130" s="50"/>
      <c r="O130" s="50"/>
      <c r="P130" s="50"/>
      <c r="Q130" s="50"/>
      <c r="R130" s="50"/>
      <c r="S130" s="50"/>
      <c r="T130" s="50"/>
      <c r="U130" s="50"/>
      <c r="V130" s="50"/>
      <c r="W130" s="50"/>
      <c r="X130" s="50"/>
      <c r="Y130" s="50"/>
      <c r="Z130" s="50"/>
    </row>
    <row r="131" spans="1:26" ht="15.75" customHeight="1">
      <c r="A131" s="50"/>
      <c r="B131" s="50"/>
      <c r="C131" s="50"/>
      <c r="D131" s="50"/>
      <c r="E131" s="50"/>
      <c r="F131" s="50"/>
      <c r="G131" s="50"/>
      <c r="H131" s="50"/>
      <c r="I131" s="50"/>
      <c r="J131" s="50"/>
      <c r="K131" s="70"/>
      <c r="L131" s="71"/>
      <c r="M131" s="50"/>
      <c r="N131" s="50"/>
      <c r="O131" s="50"/>
      <c r="P131" s="50"/>
      <c r="Q131" s="50"/>
      <c r="R131" s="50"/>
      <c r="S131" s="50"/>
      <c r="T131" s="50"/>
      <c r="U131" s="50"/>
      <c r="V131" s="50"/>
      <c r="W131" s="50"/>
      <c r="X131" s="50"/>
      <c r="Y131" s="50"/>
      <c r="Z131" s="50"/>
    </row>
    <row r="132" spans="1:26" ht="15.75" customHeight="1">
      <c r="A132" s="50"/>
      <c r="B132" s="50"/>
      <c r="C132" s="50"/>
      <c r="D132" s="50"/>
      <c r="E132" s="50"/>
      <c r="F132" s="50"/>
      <c r="G132" s="50"/>
      <c r="H132" s="50"/>
      <c r="I132" s="50"/>
      <c r="J132" s="50"/>
      <c r="K132" s="70"/>
      <c r="L132" s="71"/>
      <c r="M132" s="50"/>
      <c r="N132" s="50"/>
      <c r="O132" s="50"/>
      <c r="P132" s="50"/>
      <c r="Q132" s="50"/>
      <c r="R132" s="50"/>
      <c r="S132" s="50"/>
      <c r="T132" s="50"/>
      <c r="U132" s="50"/>
      <c r="V132" s="50"/>
      <c r="W132" s="50"/>
      <c r="X132" s="50"/>
      <c r="Y132" s="50"/>
      <c r="Z132" s="50"/>
    </row>
    <row r="133" spans="1:26" ht="15.75" customHeight="1">
      <c r="A133" s="50"/>
      <c r="B133" s="50"/>
      <c r="C133" s="50"/>
      <c r="D133" s="50"/>
      <c r="E133" s="50"/>
      <c r="F133" s="50"/>
      <c r="G133" s="50"/>
      <c r="H133" s="50"/>
      <c r="I133" s="50"/>
      <c r="J133" s="50"/>
      <c r="K133" s="70"/>
      <c r="L133" s="71"/>
      <c r="M133" s="50"/>
      <c r="N133" s="50"/>
      <c r="O133" s="50"/>
      <c r="P133" s="50"/>
      <c r="Q133" s="50"/>
      <c r="R133" s="50"/>
      <c r="S133" s="50"/>
      <c r="T133" s="50"/>
      <c r="U133" s="50"/>
      <c r="V133" s="50"/>
      <c r="W133" s="50"/>
      <c r="X133" s="50"/>
      <c r="Y133" s="50"/>
      <c r="Z133" s="50"/>
    </row>
    <row r="134" spans="1:26" ht="15.75" customHeight="1">
      <c r="A134" s="50"/>
      <c r="B134" s="50"/>
      <c r="C134" s="50"/>
      <c r="D134" s="50"/>
      <c r="E134" s="50"/>
      <c r="F134" s="50"/>
      <c r="G134" s="50"/>
      <c r="H134" s="50"/>
      <c r="I134" s="50"/>
      <c r="J134" s="50"/>
      <c r="K134" s="70"/>
      <c r="L134" s="71"/>
      <c r="M134" s="50"/>
      <c r="N134" s="50"/>
      <c r="O134" s="50"/>
      <c r="P134" s="50"/>
      <c r="Q134" s="50"/>
      <c r="R134" s="50"/>
      <c r="S134" s="50"/>
      <c r="T134" s="50"/>
      <c r="U134" s="50"/>
      <c r="V134" s="50"/>
      <c r="W134" s="50"/>
      <c r="X134" s="50"/>
      <c r="Y134" s="50"/>
      <c r="Z134" s="50"/>
    </row>
    <row r="135" spans="1:26" ht="15.75" customHeight="1">
      <c r="A135" s="50"/>
      <c r="B135" s="50"/>
      <c r="C135" s="50"/>
      <c r="D135" s="50"/>
      <c r="E135" s="50"/>
      <c r="F135" s="50"/>
      <c r="G135" s="50"/>
      <c r="H135" s="50"/>
      <c r="I135" s="50"/>
      <c r="J135" s="50"/>
      <c r="K135" s="70"/>
      <c r="L135" s="71"/>
      <c r="M135" s="50"/>
      <c r="N135" s="50"/>
      <c r="O135" s="50"/>
      <c r="P135" s="50"/>
      <c r="Q135" s="50"/>
      <c r="R135" s="50"/>
      <c r="S135" s="50"/>
      <c r="T135" s="50"/>
      <c r="U135" s="50"/>
      <c r="V135" s="50"/>
      <c r="W135" s="50"/>
      <c r="X135" s="50"/>
      <c r="Y135" s="50"/>
      <c r="Z135" s="50"/>
    </row>
    <row r="136" spans="1:26" ht="15.75" customHeight="1">
      <c r="A136" s="50"/>
      <c r="B136" s="50"/>
      <c r="C136" s="50"/>
      <c r="D136" s="50"/>
      <c r="E136" s="50"/>
      <c r="F136" s="50"/>
      <c r="G136" s="50"/>
      <c r="H136" s="50"/>
      <c r="I136" s="50"/>
      <c r="J136" s="50"/>
      <c r="K136" s="70"/>
      <c r="L136" s="71"/>
      <c r="M136" s="50"/>
      <c r="N136" s="50"/>
      <c r="O136" s="50"/>
      <c r="P136" s="50"/>
      <c r="Q136" s="50"/>
      <c r="R136" s="50"/>
      <c r="S136" s="50"/>
      <c r="T136" s="50"/>
      <c r="U136" s="50"/>
      <c r="V136" s="50"/>
      <c r="W136" s="50"/>
      <c r="X136" s="50"/>
      <c r="Y136" s="50"/>
      <c r="Z136" s="50"/>
    </row>
    <row r="137" spans="1:26" ht="15.75" customHeight="1">
      <c r="A137" s="50"/>
      <c r="B137" s="50"/>
      <c r="C137" s="50"/>
      <c r="D137" s="50"/>
      <c r="E137" s="50"/>
      <c r="F137" s="50"/>
      <c r="G137" s="50"/>
      <c r="H137" s="50"/>
      <c r="I137" s="50"/>
      <c r="J137" s="50"/>
      <c r="K137" s="70"/>
      <c r="L137" s="71"/>
      <c r="M137" s="50"/>
      <c r="N137" s="50"/>
      <c r="O137" s="50"/>
      <c r="P137" s="50"/>
      <c r="Q137" s="50"/>
      <c r="R137" s="50"/>
      <c r="S137" s="50"/>
      <c r="T137" s="50"/>
      <c r="U137" s="50"/>
      <c r="V137" s="50"/>
      <c r="W137" s="50"/>
      <c r="X137" s="50"/>
      <c r="Y137" s="50"/>
      <c r="Z137" s="50"/>
    </row>
    <row r="138" spans="1:26" ht="15.75" customHeight="1">
      <c r="A138" s="50"/>
      <c r="B138" s="50"/>
      <c r="C138" s="50"/>
      <c r="D138" s="50"/>
      <c r="E138" s="50"/>
      <c r="F138" s="50"/>
      <c r="G138" s="50"/>
      <c r="H138" s="50"/>
      <c r="I138" s="50"/>
      <c r="J138" s="50"/>
      <c r="K138" s="70"/>
      <c r="L138" s="71"/>
      <c r="M138" s="50"/>
      <c r="N138" s="50"/>
      <c r="O138" s="50"/>
      <c r="P138" s="50"/>
      <c r="Q138" s="50"/>
      <c r="R138" s="50"/>
      <c r="S138" s="50"/>
      <c r="T138" s="50"/>
      <c r="U138" s="50"/>
      <c r="V138" s="50"/>
      <c r="W138" s="50"/>
      <c r="X138" s="50"/>
      <c r="Y138" s="50"/>
      <c r="Z138" s="50"/>
    </row>
    <row r="139" spans="1:26" ht="15.75" customHeight="1">
      <c r="A139" s="50"/>
      <c r="B139" s="50"/>
      <c r="C139" s="50"/>
      <c r="D139" s="50"/>
      <c r="E139" s="50"/>
      <c r="F139" s="50"/>
      <c r="G139" s="50"/>
      <c r="H139" s="50"/>
      <c r="I139" s="50"/>
      <c r="J139" s="50"/>
      <c r="K139" s="70"/>
      <c r="L139" s="71"/>
      <c r="M139" s="50"/>
      <c r="N139" s="50"/>
      <c r="O139" s="50"/>
      <c r="P139" s="50"/>
      <c r="Q139" s="50"/>
      <c r="R139" s="50"/>
      <c r="S139" s="50"/>
      <c r="T139" s="50"/>
      <c r="U139" s="50"/>
      <c r="V139" s="50"/>
      <c r="W139" s="50"/>
      <c r="X139" s="50"/>
      <c r="Y139" s="50"/>
      <c r="Z139" s="50"/>
    </row>
    <row r="140" spans="1:26" ht="15.75" customHeight="1">
      <c r="A140" s="50"/>
      <c r="B140" s="50"/>
      <c r="C140" s="50"/>
      <c r="D140" s="50"/>
      <c r="E140" s="50"/>
      <c r="F140" s="50"/>
      <c r="G140" s="50"/>
      <c r="H140" s="50"/>
      <c r="I140" s="50"/>
      <c r="J140" s="50"/>
      <c r="K140" s="70"/>
      <c r="L140" s="71"/>
      <c r="M140" s="50"/>
      <c r="N140" s="50"/>
      <c r="O140" s="50"/>
      <c r="P140" s="50"/>
      <c r="Q140" s="50"/>
      <c r="R140" s="50"/>
      <c r="S140" s="50"/>
      <c r="T140" s="50"/>
      <c r="U140" s="50"/>
      <c r="V140" s="50"/>
      <c r="W140" s="50"/>
      <c r="X140" s="50"/>
      <c r="Y140" s="50"/>
      <c r="Z140" s="50"/>
    </row>
    <row r="141" spans="1:26" ht="15.75" customHeight="1">
      <c r="A141" s="50"/>
      <c r="B141" s="50"/>
      <c r="C141" s="50"/>
      <c r="D141" s="50"/>
      <c r="E141" s="50"/>
      <c r="F141" s="50"/>
      <c r="G141" s="50"/>
      <c r="H141" s="50"/>
      <c r="I141" s="50"/>
      <c r="J141" s="50"/>
      <c r="K141" s="70"/>
      <c r="L141" s="71"/>
      <c r="M141" s="50"/>
      <c r="N141" s="50"/>
      <c r="O141" s="50"/>
      <c r="P141" s="50"/>
      <c r="Q141" s="50"/>
      <c r="R141" s="50"/>
      <c r="S141" s="50"/>
      <c r="T141" s="50"/>
      <c r="U141" s="50"/>
      <c r="V141" s="50"/>
      <c r="W141" s="50"/>
      <c r="X141" s="50"/>
      <c r="Y141" s="50"/>
      <c r="Z141" s="50"/>
    </row>
    <row r="142" spans="1:26" ht="15.75" customHeight="1">
      <c r="A142" s="50"/>
      <c r="B142" s="50"/>
      <c r="C142" s="50"/>
      <c r="D142" s="50"/>
      <c r="E142" s="50"/>
      <c r="F142" s="50"/>
      <c r="G142" s="50"/>
      <c r="H142" s="50"/>
      <c r="I142" s="50"/>
      <c r="J142" s="50"/>
      <c r="K142" s="70"/>
      <c r="L142" s="71"/>
      <c r="M142" s="50"/>
      <c r="N142" s="50"/>
      <c r="O142" s="50"/>
      <c r="P142" s="50"/>
      <c r="Q142" s="50"/>
      <c r="R142" s="50"/>
      <c r="S142" s="50"/>
      <c r="T142" s="50"/>
      <c r="U142" s="50"/>
      <c r="V142" s="50"/>
      <c r="W142" s="50"/>
      <c r="X142" s="50"/>
      <c r="Y142" s="50"/>
      <c r="Z142" s="50"/>
    </row>
    <row r="143" spans="1:26" ht="15.75" customHeight="1">
      <c r="A143" s="50"/>
      <c r="B143" s="50"/>
      <c r="C143" s="50"/>
      <c r="D143" s="50"/>
      <c r="E143" s="50"/>
      <c r="F143" s="50"/>
      <c r="G143" s="50"/>
      <c r="H143" s="50"/>
      <c r="I143" s="50"/>
      <c r="J143" s="50"/>
      <c r="K143" s="70"/>
      <c r="L143" s="71"/>
      <c r="M143" s="50"/>
      <c r="N143" s="50"/>
      <c r="O143" s="50"/>
      <c r="P143" s="50"/>
      <c r="Q143" s="50"/>
      <c r="R143" s="50"/>
      <c r="S143" s="50"/>
      <c r="T143" s="50"/>
      <c r="U143" s="50"/>
      <c r="V143" s="50"/>
      <c r="W143" s="50"/>
      <c r="X143" s="50"/>
      <c r="Y143" s="50"/>
      <c r="Z143" s="50"/>
    </row>
    <row r="144" spans="1:26" ht="15.75" customHeight="1">
      <c r="A144" s="50"/>
      <c r="B144" s="50"/>
      <c r="C144" s="50"/>
      <c r="D144" s="50"/>
      <c r="E144" s="50"/>
      <c r="F144" s="50"/>
      <c r="G144" s="50"/>
      <c r="H144" s="50"/>
      <c r="I144" s="50"/>
      <c r="J144" s="50"/>
      <c r="K144" s="70"/>
      <c r="L144" s="71"/>
      <c r="M144" s="50"/>
      <c r="N144" s="50"/>
      <c r="O144" s="50"/>
      <c r="P144" s="50"/>
      <c r="Q144" s="50"/>
      <c r="R144" s="50"/>
      <c r="S144" s="50"/>
      <c r="T144" s="50"/>
      <c r="U144" s="50"/>
      <c r="V144" s="50"/>
      <c r="W144" s="50"/>
      <c r="X144" s="50"/>
      <c r="Y144" s="50"/>
      <c r="Z144" s="50"/>
    </row>
    <row r="145" spans="1:26" ht="15.75" customHeight="1">
      <c r="A145" s="50"/>
      <c r="B145" s="50"/>
      <c r="C145" s="50"/>
      <c r="D145" s="50"/>
      <c r="E145" s="50"/>
      <c r="F145" s="50"/>
      <c r="G145" s="50"/>
      <c r="H145" s="50"/>
      <c r="I145" s="50"/>
      <c r="J145" s="50"/>
      <c r="K145" s="70"/>
      <c r="L145" s="71"/>
      <c r="M145" s="50"/>
      <c r="N145" s="50"/>
      <c r="O145" s="50"/>
      <c r="P145" s="50"/>
      <c r="Q145" s="50"/>
      <c r="R145" s="50"/>
      <c r="S145" s="50"/>
      <c r="T145" s="50"/>
      <c r="U145" s="50"/>
      <c r="V145" s="50"/>
      <c r="W145" s="50"/>
      <c r="X145" s="50"/>
      <c r="Y145" s="50"/>
      <c r="Z145" s="50"/>
    </row>
    <row r="146" spans="1:26" ht="15.75" customHeight="1">
      <c r="A146" s="50"/>
      <c r="B146" s="50"/>
      <c r="C146" s="50"/>
      <c r="D146" s="50"/>
      <c r="E146" s="50"/>
      <c r="F146" s="50"/>
      <c r="G146" s="50"/>
      <c r="H146" s="50"/>
      <c r="I146" s="50"/>
      <c r="J146" s="50"/>
      <c r="K146" s="70"/>
      <c r="L146" s="71"/>
      <c r="M146" s="50"/>
      <c r="N146" s="50"/>
      <c r="O146" s="50"/>
      <c r="P146" s="50"/>
      <c r="Q146" s="50"/>
      <c r="R146" s="50"/>
      <c r="S146" s="50"/>
      <c r="T146" s="50"/>
      <c r="U146" s="50"/>
      <c r="V146" s="50"/>
      <c r="W146" s="50"/>
      <c r="X146" s="50"/>
      <c r="Y146" s="50"/>
      <c r="Z146" s="50"/>
    </row>
    <row r="147" spans="1:26" ht="15.75" customHeight="1">
      <c r="A147" s="50"/>
      <c r="B147" s="50"/>
      <c r="C147" s="50"/>
      <c r="D147" s="50"/>
      <c r="E147" s="50"/>
      <c r="F147" s="50"/>
      <c r="G147" s="50"/>
      <c r="H147" s="50"/>
      <c r="I147" s="50"/>
      <c r="J147" s="50"/>
      <c r="K147" s="70"/>
      <c r="L147" s="71"/>
      <c r="M147" s="50"/>
      <c r="N147" s="50"/>
      <c r="O147" s="50"/>
      <c r="P147" s="50"/>
      <c r="Q147" s="50"/>
      <c r="R147" s="50"/>
      <c r="S147" s="50"/>
      <c r="T147" s="50"/>
      <c r="U147" s="50"/>
      <c r="V147" s="50"/>
      <c r="W147" s="50"/>
      <c r="X147" s="50"/>
      <c r="Y147" s="50"/>
      <c r="Z147" s="50"/>
    </row>
    <row r="148" spans="1:26" ht="15.75" customHeight="1">
      <c r="A148" s="50"/>
      <c r="B148" s="50"/>
      <c r="C148" s="50"/>
      <c r="D148" s="50"/>
      <c r="E148" s="50"/>
      <c r="F148" s="50"/>
      <c r="G148" s="50"/>
      <c r="H148" s="50"/>
      <c r="I148" s="50"/>
      <c r="J148" s="50"/>
      <c r="K148" s="70"/>
      <c r="L148" s="71"/>
      <c r="M148" s="50"/>
      <c r="N148" s="50"/>
      <c r="O148" s="50"/>
      <c r="P148" s="50"/>
      <c r="Q148" s="50"/>
      <c r="R148" s="50"/>
      <c r="S148" s="50"/>
      <c r="T148" s="50"/>
      <c r="U148" s="50"/>
      <c r="V148" s="50"/>
      <c r="W148" s="50"/>
      <c r="X148" s="50"/>
      <c r="Y148" s="50"/>
      <c r="Z148" s="50"/>
    </row>
    <row r="149" spans="1:26" ht="15.75" customHeight="1">
      <c r="A149" s="50"/>
      <c r="B149" s="50"/>
      <c r="C149" s="50"/>
      <c r="D149" s="50"/>
      <c r="E149" s="50"/>
      <c r="F149" s="50"/>
      <c r="G149" s="50"/>
      <c r="H149" s="50"/>
      <c r="I149" s="50"/>
      <c r="J149" s="50"/>
      <c r="K149" s="70"/>
      <c r="L149" s="71"/>
      <c r="M149" s="50"/>
      <c r="N149" s="50"/>
      <c r="O149" s="50"/>
      <c r="P149" s="50"/>
      <c r="Q149" s="50"/>
      <c r="R149" s="50"/>
      <c r="S149" s="50"/>
      <c r="T149" s="50"/>
      <c r="U149" s="50"/>
      <c r="V149" s="50"/>
      <c r="W149" s="50"/>
      <c r="X149" s="50"/>
      <c r="Y149" s="50"/>
      <c r="Z149" s="50"/>
    </row>
    <row r="150" spans="1:26" ht="15.75" customHeight="1">
      <c r="A150" s="50"/>
      <c r="B150" s="50"/>
      <c r="C150" s="50"/>
      <c r="D150" s="50"/>
      <c r="E150" s="50"/>
      <c r="F150" s="50"/>
      <c r="G150" s="50"/>
      <c r="H150" s="50"/>
      <c r="I150" s="50"/>
      <c r="J150" s="50"/>
      <c r="K150" s="70"/>
      <c r="L150" s="71"/>
      <c r="M150" s="50"/>
      <c r="N150" s="50"/>
      <c r="O150" s="50"/>
      <c r="P150" s="50"/>
      <c r="Q150" s="50"/>
      <c r="R150" s="50"/>
      <c r="S150" s="50"/>
      <c r="T150" s="50"/>
      <c r="U150" s="50"/>
      <c r="V150" s="50"/>
      <c r="W150" s="50"/>
      <c r="X150" s="50"/>
      <c r="Y150" s="50"/>
      <c r="Z150" s="50"/>
    </row>
    <row r="151" spans="1:26" ht="15.75" customHeight="1">
      <c r="A151" s="50"/>
      <c r="B151" s="50"/>
      <c r="C151" s="50"/>
      <c r="D151" s="50"/>
      <c r="E151" s="50"/>
      <c r="F151" s="50"/>
      <c r="G151" s="50"/>
      <c r="H151" s="50"/>
      <c r="I151" s="50"/>
      <c r="J151" s="50"/>
      <c r="K151" s="70"/>
      <c r="L151" s="71"/>
      <c r="M151" s="50"/>
      <c r="N151" s="50"/>
      <c r="O151" s="50"/>
      <c r="P151" s="50"/>
      <c r="Q151" s="50"/>
      <c r="R151" s="50"/>
      <c r="S151" s="50"/>
      <c r="T151" s="50"/>
      <c r="U151" s="50"/>
      <c r="V151" s="50"/>
      <c r="W151" s="50"/>
      <c r="X151" s="50"/>
      <c r="Y151" s="50"/>
      <c r="Z151" s="50"/>
    </row>
    <row r="152" spans="1:26" ht="15.75" customHeight="1">
      <c r="A152" s="50"/>
      <c r="B152" s="50"/>
      <c r="C152" s="50"/>
      <c r="D152" s="50"/>
      <c r="E152" s="50"/>
      <c r="F152" s="50"/>
      <c r="G152" s="50"/>
      <c r="H152" s="50"/>
      <c r="I152" s="50"/>
      <c r="J152" s="50"/>
      <c r="K152" s="70"/>
      <c r="L152" s="71"/>
      <c r="M152" s="50"/>
      <c r="N152" s="50"/>
      <c r="O152" s="50"/>
      <c r="P152" s="50"/>
      <c r="Q152" s="50"/>
      <c r="R152" s="50"/>
      <c r="S152" s="50"/>
      <c r="T152" s="50"/>
      <c r="U152" s="50"/>
      <c r="V152" s="50"/>
      <c r="W152" s="50"/>
      <c r="X152" s="50"/>
      <c r="Y152" s="50"/>
      <c r="Z152" s="50"/>
    </row>
    <row r="153" spans="1:26" ht="15.75" customHeight="1">
      <c r="A153" s="50"/>
      <c r="B153" s="50"/>
      <c r="C153" s="50"/>
      <c r="D153" s="50"/>
      <c r="E153" s="50"/>
      <c r="F153" s="50"/>
      <c r="G153" s="50"/>
      <c r="H153" s="50"/>
      <c r="I153" s="50"/>
      <c r="J153" s="50"/>
      <c r="K153" s="70"/>
      <c r="L153" s="71"/>
      <c r="M153" s="50"/>
      <c r="N153" s="50"/>
      <c r="O153" s="50"/>
      <c r="P153" s="50"/>
      <c r="Q153" s="50"/>
      <c r="R153" s="50"/>
      <c r="S153" s="50"/>
      <c r="T153" s="50"/>
      <c r="U153" s="50"/>
      <c r="V153" s="50"/>
      <c r="W153" s="50"/>
      <c r="X153" s="50"/>
      <c r="Y153" s="50"/>
      <c r="Z153" s="50"/>
    </row>
    <row r="154" spans="1:26" ht="15.75" customHeight="1">
      <c r="A154" s="50"/>
      <c r="B154" s="50"/>
      <c r="C154" s="50"/>
      <c r="D154" s="50"/>
      <c r="E154" s="50"/>
      <c r="F154" s="50"/>
      <c r="G154" s="50"/>
      <c r="H154" s="50"/>
      <c r="I154" s="50"/>
      <c r="J154" s="50"/>
      <c r="K154" s="70"/>
      <c r="L154" s="71"/>
      <c r="M154" s="50"/>
      <c r="N154" s="50"/>
      <c r="O154" s="50"/>
      <c r="P154" s="50"/>
      <c r="Q154" s="50"/>
      <c r="R154" s="50"/>
      <c r="S154" s="50"/>
      <c r="T154" s="50"/>
      <c r="U154" s="50"/>
      <c r="V154" s="50"/>
      <c r="W154" s="50"/>
      <c r="X154" s="50"/>
      <c r="Y154" s="50"/>
      <c r="Z154" s="50"/>
    </row>
    <row r="155" spans="1:26" ht="15.75" customHeight="1">
      <c r="A155" s="50"/>
      <c r="B155" s="50"/>
      <c r="C155" s="50"/>
      <c r="D155" s="50"/>
      <c r="E155" s="50"/>
      <c r="F155" s="50"/>
      <c r="G155" s="50"/>
      <c r="H155" s="50"/>
      <c r="I155" s="50"/>
      <c r="J155" s="50"/>
      <c r="K155" s="70"/>
      <c r="L155" s="71"/>
      <c r="M155" s="50"/>
      <c r="N155" s="50"/>
      <c r="O155" s="50"/>
      <c r="P155" s="50"/>
      <c r="Q155" s="50"/>
      <c r="R155" s="50"/>
      <c r="S155" s="50"/>
      <c r="T155" s="50"/>
      <c r="U155" s="50"/>
      <c r="V155" s="50"/>
      <c r="W155" s="50"/>
      <c r="X155" s="50"/>
      <c r="Y155" s="50"/>
      <c r="Z155" s="50"/>
    </row>
    <row r="156" spans="1:26" ht="15.75" customHeight="1">
      <c r="A156" s="50"/>
      <c r="B156" s="50"/>
      <c r="C156" s="50"/>
      <c r="D156" s="50"/>
      <c r="E156" s="50"/>
      <c r="F156" s="50"/>
      <c r="G156" s="50"/>
      <c r="H156" s="50"/>
      <c r="I156" s="50"/>
      <c r="J156" s="50"/>
      <c r="K156" s="70"/>
      <c r="L156" s="71"/>
      <c r="M156" s="50"/>
      <c r="N156" s="50"/>
      <c r="O156" s="50"/>
      <c r="P156" s="50"/>
      <c r="Q156" s="50"/>
      <c r="R156" s="50"/>
      <c r="S156" s="50"/>
      <c r="T156" s="50"/>
      <c r="U156" s="50"/>
      <c r="V156" s="50"/>
      <c r="W156" s="50"/>
      <c r="X156" s="50"/>
      <c r="Y156" s="50"/>
      <c r="Z156" s="50"/>
    </row>
    <row r="157" spans="1:26" ht="15.75" customHeight="1">
      <c r="A157" s="50"/>
      <c r="B157" s="50"/>
      <c r="C157" s="50"/>
      <c r="D157" s="50"/>
      <c r="E157" s="50"/>
      <c r="F157" s="50"/>
      <c r="G157" s="50"/>
      <c r="H157" s="50"/>
      <c r="I157" s="50"/>
      <c r="J157" s="50"/>
      <c r="K157" s="70"/>
      <c r="L157" s="71"/>
      <c r="M157" s="50"/>
      <c r="N157" s="50"/>
      <c r="O157" s="50"/>
      <c r="P157" s="50"/>
      <c r="Q157" s="50"/>
      <c r="R157" s="50"/>
      <c r="S157" s="50"/>
      <c r="T157" s="50"/>
      <c r="U157" s="50"/>
      <c r="V157" s="50"/>
      <c r="W157" s="50"/>
      <c r="X157" s="50"/>
      <c r="Y157" s="50"/>
      <c r="Z157" s="50"/>
    </row>
    <row r="158" spans="1:26" ht="15.75" customHeight="1">
      <c r="A158" s="50"/>
      <c r="B158" s="50"/>
      <c r="C158" s="50"/>
      <c r="D158" s="50"/>
      <c r="E158" s="50"/>
      <c r="F158" s="50"/>
      <c r="G158" s="50"/>
      <c r="H158" s="50"/>
      <c r="I158" s="50"/>
      <c r="J158" s="50"/>
      <c r="K158" s="70"/>
      <c r="L158" s="71"/>
      <c r="M158" s="50"/>
      <c r="N158" s="50"/>
      <c r="O158" s="50"/>
      <c r="P158" s="50"/>
      <c r="Q158" s="50"/>
      <c r="R158" s="50"/>
      <c r="S158" s="50"/>
      <c r="T158" s="50"/>
      <c r="U158" s="50"/>
      <c r="V158" s="50"/>
      <c r="W158" s="50"/>
      <c r="X158" s="50"/>
      <c r="Y158" s="50"/>
      <c r="Z158" s="50"/>
    </row>
    <row r="159" spans="1:26" ht="15.75" customHeight="1">
      <c r="A159" s="50"/>
      <c r="B159" s="50"/>
      <c r="C159" s="50"/>
      <c r="D159" s="50"/>
      <c r="E159" s="50"/>
      <c r="F159" s="50"/>
      <c r="G159" s="50"/>
      <c r="H159" s="50"/>
      <c r="I159" s="50"/>
      <c r="J159" s="50"/>
      <c r="K159" s="70"/>
      <c r="L159" s="71"/>
      <c r="M159" s="50"/>
      <c r="N159" s="50"/>
      <c r="O159" s="50"/>
      <c r="P159" s="50"/>
      <c r="Q159" s="50"/>
      <c r="R159" s="50"/>
      <c r="S159" s="50"/>
      <c r="T159" s="50"/>
      <c r="U159" s="50"/>
      <c r="V159" s="50"/>
      <c r="W159" s="50"/>
      <c r="X159" s="50"/>
      <c r="Y159" s="50"/>
      <c r="Z159" s="50"/>
    </row>
    <row r="160" spans="1:26" ht="15.75" customHeight="1">
      <c r="A160" s="50"/>
      <c r="B160" s="50"/>
      <c r="C160" s="50"/>
      <c r="D160" s="50"/>
      <c r="E160" s="50"/>
      <c r="F160" s="50"/>
      <c r="G160" s="50"/>
      <c r="H160" s="50"/>
      <c r="I160" s="50"/>
      <c r="J160" s="50"/>
      <c r="K160" s="70"/>
      <c r="L160" s="71"/>
      <c r="M160" s="50"/>
      <c r="N160" s="50"/>
      <c r="O160" s="50"/>
      <c r="P160" s="50"/>
      <c r="Q160" s="50"/>
      <c r="R160" s="50"/>
      <c r="S160" s="50"/>
      <c r="T160" s="50"/>
      <c r="U160" s="50"/>
      <c r="V160" s="50"/>
      <c r="W160" s="50"/>
      <c r="X160" s="50"/>
      <c r="Y160" s="50"/>
      <c r="Z160" s="50"/>
    </row>
    <row r="161" spans="1:26" ht="15.75" customHeight="1">
      <c r="A161" s="50"/>
      <c r="B161" s="50"/>
      <c r="C161" s="50"/>
      <c r="D161" s="50"/>
      <c r="E161" s="50"/>
      <c r="F161" s="50"/>
      <c r="G161" s="50"/>
      <c r="H161" s="50"/>
      <c r="I161" s="50"/>
      <c r="J161" s="50"/>
      <c r="K161" s="70"/>
      <c r="L161" s="71"/>
      <c r="M161" s="50"/>
      <c r="N161" s="50"/>
      <c r="O161" s="50"/>
      <c r="P161" s="50"/>
      <c r="Q161" s="50"/>
      <c r="R161" s="50"/>
      <c r="S161" s="50"/>
      <c r="T161" s="50"/>
      <c r="U161" s="50"/>
      <c r="V161" s="50"/>
      <c r="W161" s="50"/>
      <c r="X161" s="50"/>
      <c r="Y161" s="50"/>
      <c r="Z161" s="50"/>
    </row>
    <row r="162" spans="1:26" ht="15.75" customHeight="1">
      <c r="A162" s="50"/>
      <c r="B162" s="50"/>
      <c r="C162" s="50"/>
      <c r="D162" s="50"/>
      <c r="E162" s="50"/>
      <c r="F162" s="50"/>
      <c r="G162" s="50"/>
      <c r="H162" s="50"/>
      <c r="I162" s="50"/>
      <c r="J162" s="50"/>
      <c r="K162" s="70"/>
      <c r="L162" s="71"/>
      <c r="M162" s="50"/>
      <c r="N162" s="50"/>
      <c r="O162" s="50"/>
      <c r="P162" s="50"/>
      <c r="Q162" s="50"/>
      <c r="R162" s="50"/>
      <c r="S162" s="50"/>
      <c r="T162" s="50"/>
      <c r="U162" s="50"/>
      <c r="V162" s="50"/>
      <c r="W162" s="50"/>
      <c r="X162" s="50"/>
      <c r="Y162" s="50"/>
      <c r="Z162" s="50"/>
    </row>
    <row r="163" spans="1:26" ht="15.75" customHeight="1">
      <c r="A163" s="50"/>
      <c r="B163" s="50"/>
      <c r="C163" s="50"/>
      <c r="D163" s="50"/>
      <c r="E163" s="50"/>
      <c r="F163" s="50"/>
      <c r="G163" s="50"/>
      <c r="H163" s="50"/>
      <c r="I163" s="50"/>
      <c r="J163" s="50"/>
      <c r="K163" s="70"/>
      <c r="L163" s="71"/>
      <c r="M163" s="50"/>
      <c r="N163" s="50"/>
      <c r="O163" s="50"/>
      <c r="P163" s="50"/>
      <c r="Q163" s="50"/>
      <c r="R163" s="50"/>
      <c r="S163" s="50"/>
      <c r="T163" s="50"/>
      <c r="U163" s="50"/>
      <c r="V163" s="50"/>
      <c r="W163" s="50"/>
      <c r="X163" s="50"/>
      <c r="Y163" s="50"/>
      <c r="Z163" s="50"/>
    </row>
    <row r="164" spans="1:26" ht="15.75" customHeight="1">
      <c r="A164" s="50"/>
      <c r="B164" s="50"/>
      <c r="C164" s="50"/>
      <c r="D164" s="50"/>
      <c r="E164" s="50"/>
      <c r="F164" s="50"/>
      <c r="G164" s="50"/>
      <c r="H164" s="50"/>
      <c r="I164" s="50"/>
      <c r="J164" s="50"/>
      <c r="K164" s="70"/>
      <c r="L164" s="71"/>
      <c r="M164" s="50"/>
      <c r="N164" s="50"/>
      <c r="O164" s="50"/>
      <c r="P164" s="50"/>
      <c r="Q164" s="50"/>
      <c r="R164" s="50"/>
      <c r="S164" s="50"/>
      <c r="T164" s="50"/>
      <c r="U164" s="50"/>
      <c r="V164" s="50"/>
      <c r="W164" s="50"/>
      <c r="X164" s="50"/>
      <c r="Y164" s="50"/>
      <c r="Z164" s="50"/>
    </row>
    <row r="165" spans="1:26" ht="15.75" customHeight="1">
      <c r="A165" s="50"/>
      <c r="B165" s="50"/>
      <c r="C165" s="50"/>
      <c r="D165" s="50"/>
      <c r="E165" s="50"/>
      <c r="F165" s="50"/>
      <c r="G165" s="50"/>
      <c r="H165" s="50"/>
      <c r="I165" s="50"/>
      <c r="J165" s="50"/>
      <c r="K165" s="70"/>
      <c r="L165" s="71"/>
      <c r="M165" s="50"/>
      <c r="N165" s="50"/>
      <c r="O165" s="50"/>
      <c r="P165" s="50"/>
      <c r="Q165" s="50"/>
      <c r="R165" s="50"/>
      <c r="S165" s="50"/>
      <c r="T165" s="50"/>
      <c r="U165" s="50"/>
      <c r="V165" s="50"/>
      <c r="W165" s="50"/>
      <c r="X165" s="50"/>
      <c r="Y165" s="50"/>
      <c r="Z165" s="50"/>
    </row>
    <row r="166" spans="1:26" ht="15.75" customHeight="1">
      <c r="A166" s="50"/>
      <c r="B166" s="50"/>
      <c r="C166" s="50"/>
      <c r="D166" s="50"/>
      <c r="E166" s="50"/>
      <c r="F166" s="50"/>
      <c r="G166" s="50"/>
      <c r="H166" s="50"/>
      <c r="I166" s="50"/>
      <c r="J166" s="50"/>
      <c r="K166" s="70"/>
      <c r="L166" s="71"/>
      <c r="M166" s="50"/>
      <c r="N166" s="50"/>
      <c r="O166" s="50"/>
      <c r="P166" s="50"/>
      <c r="Q166" s="50"/>
      <c r="R166" s="50"/>
      <c r="S166" s="50"/>
      <c r="T166" s="50"/>
      <c r="U166" s="50"/>
      <c r="V166" s="50"/>
      <c r="W166" s="50"/>
      <c r="X166" s="50"/>
      <c r="Y166" s="50"/>
      <c r="Z166" s="50"/>
    </row>
    <row r="167" spans="1:26" ht="15.75" customHeight="1">
      <c r="A167" s="50"/>
      <c r="B167" s="50"/>
      <c r="C167" s="50"/>
      <c r="D167" s="50"/>
      <c r="E167" s="50"/>
      <c r="F167" s="50"/>
      <c r="G167" s="50"/>
      <c r="H167" s="50"/>
      <c r="I167" s="50"/>
      <c r="J167" s="50"/>
      <c r="K167" s="70"/>
      <c r="L167" s="71"/>
      <c r="M167" s="50"/>
      <c r="N167" s="50"/>
      <c r="O167" s="50"/>
      <c r="P167" s="50"/>
      <c r="Q167" s="50"/>
      <c r="R167" s="50"/>
      <c r="S167" s="50"/>
      <c r="T167" s="50"/>
      <c r="U167" s="50"/>
      <c r="V167" s="50"/>
      <c r="W167" s="50"/>
      <c r="X167" s="50"/>
      <c r="Y167" s="50"/>
      <c r="Z167" s="50"/>
    </row>
    <row r="168" spans="1:26" ht="15.75" customHeight="1">
      <c r="A168" s="50"/>
      <c r="B168" s="50"/>
      <c r="C168" s="50"/>
      <c r="D168" s="50"/>
      <c r="E168" s="50"/>
      <c r="F168" s="50"/>
      <c r="G168" s="50"/>
      <c r="H168" s="50"/>
      <c r="I168" s="50"/>
      <c r="J168" s="50"/>
      <c r="K168" s="70"/>
      <c r="L168" s="71"/>
      <c r="M168" s="50"/>
      <c r="N168" s="50"/>
      <c r="O168" s="50"/>
      <c r="P168" s="50"/>
      <c r="Q168" s="50"/>
      <c r="R168" s="50"/>
      <c r="S168" s="50"/>
      <c r="T168" s="50"/>
      <c r="U168" s="50"/>
      <c r="V168" s="50"/>
      <c r="W168" s="50"/>
      <c r="X168" s="50"/>
      <c r="Y168" s="50"/>
      <c r="Z168" s="50"/>
    </row>
    <row r="169" spans="1:26" ht="15.75" customHeight="1">
      <c r="A169" s="50"/>
      <c r="B169" s="50"/>
      <c r="C169" s="50"/>
      <c r="D169" s="50"/>
      <c r="E169" s="50"/>
      <c r="F169" s="50"/>
      <c r="G169" s="50"/>
      <c r="H169" s="50"/>
      <c r="I169" s="50"/>
      <c r="J169" s="50"/>
      <c r="K169" s="70"/>
      <c r="L169" s="71"/>
      <c r="M169" s="50"/>
      <c r="N169" s="50"/>
      <c r="O169" s="50"/>
      <c r="P169" s="50"/>
      <c r="Q169" s="50"/>
      <c r="R169" s="50"/>
      <c r="S169" s="50"/>
      <c r="T169" s="50"/>
      <c r="U169" s="50"/>
      <c r="V169" s="50"/>
      <c r="W169" s="50"/>
      <c r="X169" s="50"/>
      <c r="Y169" s="50"/>
      <c r="Z169" s="50"/>
    </row>
    <row r="170" spans="1:26" ht="15.75" customHeight="1">
      <c r="A170" s="50"/>
      <c r="B170" s="50"/>
      <c r="C170" s="50"/>
      <c r="D170" s="50"/>
      <c r="E170" s="50"/>
      <c r="F170" s="50"/>
      <c r="G170" s="50"/>
      <c r="H170" s="50"/>
      <c r="I170" s="50"/>
      <c r="J170" s="50"/>
      <c r="K170" s="70"/>
      <c r="L170" s="71"/>
      <c r="M170" s="50"/>
      <c r="N170" s="50"/>
      <c r="O170" s="50"/>
      <c r="P170" s="50"/>
      <c r="Q170" s="50"/>
      <c r="R170" s="50"/>
      <c r="S170" s="50"/>
      <c r="T170" s="50"/>
      <c r="U170" s="50"/>
      <c r="V170" s="50"/>
      <c r="W170" s="50"/>
      <c r="X170" s="50"/>
      <c r="Y170" s="50"/>
      <c r="Z170" s="50"/>
    </row>
    <row r="171" spans="1:26" ht="15.75" customHeight="1">
      <c r="A171" s="50"/>
      <c r="B171" s="50"/>
      <c r="C171" s="50"/>
      <c r="D171" s="50"/>
      <c r="E171" s="50"/>
      <c r="F171" s="50"/>
      <c r="G171" s="50"/>
      <c r="H171" s="50"/>
      <c r="I171" s="50"/>
      <c r="J171" s="50"/>
      <c r="K171" s="70"/>
      <c r="L171" s="71"/>
      <c r="M171" s="50"/>
      <c r="N171" s="50"/>
      <c r="O171" s="50"/>
      <c r="P171" s="50"/>
      <c r="Q171" s="50"/>
      <c r="R171" s="50"/>
      <c r="S171" s="50"/>
      <c r="T171" s="50"/>
      <c r="U171" s="50"/>
      <c r="V171" s="50"/>
      <c r="W171" s="50"/>
      <c r="X171" s="50"/>
      <c r="Y171" s="50"/>
      <c r="Z171" s="50"/>
    </row>
    <row r="172" spans="1:26" ht="15.75" customHeight="1">
      <c r="A172" s="50"/>
      <c r="B172" s="50"/>
      <c r="C172" s="50"/>
      <c r="D172" s="50"/>
      <c r="E172" s="50"/>
      <c r="F172" s="50"/>
      <c r="G172" s="50"/>
      <c r="H172" s="50"/>
      <c r="I172" s="50"/>
      <c r="J172" s="50"/>
      <c r="K172" s="70"/>
      <c r="L172" s="71"/>
      <c r="M172" s="50"/>
      <c r="N172" s="50"/>
      <c r="O172" s="50"/>
      <c r="P172" s="50"/>
      <c r="Q172" s="50"/>
      <c r="R172" s="50"/>
      <c r="S172" s="50"/>
      <c r="T172" s="50"/>
      <c r="U172" s="50"/>
      <c r="V172" s="50"/>
      <c r="W172" s="50"/>
      <c r="X172" s="50"/>
      <c r="Y172" s="50"/>
      <c r="Z172" s="50"/>
    </row>
    <row r="173" spans="1:26" ht="15.75" customHeight="1">
      <c r="A173" s="50"/>
      <c r="B173" s="50"/>
      <c r="C173" s="50"/>
      <c r="D173" s="50"/>
      <c r="E173" s="50"/>
      <c r="F173" s="50"/>
      <c r="G173" s="50"/>
      <c r="H173" s="50"/>
      <c r="I173" s="50"/>
      <c r="J173" s="50"/>
      <c r="K173" s="70"/>
      <c r="L173" s="71"/>
      <c r="M173" s="50"/>
      <c r="N173" s="50"/>
      <c r="O173" s="50"/>
      <c r="P173" s="50"/>
      <c r="Q173" s="50"/>
      <c r="R173" s="50"/>
      <c r="S173" s="50"/>
      <c r="T173" s="50"/>
      <c r="U173" s="50"/>
      <c r="V173" s="50"/>
      <c r="W173" s="50"/>
      <c r="X173" s="50"/>
      <c r="Y173" s="50"/>
      <c r="Z173" s="50"/>
    </row>
    <row r="174" spans="1:26" ht="15.75" customHeight="1">
      <c r="A174" s="50"/>
      <c r="B174" s="50"/>
      <c r="C174" s="50"/>
      <c r="D174" s="50"/>
      <c r="E174" s="50"/>
      <c r="F174" s="50"/>
      <c r="G174" s="50"/>
      <c r="H174" s="50"/>
      <c r="I174" s="50"/>
      <c r="J174" s="50"/>
      <c r="K174" s="70"/>
      <c r="L174" s="71"/>
      <c r="M174" s="50"/>
      <c r="N174" s="50"/>
      <c r="O174" s="50"/>
      <c r="P174" s="50"/>
      <c r="Q174" s="50"/>
      <c r="R174" s="50"/>
      <c r="S174" s="50"/>
      <c r="T174" s="50"/>
      <c r="U174" s="50"/>
      <c r="V174" s="50"/>
      <c r="W174" s="50"/>
      <c r="X174" s="50"/>
      <c r="Y174" s="50"/>
      <c r="Z174" s="50"/>
    </row>
    <row r="175" spans="1:26" ht="15.75" customHeight="1">
      <c r="A175" s="50"/>
      <c r="B175" s="50"/>
      <c r="C175" s="50"/>
      <c r="D175" s="50"/>
      <c r="E175" s="50"/>
      <c r="F175" s="50"/>
      <c r="G175" s="50"/>
      <c r="H175" s="50"/>
      <c r="I175" s="50"/>
      <c r="J175" s="50"/>
      <c r="K175" s="70"/>
      <c r="L175" s="71"/>
      <c r="M175" s="50"/>
      <c r="N175" s="50"/>
      <c r="O175" s="50"/>
      <c r="P175" s="50"/>
      <c r="Q175" s="50"/>
      <c r="R175" s="50"/>
      <c r="S175" s="50"/>
      <c r="T175" s="50"/>
      <c r="U175" s="50"/>
      <c r="V175" s="50"/>
      <c r="W175" s="50"/>
      <c r="X175" s="50"/>
      <c r="Y175" s="50"/>
      <c r="Z175" s="50"/>
    </row>
    <row r="176" spans="1:26" ht="15.75" customHeight="1">
      <c r="A176" s="50"/>
      <c r="B176" s="50"/>
      <c r="C176" s="50"/>
      <c r="D176" s="50"/>
      <c r="E176" s="50"/>
      <c r="F176" s="50"/>
      <c r="G176" s="50"/>
      <c r="H176" s="50"/>
      <c r="I176" s="50"/>
      <c r="J176" s="50"/>
      <c r="K176" s="70"/>
      <c r="L176" s="71"/>
      <c r="M176" s="50"/>
      <c r="N176" s="50"/>
      <c r="O176" s="50"/>
      <c r="P176" s="50"/>
      <c r="Q176" s="50"/>
      <c r="R176" s="50"/>
      <c r="S176" s="50"/>
      <c r="T176" s="50"/>
      <c r="U176" s="50"/>
      <c r="V176" s="50"/>
      <c r="W176" s="50"/>
      <c r="X176" s="50"/>
      <c r="Y176" s="50"/>
      <c r="Z176" s="50"/>
    </row>
    <row r="177" spans="1:26" ht="15.75" customHeight="1">
      <c r="A177" s="50"/>
      <c r="B177" s="50"/>
      <c r="C177" s="50"/>
      <c r="D177" s="50"/>
      <c r="E177" s="50"/>
      <c r="F177" s="50"/>
      <c r="G177" s="50"/>
      <c r="H177" s="50"/>
      <c r="I177" s="50"/>
      <c r="J177" s="50"/>
      <c r="K177" s="70"/>
      <c r="L177" s="71"/>
      <c r="M177" s="50"/>
      <c r="N177" s="50"/>
      <c r="O177" s="50"/>
      <c r="P177" s="50"/>
      <c r="Q177" s="50"/>
      <c r="R177" s="50"/>
      <c r="S177" s="50"/>
      <c r="T177" s="50"/>
      <c r="U177" s="50"/>
      <c r="V177" s="50"/>
      <c r="W177" s="50"/>
      <c r="X177" s="50"/>
      <c r="Y177" s="50"/>
      <c r="Z177" s="50"/>
    </row>
    <row r="178" spans="1:26" ht="15.75" customHeight="1">
      <c r="A178" s="50"/>
      <c r="B178" s="50"/>
      <c r="C178" s="50"/>
      <c r="D178" s="50"/>
      <c r="E178" s="50"/>
      <c r="F178" s="50"/>
      <c r="G178" s="50"/>
      <c r="H178" s="50"/>
      <c r="I178" s="50"/>
      <c r="J178" s="50"/>
      <c r="K178" s="70"/>
      <c r="L178" s="71"/>
      <c r="M178" s="50"/>
      <c r="N178" s="50"/>
      <c r="O178" s="50"/>
      <c r="P178" s="50"/>
      <c r="Q178" s="50"/>
      <c r="R178" s="50"/>
      <c r="S178" s="50"/>
      <c r="T178" s="50"/>
      <c r="U178" s="50"/>
      <c r="V178" s="50"/>
      <c r="W178" s="50"/>
      <c r="X178" s="50"/>
      <c r="Y178" s="50"/>
      <c r="Z178" s="50"/>
    </row>
    <row r="179" spans="1:26" ht="15.75" customHeight="1">
      <c r="A179" s="50"/>
      <c r="B179" s="50"/>
      <c r="C179" s="50"/>
      <c r="D179" s="50"/>
      <c r="E179" s="50"/>
      <c r="F179" s="50"/>
      <c r="G179" s="50"/>
      <c r="H179" s="50"/>
      <c r="I179" s="50"/>
      <c r="J179" s="50"/>
      <c r="K179" s="70"/>
      <c r="L179" s="71"/>
      <c r="M179" s="50"/>
      <c r="N179" s="50"/>
      <c r="O179" s="50"/>
      <c r="P179" s="50"/>
      <c r="Q179" s="50"/>
      <c r="R179" s="50"/>
      <c r="S179" s="50"/>
      <c r="T179" s="50"/>
      <c r="U179" s="50"/>
      <c r="V179" s="50"/>
      <c r="W179" s="50"/>
      <c r="X179" s="50"/>
      <c r="Y179" s="50"/>
      <c r="Z179" s="50"/>
    </row>
    <row r="180" spans="1:26" ht="15.75" customHeight="1">
      <c r="A180" s="50"/>
      <c r="B180" s="50"/>
      <c r="C180" s="50"/>
      <c r="D180" s="50"/>
      <c r="E180" s="50"/>
      <c r="F180" s="50"/>
      <c r="G180" s="50"/>
      <c r="H180" s="50"/>
      <c r="I180" s="50"/>
      <c r="J180" s="50"/>
      <c r="K180" s="70"/>
      <c r="L180" s="71"/>
      <c r="M180" s="50"/>
      <c r="N180" s="50"/>
      <c r="O180" s="50"/>
      <c r="P180" s="50"/>
      <c r="Q180" s="50"/>
      <c r="R180" s="50"/>
      <c r="S180" s="50"/>
      <c r="T180" s="50"/>
      <c r="U180" s="50"/>
      <c r="V180" s="50"/>
      <c r="W180" s="50"/>
      <c r="X180" s="50"/>
      <c r="Y180" s="50"/>
      <c r="Z180" s="50"/>
    </row>
    <row r="181" spans="1:26" ht="15.75" customHeight="1">
      <c r="A181" s="50"/>
      <c r="B181" s="50"/>
      <c r="C181" s="50"/>
      <c r="D181" s="50"/>
      <c r="E181" s="50"/>
      <c r="F181" s="50"/>
      <c r="G181" s="50"/>
      <c r="H181" s="50"/>
      <c r="I181" s="50"/>
      <c r="J181" s="50"/>
      <c r="K181" s="70"/>
      <c r="L181" s="71"/>
      <c r="M181" s="50"/>
      <c r="N181" s="50"/>
      <c r="O181" s="50"/>
      <c r="P181" s="50"/>
      <c r="Q181" s="50"/>
      <c r="R181" s="50"/>
      <c r="S181" s="50"/>
      <c r="T181" s="50"/>
      <c r="U181" s="50"/>
      <c r="V181" s="50"/>
      <c r="W181" s="50"/>
      <c r="X181" s="50"/>
      <c r="Y181" s="50"/>
      <c r="Z181" s="50"/>
    </row>
    <row r="182" spans="1:26" ht="15.75" customHeight="1">
      <c r="A182" s="50"/>
      <c r="B182" s="50"/>
      <c r="C182" s="50"/>
      <c r="D182" s="50"/>
      <c r="E182" s="50"/>
      <c r="F182" s="50"/>
      <c r="G182" s="50"/>
      <c r="H182" s="50"/>
      <c r="I182" s="50"/>
      <c r="J182" s="50"/>
      <c r="K182" s="70"/>
      <c r="L182" s="71"/>
      <c r="M182" s="50"/>
      <c r="N182" s="50"/>
      <c r="O182" s="50"/>
      <c r="P182" s="50"/>
      <c r="Q182" s="50"/>
      <c r="R182" s="50"/>
      <c r="S182" s="50"/>
      <c r="T182" s="50"/>
      <c r="U182" s="50"/>
      <c r="V182" s="50"/>
      <c r="W182" s="50"/>
      <c r="X182" s="50"/>
      <c r="Y182" s="50"/>
      <c r="Z182" s="50"/>
    </row>
    <row r="183" spans="1:26" ht="15.75" customHeight="1">
      <c r="A183" s="50"/>
      <c r="B183" s="50"/>
      <c r="C183" s="50"/>
      <c r="D183" s="50"/>
      <c r="E183" s="50"/>
      <c r="F183" s="50"/>
      <c r="G183" s="50"/>
      <c r="H183" s="50"/>
      <c r="I183" s="50"/>
      <c r="J183" s="50"/>
      <c r="K183" s="70"/>
      <c r="L183" s="71"/>
      <c r="M183" s="50"/>
      <c r="N183" s="50"/>
      <c r="O183" s="50"/>
      <c r="P183" s="50"/>
      <c r="Q183" s="50"/>
      <c r="R183" s="50"/>
      <c r="S183" s="50"/>
      <c r="T183" s="50"/>
      <c r="U183" s="50"/>
      <c r="V183" s="50"/>
      <c r="W183" s="50"/>
      <c r="X183" s="50"/>
      <c r="Y183" s="50"/>
      <c r="Z183" s="50"/>
    </row>
    <row r="184" spans="1:26" ht="15.75" customHeight="1">
      <c r="A184" s="50"/>
      <c r="B184" s="50"/>
      <c r="C184" s="50"/>
      <c r="D184" s="50"/>
      <c r="E184" s="50"/>
      <c r="F184" s="50"/>
      <c r="G184" s="50"/>
      <c r="H184" s="50"/>
      <c r="I184" s="50"/>
      <c r="J184" s="50"/>
      <c r="K184" s="70"/>
      <c r="L184" s="71"/>
      <c r="M184" s="50"/>
      <c r="N184" s="50"/>
      <c r="O184" s="50"/>
      <c r="P184" s="50"/>
      <c r="Q184" s="50"/>
      <c r="R184" s="50"/>
      <c r="S184" s="50"/>
      <c r="T184" s="50"/>
      <c r="U184" s="50"/>
      <c r="V184" s="50"/>
      <c r="W184" s="50"/>
      <c r="X184" s="50"/>
      <c r="Y184" s="50"/>
      <c r="Z184" s="50"/>
    </row>
    <row r="185" spans="1:26" ht="15.75" customHeight="1">
      <c r="A185" s="50"/>
      <c r="B185" s="50"/>
      <c r="C185" s="50"/>
      <c r="D185" s="50"/>
      <c r="E185" s="50"/>
      <c r="F185" s="50"/>
      <c r="G185" s="50"/>
      <c r="H185" s="50"/>
      <c r="I185" s="50"/>
      <c r="J185" s="50"/>
      <c r="K185" s="70"/>
      <c r="L185" s="71"/>
      <c r="M185" s="50"/>
      <c r="N185" s="50"/>
      <c r="O185" s="50"/>
      <c r="P185" s="50"/>
      <c r="Q185" s="50"/>
      <c r="R185" s="50"/>
      <c r="S185" s="50"/>
      <c r="T185" s="50"/>
      <c r="U185" s="50"/>
      <c r="V185" s="50"/>
      <c r="W185" s="50"/>
      <c r="X185" s="50"/>
      <c r="Y185" s="50"/>
      <c r="Z185" s="50"/>
    </row>
    <row r="186" spans="1:26" ht="15.75" customHeight="1">
      <c r="A186" s="50"/>
      <c r="B186" s="50"/>
      <c r="C186" s="50"/>
      <c r="D186" s="50"/>
      <c r="E186" s="50"/>
      <c r="F186" s="50"/>
      <c r="G186" s="50"/>
      <c r="H186" s="50"/>
      <c r="I186" s="50"/>
      <c r="J186" s="50"/>
      <c r="K186" s="70"/>
      <c r="L186" s="71"/>
      <c r="M186" s="50"/>
      <c r="N186" s="50"/>
      <c r="O186" s="50"/>
      <c r="P186" s="50"/>
      <c r="Q186" s="50"/>
      <c r="R186" s="50"/>
      <c r="S186" s="50"/>
      <c r="T186" s="50"/>
      <c r="U186" s="50"/>
      <c r="V186" s="50"/>
      <c r="W186" s="50"/>
      <c r="X186" s="50"/>
      <c r="Y186" s="50"/>
      <c r="Z186" s="50"/>
    </row>
    <row r="187" spans="1:26" ht="15.75" customHeight="1">
      <c r="A187" s="50"/>
      <c r="B187" s="50"/>
      <c r="C187" s="50"/>
      <c r="D187" s="50"/>
      <c r="E187" s="50"/>
      <c r="F187" s="50"/>
      <c r="G187" s="50"/>
      <c r="H187" s="50"/>
      <c r="I187" s="50"/>
      <c r="J187" s="50"/>
      <c r="K187" s="70"/>
      <c r="L187" s="71"/>
      <c r="M187" s="50"/>
      <c r="N187" s="50"/>
      <c r="O187" s="50"/>
      <c r="P187" s="50"/>
      <c r="Q187" s="50"/>
      <c r="R187" s="50"/>
      <c r="S187" s="50"/>
      <c r="T187" s="50"/>
      <c r="U187" s="50"/>
      <c r="V187" s="50"/>
      <c r="W187" s="50"/>
      <c r="X187" s="50"/>
      <c r="Y187" s="50"/>
      <c r="Z187" s="50"/>
    </row>
    <row r="188" spans="1:26" ht="15.75" customHeight="1">
      <c r="A188" s="50"/>
      <c r="B188" s="50"/>
      <c r="C188" s="50"/>
      <c r="D188" s="50"/>
      <c r="E188" s="50"/>
      <c r="F188" s="50"/>
      <c r="G188" s="50"/>
      <c r="H188" s="50"/>
      <c r="I188" s="50"/>
      <c r="J188" s="50"/>
      <c r="K188" s="70"/>
      <c r="L188" s="71"/>
      <c r="M188" s="50"/>
      <c r="N188" s="50"/>
      <c r="O188" s="50"/>
      <c r="P188" s="50"/>
      <c r="Q188" s="50"/>
      <c r="R188" s="50"/>
      <c r="S188" s="50"/>
      <c r="T188" s="50"/>
      <c r="U188" s="50"/>
      <c r="V188" s="50"/>
      <c r="W188" s="50"/>
      <c r="X188" s="50"/>
      <c r="Y188" s="50"/>
      <c r="Z188" s="50"/>
    </row>
    <row r="189" spans="1:26" ht="15.75" customHeight="1">
      <c r="A189" s="50"/>
      <c r="B189" s="50"/>
      <c r="C189" s="50"/>
      <c r="D189" s="50"/>
      <c r="E189" s="50"/>
      <c r="F189" s="50"/>
      <c r="G189" s="50"/>
      <c r="H189" s="50"/>
      <c r="I189" s="50"/>
      <c r="J189" s="50"/>
      <c r="K189" s="70"/>
      <c r="L189" s="71"/>
      <c r="M189" s="50"/>
      <c r="N189" s="50"/>
      <c r="O189" s="50"/>
      <c r="P189" s="50"/>
      <c r="Q189" s="50"/>
      <c r="R189" s="50"/>
      <c r="S189" s="50"/>
      <c r="T189" s="50"/>
      <c r="U189" s="50"/>
      <c r="V189" s="50"/>
      <c r="W189" s="50"/>
      <c r="X189" s="50"/>
      <c r="Y189" s="50"/>
      <c r="Z189" s="50"/>
    </row>
    <row r="190" spans="1:26" ht="15.75" customHeight="1">
      <c r="A190" s="50"/>
      <c r="B190" s="50"/>
      <c r="C190" s="50"/>
      <c r="D190" s="50"/>
      <c r="E190" s="50"/>
      <c r="F190" s="50"/>
      <c r="G190" s="50"/>
      <c r="H190" s="50"/>
      <c r="I190" s="50"/>
      <c r="J190" s="50"/>
      <c r="K190" s="70"/>
      <c r="L190" s="71"/>
      <c r="M190" s="50"/>
      <c r="N190" s="50"/>
      <c r="O190" s="50"/>
      <c r="P190" s="50"/>
      <c r="Q190" s="50"/>
      <c r="R190" s="50"/>
      <c r="S190" s="50"/>
      <c r="T190" s="50"/>
      <c r="U190" s="50"/>
      <c r="V190" s="50"/>
      <c r="W190" s="50"/>
      <c r="X190" s="50"/>
      <c r="Y190" s="50"/>
      <c r="Z190" s="50"/>
    </row>
    <row r="191" spans="1:26" ht="15.75" customHeight="1">
      <c r="A191" s="50"/>
      <c r="B191" s="50"/>
      <c r="C191" s="50"/>
      <c r="D191" s="50"/>
      <c r="E191" s="50"/>
      <c r="F191" s="50"/>
      <c r="G191" s="50"/>
      <c r="H191" s="50"/>
      <c r="I191" s="50"/>
      <c r="J191" s="50"/>
      <c r="K191" s="70"/>
      <c r="L191" s="71"/>
      <c r="M191" s="50"/>
      <c r="N191" s="50"/>
      <c r="O191" s="50"/>
      <c r="P191" s="50"/>
      <c r="Q191" s="50"/>
      <c r="R191" s="50"/>
      <c r="S191" s="50"/>
      <c r="T191" s="50"/>
      <c r="U191" s="50"/>
      <c r="V191" s="50"/>
      <c r="W191" s="50"/>
      <c r="X191" s="50"/>
      <c r="Y191" s="50"/>
      <c r="Z191" s="50"/>
    </row>
    <row r="192" spans="1:26" ht="15.75" customHeight="1">
      <c r="A192" s="50"/>
      <c r="B192" s="50"/>
      <c r="C192" s="50"/>
      <c r="D192" s="50"/>
      <c r="E192" s="50"/>
      <c r="F192" s="50"/>
      <c r="G192" s="50"/>
      <c r="H192" s="50"/>
      <c r="I192" s="50"/>
      <c r="J192" s="50"/>
      <c r="K192" s="70"/>
      <c r="L192" s="71"/>
      <c r="M192" s="50"/>
      <c r="N192" s="50"/>
      <c r="O192" s="50"/>
      <c r="P192" s="50"/>
      <c r="Q192" s="50"/>
      <c r="R192" s="50"/>
      <c r="S192" s="50"/>
      <c r="T192" s="50"/>
      <c r="U192" s="50"/>
      <c r="V192" s="50"/>
      <c r="W192" s="50"/>
      <c r="X192" s="50"/>
      <c r="Y192" s="50"/>
      <c r="Z192" s="50"/>
    </row>
    <row r="193" spans="1:26" ht="15.75" customHeight="1">
      <c r="A193" s="50"/>
      <c r="B193" s="50"/>
      <c r="C193" s="50"/>
      <c r="D193" s="50"/>
      <c r="E193" s="50"/>
      <c r="F193" s="50"/>
      <c r="G193" s="50"/>
      <c r="H193" s="50"/>
      <c r="I193" s="50"/>
      <c r="J193" s="50"/>
      <c r="K193" s="70"/>
      <c r="L193" s="71"/>
      <c r="M193" s="50"/>
      <c r="N193" s="50"/>
      <c r="O193" s="50"/>
      <c r="P193" s="50"/>
      <c r="Q193" s="50"/>
      <c r="R193" s="50"/>
      <c r="S193" s="50"/>
      <c r="T193" s="50"/>
      <c r="U193" s="50"/>
      <c r="V193" s="50"/>
      <c r="W193" s="50"/>
      <c r="X193" s="50"/>
      <c r="Y193" s="50"/>
      <c r="Z193" s="50"/>
    </row>
    <row r="194" spans="1:26" ht="15.75" customHeight="1">
      <c r="A194" s="50"/>
      <c r="B194" s="50"/>
      <c r="C194" s="50"/>
      <c r="D194" s="50"/>
      <c r="E194" s="50"/>
      <c r="F194" s="50"/>
      <c r="G194" s="50"/>
      <c r="H194" s="50"/>
      <c r="I194" s="50"/>
      <c r="J194" s="50"/>
      <c r="K194" s="70"/>
      <c r="L194" s="71"/>
      <c r="M194" s="50"/>
      <c r="N194" s="50"/>
      <c r="O194" s="50"/>
      <c r="P194" s="50"/>
      <c r="Q194" s="50"/>
      <c r="R194" s="50"/>
      <c r="S194" s="50"/>
      <c r="T194" s="50"/>
      <c r="U194" s="50"/>
      <c r="V194" s="50"/>
      <c r="W194" s="50"/>
      <c r="X194" s="50"/>
      <c r="Y194" s="50"/>
      <c r="Z194" s="50"/>
    </row>
    <row r="195" spans="1:26" ht="15.75" customHeight="1">
      <c r="A195" s="50"/>
      <c r="B195" s="50"/>
      <c r="C195" s="50"/>
      <c r="D195" s="50"/>
      <c r="E195" s="50"/>
      <c r="F195" s="50"/>
      <c r="G195" s="50"/>
      <c r="H195" s="50"/>
      <c r="I195" s="50"/>
      <c r="J195" s="50"/>
      <c r="K195" s="70"/>
      <c r="L195" s="71"/>
      <c r="M195" s="50"/>
      <c r="N195" s="50"/>
      <c r="O195" s="50"/>
      <c r="P195" s="50"/>
      <c r="Q195" s="50"/>
      <c r="R195" s="50"/>
      <c r="S195" s="50"/>
      <c r="T195" s="50"/>
      <c r="U195" s="50"/>
      <c r="V195" s="50"/>
      <c r="W195" s="50"/>
      <c r="X195" s="50"/>
      <c r="Y195" s="50"/>
      <c r="Z195" s="50"/>
    </row>
    <row r="196" spans="1:26" ht="15.75" customHeight="1">
      <c r="A196" s="50"/>
      <c r="B196" s="50"/>
      <c r="C196" s="50"/>
      <c r="D196" s="50"/>
      <c r="E196" s="50"/>
      <c r="F196" s="50"/>
      <c r="G196" s="50"/>
      <c r="H196" s="50"/>
      <c r="I196" s="50"/>
      <c r="J196" s="50"/>
      <c r="K196" s="70"/>
      <c r="L196" s="71"/>
      <c r="M196" s="50"/>
      <c r="N196" s="50"/>
      <c r="O196" s="50"/>
      <c r="P196" s="50"/>
      <c r="Q196" s="50"/>
      <c r="R196" s="50"/>
      <c r="S196" s="50"/>
      <c r="T196" s="50"/>
      <c r="U196" s="50"/>
      <c r="V196" s="50"/>
      <c r="W196" s="50"/>
      <c r="X196" s="50"/>
      <c r="Y196" s="50"/>
      <c r="Z196" s="50"/>
    </row>
    <row r="197" spans="1:26" ht="15.75" customHeight="1">
      <c r="A197" s="50"/>
      <c r="B197" s="50"/>
      <c r="C197" s="50"/>
      <c r="D197" s="50"/>
      <c r="E197" s="50"/>
      <c r="F197" s="50"/>
      <c r="G197" s="50"/>
      <c r="H197" s="50"/>
      <c r="I197" s="50"/>
      <c r="J197" s="50"/>
      <c r="K197" s="70"/>
      <c r="L197" s="71"/>
      <c r="M197" s="50"/>
      <c r="N197" s="50"/>
      <c r="O197" s="50"/>
      <c r="P197" s="50"/>
      <c r="Q197" s="50"/>
      <c r="R197" s="50"/>
      <c r="S197" s="50"/>
      <c r="T197" s="50"/>
      <c r="U197" s="50"/>
      <c r="V197" s="50"/>
      <c r="W197" s="50"/>
      <c r="X197" s="50"/>
      <c r="Y197" s="50"/>
      <c r="Z197" s="50"/>
    </row>
    <row r="198" spans="1:26" ht="15.75" customHeight="1">
      <c r="A198" s="50"/>
      <c r="B198" s="50"/>
      <c r="C198" s="50"/>
      <c r="D198" s="50"/>
      <c r="E198" s="50"/>
      <c r="F198" s="50"/>
      <c r="G198" s="50"/>
      <c r="H198" s="50"/>
      <c r="I198" s="50"/>
      <c r="J198" s="50"/>
      <c r="K198" s="70"/>
      <c r="L198" s="71"/>
      <c r="M198" s="50"/>
      <c r="N198" s="50"/>
      <c r="O198" s="50"/>
      <c r="P198" s="50"/>
      <c r="Q198" s="50"/>
      <c r="R198" s="50"/>
      <c r="S198" s="50"/>
      <c r="T198" s="50"/>
      <c r="U198" s="50"/>
      <c r="V198" s="50"/>
      <c r="W198" s="50"/>
      <c r="X198" s="50"/>
      <c r="Y198" s="50"/>
      <c r="Z198" s="50"/>
    </row>
    <row r="199" spans="1:26" ht="15.75" customHeight="1">
      <c r="A199" s="50"/>
      <c r="B199" s="50"/>
      <c r="C199" s="50"/>
      <c r="D199" s="50"/>
      <c r="E199" s="50"/>
      <c r="F199" s="50"/>
      <c r="G199" s="50"/>
      <c r="H199" s="50"/>
      <c r="I199" s="50"/>
      <c r="J199" s="50"/>
      <c r="K199" s="70"/>
      <c r="L199" s="71"/>
      <c r="M199" s="50"/>
      <c r="N199" s="50"/>
      <c r="O199" s="50"/>
      <c r="P199" s="50"/>
      <c r="Q199" s="50"/>
      <c r="R199" s="50"/>
      <c r="S199" s="50"/>
      <c r="T199" s="50"/>
      <c r="U199" s="50"/>
      <c r="V199" s="50"/>
      <c r="W199" s="50"/>
      <c r="X199" s="50"/>
      <c r="Y199" s="50"/>
      <c r="Z199" s="50"/>
    </row>
    <row r="200" spans="1:26" ht="15.75" customHeight="1">
      <c r="A200" s="50"/>
      <c r="B200" s="50"/>
      <c r="C200" s="50"/>
      <c r="D200" s="50"/>
      <c r="E200" s="50"/>
      <c r="F200" s="50"/>
      <c r="G200" s="50"/>
      <c r="H200" s="50"/>
      <c r="I200" s="50"/>
      <c r="J200" s="50"/>
      <c r="K200" s="70"/>
      <c r="L200" s="71"/>
      <c r="M200" s="50"/>
      <c r="N200" s="50"/>
      <c r="O200" s="50"/>
      <c r="P200" s="50"/>
      <c r="Q200" s="50"/>
      <c r="R200" s="50"/>
      <c r="S200" s="50"/>
      <c r="T200" s="50"/>
      <c r="U200" s="50"/>
      <c r="V200" s="50"/>
      <c r="W200" s="50"/>
      <c r="X200" s="50"/>
      <c r="Y200" s="50"/>
      <c r="Z200" s="50"/>
    </row>
    <row r="201" spans="1:26" ht="15.75" customHeight="1">
      <c r="A201" s="50"/>
      <c r="B201" s="50"/>
      <c r="C201" s="50"/>
      <c r="D201" s="50"/>
      <c r="E201" s="50"/>
      <c r="F201" s="50"/>
      <c r="G201" s="50"/>
      <c r="H201" s="50"/>
      <c r="I201" s="50"/>
      <c r="J201" s="50"/>
      <c r="K201" s="70"/>
      <c r="L201" s="71"/>
      <c r="M201" s="50"/>
      <c r="N201" s="50"/>
      <c r="O201" s="50"/>
      <c r="P201" s="50"/>
      <c r="Q201" s="50"/>
      <c r="R201" s="50"/>
      <c r="S201" s="50"/>
      <c r="T201" s="50"/>
      <c r="U201" s="50"/>
      <c r="V201" s="50"/>
      <c r="W201" s="50"/>
      <c r="X201" s="50"/>
      <c r="Y201" s="50"/>
      <c r="Z201" s="50"/>
    </row>
    <row r="202" spans="1:26" ht="15.75" customHeight="1">
      <c r="A202" s="50"/>
      <c r="B202" s="50"/>
      <c r="C202" s="50"/>
      <c r="D202" s="50"/>
      <c r="E202" s="50"/>
      <c r="F202" s="50"/>
      <c r="G202" s="50"/>
      <c r="H202" s="50"/>
      <c r="I202" s="50"/>
      <c r="J202" s="50"/>
      <c r="K202" s="70"/>
      <c r="L202" s="71"/>
      <c r="M202" s="50"/>
      <c r="N202" s="50"/>
      <c r="O202" s="50"/>
      <c r="P202" s="50"/>
      <c r="Q202" s="50"/>
      <c r="R202" s="50"/>
      <c r="S202" s="50"/>
      <c r="T202" s="50"/>
      <c r="U202" s="50"/>
      <c r="V202" s="50"/>
      <c r="W202" s="50"/>
      <c r="X202" s="50"/>
      <c r="Y202" s="50"/>
      <c r="Z202" s="50"/>
    </row>
    <row r="203" spans="1:26" ht="15.75" customHeight="1">
      <c r="A203" s="50"/>
      <c r="B203" s="50"/>
      <c r="C203" s="50"/>
      <c r="D203" s="50"/>
      <c r="E203" s="50"/>
      <c r="F203" s="50"/>
      <c r="G203" s="50"/>
      <c r="H203" s="50"/>
      <c r="I203" s="50"/>
      <c r="J203" s="50"/>
      <c r="K203" s="70"/>
      <c r="L203" s="71"/>
      <c r="M203" s="50"/>
      <c r="N203" s="50"/>
      <c r="O203" s="50"/>
      <c r="P203" s="50"/>
      <c r="Q203" s="50"/>
      <c r="R203" s="50"/>
      <c r="S203" s="50"/>
      <c r="T203" s="50"/>
      <c r="U203" s="50"/>
      <c r="V203" s="50"/>
      <c r="W203" s="50"/>
      <c r="X203" s="50"/>
      <c r="Y203" s="50"/>
      <c r="Z203" s="50"/>
    </row>
    <row r="204" spans="1:26" ht="15.75" customHeight="1">
      <c r="A204" s="50"/>
      <c r="B204" s="50"/>
      <c r="C204" s="50"/>
      <c r="D204" s="50"/>
      <c r="E204" s="50"/>
      <c r="F204" s="50"/>
      <c r="G204" s="50"/>
      <c r="H204" s="50"/>
      <c r="I204" s="50"/>
      <c r="J204" s="50"/>
      <c r="K204" s="70"/>
      <c r="L204" s="71"/>
      <c r="M204" s="50"/>
      <c r="N204" s="50"/>
      <c r="O204" s="50"/>
      <c r="P204" s="50"/>
      <c r="Q204" s="50"/>
      <c r="R204" s="50"/>
      <c r="S204" s="50"/>
      <c r="T204" s="50"/>
      <c r="U204" s="50"/>
      <c r="V204" s="50"/>
      <c r="W204" s="50"/>
      <c r="X204" s="50"/>
      <c r="Y204" s="50"/>
      <c r="Z204" s="50"/>
    </row>
    <row r="205" spans="1:26" ht="15.75" customHeight="1">
      <c r="A205" s="50"/>
      <c r="B205" s="50"/>
      <c r="C205" s="50"/>
      <c r="D205" s="50"/>
      <c r="E205" s="50"/>
      <c r="F205" s="50"/>
      <c r="G205" s="50"/>
      <c r="H205" s="50"/>
      <c r="I205" s="50"/>
      <c r="J205" s="50"/>
      <c r="K205" s="70"/>
      <c r="L205" s="71"/>
      <c r="M205" s="50"/>
      <c r="N205" s="50"/>
      <c r="O205" s="50"/>
      <c r="P205" s="50"/>
      <c r="Q205" s="50"/>
      <c r="R205" s="50"/>
      <c r="S205" s="50"/>
      <c r="T205" s="50"/>
      <c r="U205" s="50"/>
      <c r="V205" s="50"/>
      <c r="W205" s="50"/>
      <c r="X205" s="50"/>
      <c r="Y205" s="50"/>
      <c r="Z205" s="50"/>
    </row>
    <row r="206" spans="1:26" ht="15.75" customHeight="1">
      <c r="A206" s="50"/>
      <c r="B206" s="50"/>
      <c r="C206" s="50"/>
      <c r="D206" s="50"/>
      <c r="E206" s="50"/>
      <c r="F206" s="50"/>
      <c r="G206" s="50"/>
      <c r="H206" s="50"/>
      <c r="I206" s="50"/>
      <c r="J206" s="50"/>
      <c r="K206" s="70"/>
      <c r="L206" s="71"/>
      <c r="M206" s="50"/>
      <c r="N206" s="50"/>
      <c r="O206" s="50"/>
      <c r="P206" s="50"/>
      <c r="Q206" s="50"/>
      <c r="R206" s="50"/>
      <c r="S206" s="50"/>
      <c r="T206" s="50"/>
      <c r="U206" s="50"/>
      <c r="V206" s="50"/>
      <c r="W206" s="50"/>
      <c r="X206" s="50"/>
      <c r="Y206" s="50"/>
      <c r="Z206" s="50"/>
    </row>
    <row r="207" spans="1:26" ht="15.75" customHeight="1">
      <c r="A207" s="50"/>
      <c r="B207" s="50"/>
      <c r="C207" s="50"/>
      <c r="D207" s="50"/>
      <c r="E207" s="50"/>
      <c r="F207" s="50"/>
      <c r="G207" s="50"/>
      <c r="H207" s="50"/>
      <c r="I207" s="50"/>
      <c r="J207" s="50"/>
      <c r="K207" s="70"/>
      <c r="L207" s="71"/>
      <c r="M207" s="50"/>
      <c r="N207" s="50"/>
      <c r="O207" s="50"/>
      <c r="P207" s="50"/>
      <c r="Q207" s="50"/>
      <c r="R207" s="50"/>
      <c r="S207" s="50"/>
      <c r="T207" s="50"/>
      <c r="U207" s="50"/>
      <c r="V207" s="50"/>
      <c r="W207" s="50"/>
      <c r="X207" s="50"/>
      <c r="Y207" s="50"/>
      <c r="Z207" s="50"/>
    </row>
    <row r="208" spans="1:26" ht="15.75" customHeight="1">
      <c r="A208" s="50"/>
      <c r="B208" s="50"/>
      <c r="C208" s="50"/>
      <c r="D208" s="50"/>
      <c r="E208" s="50"/>
      <c r="F208" s="50"/>
      <c r="G208" s="50"/>
      <c r="H208" s="50"/>
      <c r="I208" s="50"/>
      <c r="J208" s="50"/>
      <c r="K208" s="70"/>
      <c r="L208" s="71"/>
      <c r="M208" s="50"/>
      <c r="N208" s="50"/>
      <c r="O208" s="50"/>
      <c r="P208" s="50"/>
      <c r="Q208" s="50"/>
      <c r="R208" s="50"/>
      <c r="S208" s="50"/>
      <c r="T208" s="50"/>
      <c r="U208" s="50"/>
      <c r="V208" s="50"/>
      <c r="W208" s="50"/>
      <c r="X208" s="50"/>
      <c r="Y208" s="50"/>
      <c r="Z208" s="50"/>
    </row>
    <row r="209" spans="1:26" ht="15.75" customHeight="1">
      <c r="A209" s="50"/>
      <c r="B209" s="50"/>
      <c r="C209" s="50"/>
      <c r="D209" s="50"/>
      <c r="E209" s="50"/>
      <c r="F209" s="50"/>
      <c r="G209" s="50"/>
      <c r="H209" s="50"/>
      <c r="I209" s="50"/>
      <c r="J209" s="50"/>
      <c r="K209" s="70"/>
      <c r="L209" s="71"/>
      <c r="M209" s="50"/>
      <c r="N209" s="50"/>
      <c r="O209" s="50"/>
      <c r="P209" s="50"/>
      <c r="Q209" s="50"/>
      <c r="R209" s="50"/>
      <c r="S209" s="50"/>
      <c r="T209" s="50"/>
      <c r="U209" s="50"/>
      <c r="V209" s="50"/>
      <c r="W209" s="50"/>
      <c r="X209" s="50"/>
      <c r="Y209" s="50"/>
      <c r="Z209" s="50"/>
    </row>
    <row r="210" spans="1:26" ht="15.75" customHeight="1">
      <c r="A210" s="50"/>
      <c r="B210" s="50"/>
      <c r="C210" s="50"/>
      <c r="D210" s="50"/>
      <c r="E210" s="50"/>
      <c r="F210" s="50"/>
      <c r="G210" s="50"/>
      <c r="H210" s="50"/>
      <c r="I210" s="50"/>
      <c r="J210" s="50"/>
      <c r="K210" s="70"/>
      <c r="L210" s="71"/>
      <c r="M210" s="50"/>
      <c r="N210" s="50"/>
      <c r="O210" s="50"/>
      <c r="P210" s="50"/>
      <c r="Q210" s="50"/>
      <c r="R210" s="50"/>
      <c r="S210" s="50"/>
      <c r="T210" s="50"/>
      <c r="U210" s="50"/>
      <c r="V210" s="50"/>
      <c r="W210" s="50"/>
      <c r="X210" s="50"/>
      <c r="Y210" s="50"/>
      <c r="Z210" s="50"/>
    </row>
    <row r="211" spans="1:26" ht="15.75" customHeight="1">
      <c r="A211" s="50"/>
      <c r="B211" s="50"/>
      <c r="C211" s="50"/>
      <c r="D211" s="50"/>
      <c r="E211" s="50"/>
      <c r="F211" s="50"/>
      <c r="G211" s="50"/>
      <c r="H211" s="50"/>
      <c r="I211" s="50"/>
      <c r="J211" s="50"/>
      <c r="K211" s="70"/>
      <c r="L211" s="71"/>
      <c r="M211" s="50"/>
      <c r="N211" s="50"/>
      <c r="O211" s="50"/>
      <c r="P211" s="50"/>
      <c r="Q211" s="50"/>
      <c r="R211" s="50"/>
      <c r="S211" s="50"/>
      <c r="T211" s="50"/>
      <c r="U211" s="50"/>
      <c r="V211" s="50"/>
      <c r="W211" s="50"/>
      <c r="X211" s="50"/>
      <c r="Y211" s="50"/>
      <c r="Z211" s="50"/>
    </row>
    <row r="212" spans="1:26" ht="15.75" customHeight="1">
      <c r="A212" s="50"/>
      <c r="B212" s="50"/>
      <c r="C212" s="50"/>
      <c r="D212" s="50"/>
      <c r="E212" s="50"/>
      <c r="F212" s="50"/>
      <c r="G212" s="50"/>
      <c r="H212" s="50"/>
      <c r="I212" s="50"/>
      <c r="J212" s="50"/>
      <c r="K212" s="70"/>
      <c r="L212" s="71"/>
      <c r="M212" s="50"/>
      <c r="N212" s="50"/>
      <c r="O212" s="50"/>
      <c r="P212" s="50"/>
      <c r="Q212" s="50"/>
      <c r="R212" s="50"/>
      <c r="S212" s="50"/>
      <c r="T212" s="50"/>
      <c r="U212" s="50"/>
      <c r="V212" s="50"/>
      <c r="W212" s="50"/>
      <c r="X212" s="50"/>
      <c r="Y212" s="50"/>
      <c r="Z212" s="50"/>
    </row>
    <row r="213" spans="1:26" ht="15.75" customHeight="1">
      <c r="A213" s="50"/>
      <c r="B213" s="50"/>
      <c r="C213" s="50"/>
      <c r="D213" s="50"/>
      <c r="E213" s="50"/>
      <c r="F213" s="50"/>
      <c r="G213" s="50"/>
      <c r="H213" s="50"/>
      <c r="I213" s="50"/>
      <c r="J213" s="50"/>
      <c r="K213" s="70"/>
      <c r="L213" s="71"/>
      <c r="M213" s="50"/>
      <c r="N213" s="50"/>
      <c r="O213" s="50"/>
      <c r="P213" s="50"/>
      <c r="Q213" s="50"/>
      <c r="R213" s="50"/>
      <c r="S213" s="50"/>
      <c r="T213" s="50"/>
      <c r="U213" s="50"/>
      <c r="V213" s="50"/>
      <c r="W213" s="50"/>
      <c r="X213" s="50"/>
      <c r="Y213" s="50"/>
      <c r="Z213" s="50"/>
    </row>
    <row r="214" spans="1:26" ht="15.75" customHeight="1">
      <c r="A214" s="50"/>
      <c r="B214" s="50"/>
      <c r="C214" s="50"/>
      <c r="D214" s="50"/>
      <c r="E214" s="50"/>
      <c r="F214" s="50"/>
      <c r="G214" s="50"/>
      <c r="H214" s="50"/>
      <c r="I214" s="50"/>
      <c r="J214" s="50"/>
      <c r="K214" s="70"/>
      <c r="L214" s="71"/>
      <c r="M214" s="50"/>
      <c r="N214" s="50"/>
      <c r="O214" s="50"/>
      <c r="P214" s="50"/>
      <c r="Q214" s="50"/>
      <c r="R214" s="50"/>
      <c r="S214" s="50"/>
      <c r="T214" s="50"/>
      <c r="U214" s="50"/>
      <c r="V214" s="50"/>
      <c r="W214" s="50"/>
      <c r="X214" s="50"/>
      <c r="Y214" s="50"/>
      <c r="Z214" s="50"/>
    </row>
    <row r="215" spans="1:26" ht="15.75" customHeight="1">
      <c r="A215" s="50"/>
      <c r="B215" s="50"/>
      <c r="C215" s="50"/>
      <c r="D215" s="50"/>
      <c r="E215" s="50"/>
      <c r="F215" s="50"/>
      <c r="G215" s="50"/>
      <c r="H215" s="50"/>
      <c r="I215" s="50"/>
      <c r="J215" s="50"/>
      <c r="K215" s="70"/>
      <c r="L215" s="71"/>
      <c r="M215" s="50"/>
      <c r="N215" s="50"/>
      <c r="O215" s="50"/>
      <c r="P215" s="50"/>
      <c r="Q215" s="50"/>
      <c r="R215" s="50"/>
      <c r="S215" s="50"/>
      <c r="T215" s="50"/>
      <c r="U215" s="50"/>
      <c r="V215" s="50"/>
      <c r="W215" s="50"/>
      <c r="X215" s="50"/>
      <c r="Y215" s="50"/>
      <c r="Z215" s="50"/>
    </row>
    <row r="216" spans="1:26" ht="15.75" customHeight="1">
      <c r="A216" s="50"/>
      <c r="B216" s="50"/>
      <c r="C216" s="50"/>
      <c r="D216" s="50"/>
      <c r="E216" s="50"/>
      <c r="F216" s="50"/>
      <c r="G216" s="50"/>
      <c r="H216" s="50"/>
      <c r="I216" s="50"/>
      <c r="J216" s="50"/>
      <c r="K216" s="70"/>
      <c r="L216" s="71"/>
      <c r="M216" s="50"/>
      <c r="N216" s="50"/>
      <c r="O216" s="50"/>
      <c r="P216" s="50"/>
      <c r="Q216" s="50"/>
      <c r="R216" s="50"/>
      <c r="S216" s="50"/>
      <c r="T216" s="50"/>
      <c r="U216" s="50"/>
      <c r="V216" s="50"/>
      <c r="W216" s="50"/>
      <c r="X216" s="50"/>
      <c r="Y216" s="50"/>
      <c r="Z216" s="50"/>
    </row>
    <row r="217" spans="1:26" ht="15.75" customHeight="1">
      <c r="A217" s="50"/>
      <c r="B217" s="50"/>
      <c r="C217" s="50"/>
      <c r="D217" s="50"/>
      <c r="E217" s="50"/>
      <c r="F217" s="50"/>
      <c r="G217" s="50"/>
      <c r="H217" s="50"/>
      <c r="I217" s="50"/>
      <c r="J217" s="50"/>
      <c r="K217" s="70"/>
      <c r="L217" s="71"/>
      <c r="M217" s="50"/>
      <c r="N217" s="50"/>
      <c r="O217" s="50"/>
      <c r="P217" s="50"/>
      <c r="Q217" s="50"/>
      <c r="R217" s="50"/>
      <c r="S217" s="50"/>
      <c r="T217" s="50"/>
      <c r="U217" s="50"/>
      <c r="V217" s="50"/>
      <c r="W217" s="50"/>
      <c r="X217" s="50"/>
      <c r="Y217" s="50"/>
      <c r="Z217" s="50"/>
    </row>
    <row r="218" spans="1:26" ht="15.75" customHeight="1">
      <c r="A218" s="50"/>
      <c r="B218" s="50"/>
      <c r="C218" s="50"/>
      <c r="D218" s="50"/>
      <c r="E218" s="50"/>
      <c r="F218" s="50"/>
      <c r="G218" s="50"/>
      <c r="H218" s="50"/>
      <c r="I218" s="50"/>
      <c r="J218" s="50"/>
      <c r="K218" s="70"/>
      <c r="L218" s="71"/>
      <c r="M218" s="50"/>
      <c r="N218" s="50"/>
      <c r="O218" s="50"/>
      <c r="P218" s="50"/>
      <c r="Q218" s="50"/>
      <c r="R218" s="50"/>
      <c r="S218" s="50"/>
      <c r="T218" s="50"/>
      <c r="U218" s="50"/>
      <c r="V218" s="50"/>
      <c r="W218" s="50"/>
      <c r="X218" s="50"/>
      <c r="Y218" s="50"/>
      <c r="Z218" s="50"/>
    </row>
    <row r="219" spans="1:26" ht="15.75" customHeight="1">
      <c r="A219" s="50"/>
      <c r="B219" s="50"/>
      <c r="C219" s="50"/>
      <c r="D219" s="50"/>
      <c r="E219" s="50"/>
      <c r="F219" s="50"/>
      <c r="G219" s="50"/>
      <c r="H219" s="50"/>
      <c r="I219" s="50"/>
      <c r="J219" s="50"/>
      <c r="K219" s="70"/>
      <c r="L219" s="71"/>
      <c r="M219" s="50"/>
      <c r="N219" s="50"/>
      <c r="O219" s="50"/>
      <c r="P219" s="50"/>
      <c r="Q219" s="50"/>
      <c r="R219" s="50"/>
      <c r="S219" s="50"/>
      <c r="T219" s="50"/>
      <c r="U219" s="50"/>
      <c r="V219" s="50"/>
      <c r="W219" s="50"/>
      <c r="X219" s="50"/>
      <c r="Y219" s="50"/>
      <c r="Z219" s="50"/>
    </row>
    <row r="220" spans="1:26" ht="15.75" customHeight="1">
      <c r="A220" s="50"/>
      <c r="B220" s="50"/>
      <c r="C220" s="50"/>
      <c r="D220" s="50"/>
      <c r="E220" s="50"/>
      <c r="F220" s="50"/>
      <c r="G220" s="50"/>
      <c r="H220" s="50"/>
      <c r="I220" s="50"/>
      <c r="J220" s="50"/>
      <c r="K220" s="70"/>
      <c r="L220" s="71"/>
      <c r="M220" s="50"/>
      <c r="N220" s="50"/>
      <c r="O220" s="50"/>
      <c r="P220" s="50"/>
      <c r="Q220" s="50"/>
      <c r="R220" s="50"/>
      <c r="S220" s="50"/>
      <c r="T220" s="50"/>
      <c r="U220" s="50"/>
      <c r="V220" s="50"/>
      <c r="W220" s="50"/>
      <c r="X220" s="50"/>
      <c r="Y220" s="50"/>
      <c r="Z220" s="50"/>
    </row>
    <row r="221" spans="1:26" ht="15.75" customHeight="1">
      <c r="A221" s="50"/>
      <c r="B221" s="50"/>
      <c r="C221" s="50"/>
      <c r="D221" s="50"/>
      <c r="E221" s="50"/>
      <c r="F221" s="50"/>
      <c r="G221" s="50"/>
      <c r="H221" s="50"/>
      <c r="I221" s="50"/>
      <c r="J221" s="50"/>
      <c r="K221" s="70"/>
      <c r="L221" s="71"/>
      <c r="M221" s="50"/>
      <c r="N221" s="50"/>
      <c r="O221" s="50"/>
      <c r="P221" s="50"/>
      <c r="Q221" s="50"/>
      <c r="R221" s="50"/>
      <c r="S221" s="50"/>
      <c r="T221" s="50"/>
      <c r="U221" s="50"/>
      <c r="V221" s="50"/>
      <c r="W221" s="50"/>
      <c r="X221" s="50"/>
      <c r="Y221" s="50"/>
      <c r="Z221" s="50"/>
    </row>
    <row r="222" spans="1:26" ht="15.75" customHeight="1">
      <c r="A222" s="50"/>
      <c r="B222" s="50"/>
      <c r="C222" s="50"/>
      <c r="D222" s="50"/>
      <c r="E222" s="50"/>
      <c r="F222" s="50"/>
      <c r="G222" s="50"/>
      <c r="H222" s="50"/>
      <c r="I222" s="50"/>
      <c r="J222" s="50"/>
      <c r="K222" s="70"/>
      <c r="L222" s="71"/>
      <c r="M222" s="50"/>
      <c r="N222" s="50"/>
      <c r="O222" s="50"/>
      <c r="P222" s="50"/>
      <c r="Q222" s="50"/>
      <c r="R222" s="50"/>
      <c r="S222" s="50"/>
      <c r="T222" s="50"/>
      <c r="U222" s="50"/>
      <c r="V222" s="50"/>
      <c r="W222" s="50"/>
      <c r="X222" s="50"/>
      <c r="Y222" s="50"/>
      <c r="Z222" s="50"/>
    </row>
    <row r="223" spans="1:26" ht="15.75" customHeight="1">
      <c r="A223" s="50"/>
      <c r="B223" s="50"/>
      <c r="C223" s="50"/>
      <c r="D223" s="50"/>
      <c r="E223" s="50"/>
      <c r="F223" s="50"/>
      <c r="G223" s="50"/>
      <c r="H223" s="50"/>
      <c r="I223" s="50"/>
      <c r="J223" s="50"/>
      <c r="K223" s="70"/>
      <c r="L223" s="71"/>
      <c r="M223" s="50"/>
      <c r="N223" s="50"/>
      <c r="O223" s="50"/>
      <c r="P223" s="50"/>
      <c r="Q223" s="50"/>
      <c r="R223" s="50"/>
      <c r="S223" s="50"/>
      <c r="T223" s="50"/>
      <c r="U223" s="50"/>
      <c r="V223" s="50"/>
      <c r="W223" s="50"/>
      <c r="X223" s="50"/>
      <c r="Y223" s="50"/>
      <c r="Z223" s="50"/>
    </row>
    <row r="224" spans="1:26" ht="15.75" customHeight="1">
      <c r="A224" s="50"/>
      <c r="B224" s="50"/>
      <c r="C224" s="50"/>
      <c r="D224" s="50"/>
      <c r="E224" s="50"/>
      <c r="F224" s="50"/>
      <c r="G224" s="50"/>
      <c r="H224" s="50"/>
      <c r="I224" s="50"/>
      <c r="J224" s="50"/>
      <c r="K224" s="70"/>
      <c r="L224" s="71"/>
      <c r="M224" s="50"/>
      <c r="N224" s="50"/>
      <c r="O224" s="50"/>
      <c r="P224" s="50"/>
      <c r="Q224" s="50"/>
      <c r="R224" s="50"/>
      <c r="S224" s="50"/>
      <c r="T224" s="50"/>
      <c r="U224" s="50"/>
      <c r="V224" s="50"/>
      <c r="W224" s="50"/>
      <c r="X224" s="50"/>
      <c r="Y224" s="50"/>
      <c r="Z224" s="50"/>
    </row>
    <row r="225" spans="1:26" ht="15.75" customHeight="1">
      <c r="A225" s="50"/>
      <c r="B225" s="50"/>
      <c r="C225" s="50"/>
      <c r="D225" s="50"/>
      <c r="E225" s="50"/>
      <c r="F225" s="50"/>
      <c r="G225" s="50"/>
      <c r="H225" s="50"/>
      <c r="I225" s="50"/>
      <c r="J225" s="50"/>
      <c r="K225" s="70"/>
      <c r="L225" s="71"/>
      <c r="M225" s="50"/>
      <c r="N225" s="50"/>
      <c r="O225" s="50"/>
      <c r="P225" s="50"/>
      <c r="Q225" s="50"/>
      <c r="R225" s="50"/>
      <c r="S225" s="50"/>
      <c r="T225" s="50"/>
      <c r="U225" s="50"/>
      <c r="V225" s="50"/>
      <c r="W225" s="50"/>
      <c r="X225" s="50"/>
      <c r="Y225" s="50"/>
      <c r="Z225" s="50"/>
    </row>
    <row r="226" spans="1:26" ht="15.75" customHeight="1">
      <c r="A226" s="50"/>
      <c r="B226" s="50"/>
      <c r="C226" s="50"/>
      <c r="D226" s="50"/>
      <c r="E226" s="50"/>
      <c r="F226" s="50"/>
      <c r="G226" s="50"/>
      <c r="H226" s="50"/>
      <c r="I226" s="50"/>
      <c r="J226" s="50"/>
      <c r="K226" s="70"/>
      <c r="L226" s="71"/>
      <c r="M226" s="50"/>
      <c r="N226" s="50"/>
      <c r="O226" s="50"/>
      <c r="P226" s="50"/>
      <c r="Q226" s="50"/>
      <c r="R226" s="50"/>
      <c r="S226" s="50"/>
      <c r="T226" s="50"/>
      <c r="U226" s="50"/>
      <c r="V226" s="50"/>
      <c r="W226" s="50"/>
      <c r="X226" s="50"/>
      <c r="Y226" s="50"/>
      <c r="Z226" s="50"/>
    </row>
    <row r="227" spans="1:26" ht="15.75" customHeight="1">
      <c r="A227" s="50"/>
      <c r="B227" s="50"/>
      <c r="C227" s="50"/>
      <c r="D227" s="50"/>
      <c r="E227" s="50"/>
      <c r="F227" s="50"/>
      <c r="G227" s="50"/>
      <c r="H227" s="50"/>
      <c r="I227" s="50"/>
      <c r="J227" s="50"/>
      <c r="K227" s="70"/>
      <c r="L227" s="71"/>
      <c r="M227" s="50"/>
      <c r="N227" s="50"/>
      <c r="O227" s="50"/>
      <c r="P227" s="50"/>
      <c r="Q227" s="50"/>
      <c r="R227" s="50"/>
      <c r="S227" s="50"/>
      <c r="T227" s="50"/>
      <c r="U227" s="50"/>
      <c r="V227" s="50"/>
      <c r="W227" s="50"/>
      <c r="X227" s="50"/>
      <c r="Y227" s="50"/>
      <c r="Z227" s="50"/>
    </row>
    <row r="228" spans="1:26" ht="15.75" customHeight="1">
      <c r="A228" s="50"/>
      <c r="B228" s="50"/>
      <c r="C228" s="50"/>
      <c r="D228" s="50"/>
      <c r="E228" s="50"/>
      <c r="F228" s="50"/>
      <c r="G228" s="50"/>
      <c r="H228" s="50"/>
      <c r="I228" s="50"/>
      <c r="J228" s="50"/>
      <c r="K228" s="70"/>
      <c r="L228" s="71"/>
      <c r="M228" s="50"/>
      <c r="N228" s="50"/>
      <c r="O228" s="50"/>
      <c r="P228" s="50"/>
      <c r="Q228" s="50"/>
      <c r="R228" s="50"/>
      <c r="S228" s="50"/>
      <c r="T228" s="50"/>
      <c r="U228" s="50"/>
      <c r="V228" s="50"/>
      <c r="W228" s="50"/>
      <c r="X228" s="50"/>
      <c r="Y228" s="50"/>
      <c r="Z228" s="50"/>
    </row>
    <row r="229" spans="1:26" ht="15.75" customHeight="1">
      <c r="A229" s="50"/>
      <c r="B229" s="50"/>
      <c r="C229" s="50"/>
      <c r="D229" s="50"/>
      <c r="E229" s="50"/>
      <c r="F229" s="50"/>
      <c r="G229" s="50"/>
      <c r="H229" s="50"/>
      <c r="I229" s="50"/>
      <c r="J229" s="50"/>
      <c r="K229" s="70"/>
      <c r="L229" s="71"/>
      <c r="M229" s="50"/>
      <c r="N229" s="50"/>
      <c r="O229" s="50"/>
      <c r="P229" s="50"/>
      <c r="Q229" s="50"/>
      <c r="R229" s="50"/>
      <c r="S229" s="50"/>
      <c r="T229" s="50"/>
      <c r="U229" s="50"/>
      <c r="V229" s="50"/>
      <c r="W229" s="50"/>
      <c r="X229" s="50"/>
      <c r="Y229" s="50"/>
      <c r="Z229" s="50"/>
    </row>
    <row r="230" spans="1:26" ht="15.75" customHeight="1">
      <c r="A230" s="50"/>
      <c r="B230" s="50"/>
      <c r="C230" s="50"/>
      <c r="D230" s="50"/>
      <c r="E230" s="50"/>
      <c r="F230" s="50"/>
      <c r="G230" s="50"/>
      <c r="H230" s="50"/>
      <c r="I230" s="50"/>
      <c r="J230" s="50"/>
      <c r="K230" s="70"/>
      <c r="L230" s="71"/>
      <c r="M230" s="50"/>
      <c r="N230" s="50"/>
      <c r="O230" s="50"/>
      <c r="P230" s="50"/>
      <c r="Q230" s="50"/>
      <c r="R230" s="50"/>
      <c r="S230" s="50"/>
      <c r="T230" s="50"/>
      <c r="U230" s="50"/>
      <c r="V230" s="50"/>
      <c r="W230" s="50"/>
      <c r="X230" s="50"/>
      <c r="Y230" s="50"/>
      <c r="Z230" s="50"/>
    </row>
    <row r="231" spans="1:26" ht="15.75" customHeight="1">
      <c r="A231" s="50"/>
      <c r="B231" s="50"/>
      <c r="C231" s="50"/>
      <c r="D231" s="50"/>
      <c r="E231" s="50"/>
      <c r="F231" s="50"/>
      <c r="G231" s="50"/>
      <c r="H231" s="50"/>
      <c r="I231" s="50"/>
      <c r="J231" s="50"/>
      <c r="K231" s="70"/>
      <c r="L231" s="71"/>
      <c r="M231" s="50"/>
      <c r="N231" s="50"/>
      <c r="O231" s="50"/>
      <c r="P231" s="50"/>
      <c r="Q231" s="50"/>
      <c r="R231" s="50"/>
      <c r="S231" s="50"/>
      <c r="T231" s="50"/>
      <c r="U231" s="50"/>
      <c r="V231" s="50"/>
      <c r="W231" s="50"/>
      <c r="X231" s="50"/>
      <c r="Y231" s="50"/>
      <c r="Z231" s="50"/>
    </row>
    <row r="232" spans="1:26" ht="15.75" customHeight="1">
      <c r="A232" s="50"/>
      <c r="B232" s="50"/>
      <c r="C232" s="50"/>
      <c r="D232" s="50"/>
      <c r="E232" s="50"/>
      <c r="F232" s="50"/>
      <c r="G232" s="50"/>
      <c r="H232" s="50"/>
      <c r="I232" s="50"/>
      <c r="J232" s="50"/>
      <c r="K232" s="70"/>
      <c r="L232" s="71"/>
      <c r="M232" s="50"/>
      <c r="N232" s="50"/>
      <c r="O232" s="50"/>
      <c r="P232" s="50"/>
      <c r="Q232" s="50"/>
      <c r="R232" s="50"/>
      <c r="S232" s="50"/>
      <c r="T232" s="50"/>
      <c r="U232" s="50"/>
      <c r="V232" s="50"/>
      <c r="W232" s="50"/>
      <c r="X232" s="50"/>
      <c r="Y232" s="50"/>
      <c r="Z232" s="50"/>
    </row>
    <row r="233" spans="1:26" ht="15.75" customHeight="1">
      <c r="A233" s="50"/>
      <c r="B233" s="50"/>
      <c r="C233" s="50"/>
      <c r="D233" s="50"/>
      <c r="E233" s="50"/>
      <c r="F233" s="50"/>
      <c r="G233" s="50"/>
      <c r="H233" s="50"/>
      <c r="I233" s="50"/>
      <c r="J233" s="50"/>
      <c r="K233" s="70"/>
      <c r="L233" s="71"/>
      <c r="M233" s="50"/>
      <c r="N233" s="50"/>
      <c r="O233" s="50"/>
      <c r="P233" s="50"/>
      <c r="Q233" s="50"/>
      <c r="R233" s="50"/>
      <c r="S233" s="50"/>
      <c r="T233" s="50"/>
      <c r="U233" s="50"/>
      <c r="V233" s="50"/>
      <c r="W233" s="50"/>
      <c r="X233" s="50"/>
      <c r="Y233" s="50"/>
      <c r="Z233" s="50"/>
    </row>
    <row r="234" spans="1:26" ht="15.75" customHeight="1">
      <c r="A234" s="50"/>
      <c r="B234" s="50"/>
      <c r="C234" s="50"/>
      <c r="D234" s="50"/>
      <c r="E234" s="50"/>
      <c r="F234" s="50"/>
      <c r="G234" s="50"/>
      <c r="H234" s="50"/>
      <c r="I234" s="50"/>
      <c r="J234" s="50"/>
      <c r="K234" s="70"/>
      <c r="L234" s="71"/>
      <c r="M234" s="50"/>
      <c r="N234" s="50"/>
      <c r="O234" s="50"/>
      <c r="P234" s="50"/>
      <c r="Q234" s="50"/>
      <c r="R234" s="50"/>
      <c r="S234" s="50"/>
      <c r="T234" s="50"/>
      <c r="U234" s="50"/>
      <c r="V234" s="50"/>
      <c r="W234" s="50"/>
      <c r="X234" s="50"/>
      <c r="Y234" s="50"/>
      <c r="Z234" s="50"/>
    </row>
    <row r="235" spans="1:26" ht="15.75" customHeight="1">
      <c r="A235" s="50"/>
      <c r="B235" s="50"/>
      <c r="C235" s="50"/>
      <c r="D235" s="50"/>
      <c r="E235" s="50"/>
      <c r="F235" s="50"/>
      <c r="G235" s="50"/>
      <c r="H235" s="50"/>
      <c r="I235" s="50"/>
      <c r="J235" s="50"/>
      <c r="K235" s="70"/>
      <c r="L235" s="71"/>
      <c r="M235" s="50"/>
      <c r="N235" s="50"/>
      <c r="O235" s="50"/>
      <c r="P235" s="50"/>
      <c r="Q235" s="50"/>
      <c r="R235" s="50"/>
      <c r="S235" s="50"/>
      <c r="T235" s="50"/>
      <c r="U235" s="50"/>
      <c r="V235" s="50"/>
      <c r="W235" s="50"/>
      <c r="X235" s="50"/>
      <c r="Y235" s="50"/>
      <c r="Z235" s="50"/>
    </row>
    <row r="236" spans="1:26" ht="15.75" customHeight="1">
      <c r="A236" s="50"/>
      <c r="B236" s="50"/>
      <c r="C236" s="50"/>
      <c r="D236" s="50"/>
      <c r="E236" s="50"/>
      <c r="F236" s="50"/>
      <c r="G236" s="50"/>
      <c r="H236" s="50"/>
      <c r="I236" s="50"/>
      <c r="J236" s="50"/>
      <c r="K236" s="70"/>
      <c r="L236" s="71"/>
      <c r="M236" s="50"/>
      <c r="N236" s="50"/>
      <c r="O236" s="50"/>
      <c r="P236" s="50"/>
      <c r="Q236" s="50"/>
      <c r="R236" s="50"/>
      <c r="S236" s="50"/>
      <c r="T236" s="50"/>
      <c r="U236" s="50"/>
      <c r="V236" s="50"/>
      <c r="W236" s="50"/>
      <c r="X236" s="50"/>
      <c r="Y236" s="50"/>
      <c r="Z236" s="50"/>
    </row>
    <row r="237" spans="1:26" ht="15.75" customHeight="1">
      <c r="A237" s="50"/>
      <c r="B237" s="50"/>
      <c r="C237" s="50"/>
      <c r="D237" s="50"/>
      <c r="E237" s="50"/>
      <c r="F237" s="50"/>
      <c r="G237" s="50"/>
      <c r="H237" s="50"/>
      <c r="I237" s="50"/>
      <c r="J237" s="50"/>
      <c r="K237" s="70"/>
      <c r="L237" s="71"/>
      <c r="M237" s="50"/>
      <c r="N237" s="50"/>
      <c r="O237" s="50"/>
      <c r="P237" s="50"/>
      <c r="Q237" s="50"/>
      <c r="R237" s="50"/>
      <c r="S237" s="50"/>
      <c r="T237" s="50"/>
      <c r="U237" s="50"/>
      <c r="V237" s="50"/>
      <c r="W237" s="50"/>
      <c r="X237" s="50"/>
      <c r="Y237" s="50"/>
      <c r="Z237" s="50"/>
    </row>
    <row r="238" spans="1:26" ht="15.75" customHeight="1">
      <c r="A238" s="50"/>
      <c r="B238" s="50"/>
      <c r="C238" s="50"/>
      <c r="D238" s="50"/>
      <c r="E238" s="50"/>
      <c r="F238" s="50"/>
      <c r="G238" s="50"/>
      <c r="H238" s="50"/>
      <c r="I238" s="50"/>
      <c r="J238" s="50"/>
      <c r="K238" s="70"/>
      <c r="L238" s="71"/>
      <c r="M238" s="50"/>
      <c r="N238" s="50"/>
      <c r="O238" s="50"/>
      <c r="P238" s="50"/>
      <c r="Q238" s="50"/>
      <c r="R238" s="50"/>
      <c r="S238" s="50"/>
      <c r="T238" s="50"/>
      <c r="U238" s="50"/>
      <c r="V238" s="50"/>
      <c r="W238" s="50"/>
      <c r="X238" s="50"/>
      <c r="Y238" s="50"/>
      <c r="Z238" s="50"/>
    </row>
    <row r="239" spans="1:26" ht="15.75" customHeight="1">
      <c r="A239" s="50"/>
      <c r="B239" s="50"/>
      <c r="C239" s="50"/>
      <c r="D239" s="50"/>
      <c r="E239" s="50"/>
      <c r="F239" s="50"/>
      <c r="G239" s="50"/>
      <c r="H239" s="50"/>
      <c r="I239" s="50"/>
      <c r="J239" s="50"/>
      <c r="K239" s="70"/>
      <c r="L239" s="71"/>
      <c r="M239" s="50"/>
      <c r="N239" s="50"/>
      <c r="O239" s="50"/>
      <c r="P239" s="50"/>
      <c r="Q239" s="50"/>
      <c r="R239" s="50"/>
      <c r="S239" s="50"/>
      <c r="T239" s="50"/>
      <c r="U239" s="50"/>
      <c r="V239" s="50"/>
      <c r="W239" s="50"/>
      <c r="X239" s="50"/>
      <c r="Y239" s="50"/>
      <c r="Z239" s="50"/>
    </row>
    <row r="240" spans="1:26" ht="15.75" customHeight="1">
      <c r="A240" s="50"/>
      <c r="B240" s="50"/>
      <c r="C240" s="50"/>
      <c r="D240" s="50"/>
      <c r="E240" s="50"/>
      <c r="F240" s="50"/>
      <c r="G240" s="50"/>
      <c r="H240" s="50"/>
      <c r="I240" s="50"/>
      <c r="J240" s="50"/>
      <c r="K240" s="70"/>
      <c r="L240" s="71"/>
      <c r="M240" s="50"/>
      <c r="N240" s="50"/>
      <c r="O240" s="50"/>
      <c r="P240" s="50"/>
      <c r="Q240" s="50"/>
      <c r="R240" s="50"/>
      <c r="S240" s="50"/>
      <c r="T240" s="50"/>
      <c r="U240" s="50"/>
      <c r="V240" s="50"/>
      <c r="W240" s="50"/>
      <c r="X240" s="50"/>
      <c r="Y240" s="50"/>
      <c r="Z240" s="50"/>
    </row>
    <row r="241" spans="1:26" ht="15.75" customHeight="1">
      <c r="A241" s="50"/>
      <c r="B241" s="50"/>
      <c r="C241" s="50"/>
      <c r="D241" s="50"/>
      <c r="E241" s="50"/>
      <c r="F241" s="50"/>
      <c r="G241" s="50"/>
      <c r="H241" s="50"/>
      <c r="I241" s="50"/>
      <c r="J241" s="50"/>
      <c r="K241" s="70"/>
      <c r="L241" s="71"/>
      <c r="M241" s="50"/>
      <c r="N241" s="50"/>
      <c r="O241" s="50"/>
      <c r="P241" s="50"/>
      <c r="Q241" s="50"/>
      <c r="R241" s="50"/>
      <c r="S241" s="50"/>
      <c r="T241" s="50"/>
      <c r="U241" s="50"/>
      <c r="V241" s="50"/>
      <c r="W241" s="50"/>
      <c r="X241" s="50"/>
      <c r="Y241" s="50"/>
      <c r="Z241" s="50"/>
    </row>
    <row r="242" spans="1:26" ht="15.75" customHeight="1">
      <c r="A242" s="72"/>
      <c r="B242" s="72"/>
      <c r="C242" s="72"/>
      <c r="D242" s="72"/>
      <c r="E242" s="72"/>
      <c r="F242" s="72"/>
      <c r="G242" s="72"/>
      <c r="H242" s="72"/>
      <c r="I242" s="72"/>
      <c r="J242" s="72"/>
      <c r="K242" s="73"/>
      <c r="L242" s="74"/>
      <c r="M242" s="72"/>
      <c r="N242" s="72"/>
      <c r="O242" s="72"/>
      <c r="P242" s="72"/>
      <c r="Q242" s="72"/>
      <c r="R242" s="72"/>
      <c r="S242" s="72"/>
      <c r="T242" s="72"/>
      <c r="U242" s="72"/>
      <c r="V242" s="72"/>
      <c r="W242" s="72"/>
      <c r="X242" s="72"/>
      <c r="Y242" s="72"/>
      <c r="Z242" s="72"/>
    </row>
    <row r="243" spans="1:26" ht="15.75" customHeight="1">
      <c r="A243" s="72"/>
      <c r="B243" s="72"/>
      <c r="C243" s="72"/>
      <c r="D243" s="72"/>
      <c r="E243" s="72"/>
      <c r="F243" s="72"/>
      <c r="G243" s="72"/>
      <c r="H243" s="72"/>
      <c r="I243" s="72"/>
      <c r="J243" s="72"/>
      <c r="K243" s="73"/>
      <c r="L243" s="74"/>
      <c r="M243" s="72"/>
      <c r="N243" s="72"/>
      <c r="O243" s="72"/>
      <c r="P243" s="72"/>
      <c r="Q243" s="72"/>
      <c r="R243" s="72"/>
      <c r="S243" s="72"/>
      <c r="T243" s="72"/>
      <c r="U243" s="72"/>
      <c r="V243" s="72"/>
      <c r="W243" s="72"/>
      <c r="X243" s="72"/>
      <c r="Y243" s="72"/>
      <c r="Z243" s="72"/>
    </row>
    <row r="244" spans="1:26" ht="15.75" customHeight="1">
      <c r="A244" s="72"/>
      <c r="B244" s="72"/>
      <c r="C244" s="72"/>
      <c r="D244" s="72"/>
      <c r="E244" s="72"/>
      <c r="F244" s="72"/>
      <c r="G244" s="72"/>
      <c r="H244" s="72"/>
      <c r="I244" s="72"/>
      <c r="J244" s="72"/>
      <c r="K244" s="73"/>
      <c r="L244" s="74"/>
      <c r="M244" s="72"/>
      <c r="N244" s="72"/>
      <c r="O244" s="72"/>
      <c r="P244" s="72"/>
      <c r="Q244" s="72"/>
      <c r="R244" s="72"/>
      <c r="S244" s="72"/>
      <c r="T244" s="72"/>
      <c r="U244" s="72"/>
      <c r="V244" s="72"/>
      <c r="W244" s="72"/>
      <c r="X244" s="72"/>
      <c r="Y244" s="72"/>
      <c r="Z244" s="72"/>
    </row>
    <row r="245" spans="1:26" ht="15.75" customHeight="1">
      <c r="A245" s="72"/>
      <c r="B245" s="72"/>
      <c r="C245" s="72"/>
      <c r="D245" s="72"/>
      <c r="E245" s="72"/>
      <c r="F245" s="72"/>
      <c r="G245" s="72"/>
      <c r="H245" s="72"/>
      <c r="I245" s="72"/>
      <c r="J245" s="72"/>
      <c r="K245" s="73"/>
      <c r="L245" s="74"/>
      <c r="M245" s="72"/>
      <c r="N245" s="72"/>
      <c r="O245" s="72"/>
      <c r="P245" s="72"/>
      <c r="Q245" s="72"/>
      <c r="R245" s="72"/>
      <c r="S245" s="72"/>
      <c r="T245" s="72"/>
      <c r="U245" s="72"/>
      <c r="V245" s="72"/>
      <c r="W245" s="72"/>
      <c r="X245" s="72"/>
      <c r="Y245" s="72"/>
      <c r="Z245" s="72"/>
    </row>
    <row r="246" spans="1:26" ht="15.75" customHeight="1">
      <c r="A246" s="72"/>
      <c r="B246" s="72"/>
      <c r="C246" s="72"/>
      <c r="D246" s="72"/>
      <c r="E246" s="72"/>
      <c r="F246" s="72"/>
      <c r="G246" s="72"/>
      <c r="H246" s="72"/>
      <c r="I246" s="72"/>
      <c r="J246" s="72"/>
      <c r="K246" s="73"/>
      <c r="L246" s="74"/>
      <c r="M246" s="72"/>
      <c r="N246" s="72"/>
      <c r="O246" s="72"/>
      <c r="P246" s="72"/>
      <c r="Q246" s="72"/>
      <c r="R246" s="72"/>
      <c r="S246" s="72"/>
      <c r="T246" s="72"/>
      <c r="U246" s="72"/>
      <c r="V246" s="72"/>
      <c r="W246" s="72"/>
      <c r="X246" s="72"/>
      <c r="Y246" s="72"/>
      <c r="Z246" s="72"/>
    </row>
    <row r="247" spans="1:26" ht="15.75" customHeight="1">
      <c r="A247" s="72"/>
      <c r="B247" s="72"/>
      <c r="C247" s="72"/>
      <c r="D247" s="72"/>
      <c r="E247" s="72"/>
      <c r="F247" s="72"/>
      <c r="G247" s="72"/>
      <c r="H247" s="72"/>
      <c r="I247" s="72"/>
      <c r="J247" s="72"/>
      <c r="K247" s="73"/>
      <c r="L247" s="74"/>
      <c r="M247" s="72"/>
      <c r="N247" s="72"/>
      <c r="O247" s="72"/>
      <c r="P247" s="72"/>
      <c r="Q247" s="72"/>
      <c r="R247" s="72"/>
      <c r="S247" s="72"/>
      <c r="T247" s="72"/>
      <c r="U247" s="72"/>
      <c r="V247" s="72"/>
      <c r="W247" s="72"/>
      <c r="X247" s="72"/>
      <c r="Y247" s="72"/>
      <c r="Z247" s="72"/>
    </row>
    <row r="248" spans="1:26" ht="15.75" customHeight="1">
      <c r="A248" s="72"/>
      <c r="B248" s="72"/>
      <c r="C248" s="72"/>
      <c r="D248" s="72"/>
      <c r="E248" s="72"/>
      <c r="F248" s="72"/>
      <c r="G248" s="72"/>
      <c r="H248" s="72"/>
      <c r="I248" s="72"/>
      <c r="J248" s="72"/>
      <c r="K248" s="73"/>
      <c r="L248" s="74"/>
      <c r="M248" s="72"/>
      <c r="N248" s="72"/>
      <c r="O248" s="72"/>
      <c r="P248" s="72"/>
      <c r="Q248" s="72"/>
      <c r="R248" s="72"/>
      <c r="S248" s="72"/>
      <c r="T248" s="72"/>
      <c r="U248" s="72"/>
      <c r="V248" s="72"/>
      <c r="W248" s="72"/>
      <c r="X248" s="72"/>
      <c r="Y248" s="72"/>
      <c r="Z248" s="72"/>
    </row>
    <row r="249" spans="1:26" ht="15.75" customHeight="1">
      <c r="A249" s="72"/>
      <c r="B249" s="72"/>
      <c r="C249" s="72"/>
      <c r="D249" s="72"/>
      <c r="E249" s="72"/>
      <c r="F249" s="72"/>
      <c r="G249" s="72"/>
      <c r="H249" s="72"/>
      <c r="I249" s="72"/>
      <c r="J249" s="72"/>
      <c r="K249" s="73"/>
      <c r="L249" s="74"/>
      <c r="M249" s="72"/>
      <c r="N249" s="72"/>
      <c r="O249" s="72"/>
      <c r="P249" s="72"/>
      <c r="Q249" s="72"/>
      <c r="R249" s="72"/>
      <c r="S249" s="72"/>
      <c r="T249" s="72"/>
      <c r="U249" s="72"/>
      <c r="V249" s="72"/>
      <c r="W249" s="72"/>
      <c r="X249" s="72"/>
      <c r="Y249" s="72"/>
      <c r="Z249" s="72"/>
    </row>
    <row r="250" spans="1:26" ht="15.75" customHeight="1">
      <c r="A250" s="72"/>
      <c r="B250" s="72"/>
      <c r="C250" s="72"/>
      <c r="D250" s="72"/>
      <c r="E250" s="72"/>
      <c r="F250" s="72"/>
      <c r="G250" s="72"/>
      <c r="H250" s="72"/>
      <c r="I250" s="72"/>
      <c r="J250" s="72"/>
      <c r="K250" s="73"/>
      <c r="L250" s="74"/>
      <c r="M250" s="72"/>
      <c r="N250" s="72"/>
      <c r="O250" s="72"/>
      <c r="P250" s="72"/>
      <c r="Q250" s="72"/>
      <c r="R250" s="72"/>
      <c r="S250" s="72"/>
      <c r="T250" s="72"/>
      <c r="U250" s="72"/>
      <c r="V250" s="72"/>
      <c r="W250" s="72"/>
      <c r="X250" s="72"/>
      <c r="Y250" s="72"/>
      <c r="Z250" s="72"/>
    </row>
    <row r="251" spans="1:26" ht="15.75" customHeight="1">
      <c r="A251" s="72"/>
      <c r="B251" s="72"/>
      <c r="C251" s="72"/>
      <c r="D251" s="72"/>
      <c r="E251" s="72"/>
      <c r="F251" s="72"/>
      <c r="G251" s="72"/>
      <c r="H251" s="72"/>
      <c r="I251" s="72"/>
      <c r="J251" s="72"/>
      <c r="K251" s="73"/>
      <c r="L251" s="74"/>
      <c r="M251" s="72"/>
      <c r="N251" s="72"/>
      <c r="O251" s="72"/>
      <c r="P251" s="72"/>
      <c r="Q251" s="72"/>
      <c r="R251" s="72"/>
      <c r="S251" s="72"/>
      <c r="T251" s="72"/>
      <c r="U251" s="72"/>
      <c r="V251" s="72"/>
      <c r="W251" s="72"/>
      <c r="X251" s="72"/>
      <c r="Y251" s="72"/>
      <c r="Z251" s="72"/>
    </row>
    <row r="252" spans="1:26" ht="15.75" customHeight="1">
      <c r="A252" s="72"/>
      <c r="B252" s="72"/>
      <c r="C252" s="72"/>
      <c r="D252" s="72"/>
      <c r="E252" s="72"/>
      <c r="F252" s="72"/>
      <c r="G252" s="72"/>
      <c r="H252" s="72"/>
      <c r="I252" s="72"/>
      <c r="J252" s="72"/>
      <c r="K252" s="73"/>
      <c r="L252" s="74"/>
      <c r="M252" s="72"/>
      <c r="N252" s="72"/>
      <c r="O252" s="72"/>
      <c r="P252" s="72"/>
      <c r="Q252" s="72"/>
      <c r="R252" s="72"/>
      <c r="S252" s="72"/>
      <c r="T252" s="72"/>
      <c r="U252" s="72"/>
      <c r="V252" s="72"/>
      <c r="W252" s="72"/>
      <c r="X252" s="72"/>
      <c r="Y252" s="72"/>
      <c r="Z252" s="72"/>
    </row>
    <row r="253" spans="1:26" ht="15.75" customHeight="1">
      <c r="A253" s="72"/>
      <c r="B253" s="72"/>
      <c r="C253" s="72"/>
      <c r="D253" s="72"/>
      <c r="E253" s="72"/>
      <c r="F253" s="72"/>
      <c r="G253" s="72"/>
      <c r="H253" s="72"/>
      <c r="I253" s="72"/>
      <c r="J253" s="72"/>
      <c r="K253" s="73"/>
      <c r="L253" s="74"/>
      <c r="M253" s="72"/>
      <c r="N253" s="72"/>
      <c r="O253" s="72"/>
      <c r="P253" s="72"/>
      <c r="Q253" s="72"/>
      <c r="R253" s="72"/>
      <c r="S253" s="72"/>
      <c r="T253" s="72"/>
      <c r="U253" s="72"/>
      <c r="V253" s="72"/>
      <c r="W253" s="72"/>
      <c r="X253" s="72"/>
      <c r="Y253" s="72"/>
      <c r="Z253" s="72"/>
    </row>
    <row r="254" spans="1:26" ht="15.75" customHeight="1">
      <c r="A254" s="72"/>
      <c r="B254" s="72"/>
      <c r="C254" s="72"/>
      <c r="D254" s="72"/>
      <c r="E254" s="72"/>
      <c r="F254" s="72"/>
      <c r="G254" s="72"/>
      <c r="H254" s="72"/>
      <c r="I254" s="72"/>
      <c r="J254" s="72"/>
      <c r="K254" s="73"/>
      <c r="L254" s="74"/>
      <c r="M254" s="72"/>
      <c r="N254" s="72"/>
      <c r="O254" s="72"/>
      <c r="P254" s="72"/>
      <c r="Q254" s="72"/>
      <c r="R254" s="72"/>
      <c r="S254" s="72"/>
      <c r="T254" s="72"/>
      <c r="U254" s="72"/>
      <c r="V254" s="72"/>
      <c r="W254" s="72"/>
      <c r="X254" s="72"/>
      <c r="Y254" s="72"/>
      <c r="Z254" s="72"/>
    </row>
    <row r="255" spans="1:26" ht="15.75" customHeight="1">
      <c r="A255" s="72"/>
      <c r="B255" s="72"/>
      <c r="C255" s="72"/>
      <c r="D255" s="72"/>
      <c r="E255" s="72"/>
      <c r="F255" s="72"/>
      <c r="G255" s="72"/>
      <c r="H255" s="72"/>
      <c r="I255" s="72"/>
      <c r="J255" s="72"/>
      <c r="K255" s="73"/>
      <c r="L255" s="74"/>
      <c r="M255" s="72"/>
      <c r="N255" s="72"/>
      <c r="O255" s="72"/>
      <c r="P255" s="72"/>
      <c r="Q255" s="72"/>
      <c r="R255" s="72"/>
      <c r="S255" s="72"/>
      <c r="T255" s="72"/>
      <c r="U255" s="72"/>
      <c r="V255" s="72"/>
      <c r="W255" s="72"/>
      <c r="X255" s="72"/>
      <c r="Y255" s="72"/>
      <c r="Z255" s="72"/>
    </row>
    <row r="256" spans="1:26" ht="15.75" customHeight="1">
      <c r="A256" s="72"/>
      <c r="B256" s="72"/>
      <c r="C256" s="72"/>
      <c r="D256" s="72"/>
      <c r="E256" s="72"/>
      <c r="F256" s="72"/>
      <c r="G256" s="72"/>
      <c r="H256" s="72"/>
      <c r="I256" s="72"/>
      <c r="J256" s="72"/>
      <c r="K256" s="73"/>
      <c r="L256" s="74"/>
      <c r="M256" s="72"/>
      <c r="N256" s="72"/>
      <c r="O256" s="72"/>
      <c r="P256" s="72"/>
      <c r="Q256" s="72"/>
      <c r="R256" s="72"/>
      <c r="S256" s="72"/>
      <c r="T256" s="72"/>
      <c r="U256" s="72"/>
      <c r="V256" s="72"/>
      <c r="W256" s="72"/>
      <c r="X256" s="72"/>
      <c r="Y256" s="72"/>
      <c r="Z256" s="72"/>
    </row>
    <row r="257" spans="1:26" ht="15.75" customHeight="1">
      <c r="A257" s="72"/>
      <c r="B257" s="72"/>
      <c r="C257" s="72"/>
      <c r="D257" s="72"/>
      <c r="E257" s="72"/>
      <c r="F257" s="72"/>
      <c r="G257" s="72"/>
      <c r="H257" s="72"/>
      <c r="I257" s="72"/>
      <c r="J257" s="72"/>
      <c r="K257" s="73"/>
      <c r="L257" s="74"/>
      <c r="M257" s="72"/>
      <c r="N257" s="72"/>
      <c r="O257" s="72"/>
      <c r="P257" s="72"/>
      <c r="Q257" s="72"/>
      <c r="R257" s="72"/>
      <c r="S257" s="72"/>
      <c r="T257" s="72"/>
      <c r="U257" s="72"/>
      <c r="V257" s="72"/>
      <c r="W257" s="72"/>
      <c r="X257" s="72"/>
      <c r="Y257" s="72"/>
      <c r="Z257" s="72"/>
    </row>
    <row r="258" spans="1:26" ht="15.75" customHeight="1">
      <c r="A258" s="72"/>
      <c r="B258" s="72"/>
      <c r="C258" s="72"/>
      <c r="D258" s="72"/>
      <c r="E258" s="72"/>
      <c r="F258" s="72"/>
      <c r="G258" s="72"/>
      <c r="H258" s="72"/>
      <c r="I258" s="72"/>
      <c r="J258" s="72"/>
      <c r="K258" s="73"/>
      <c r="L258" s="74"/>
      <c r="M258" s="72"/>
      <c r="N258" s="72"/>
      <c r="O258" s="72"/>
      <c r="P258" s="72"/>
      <c r="Q258" s="72"/>
      <c r="R258" s="72"/>
      <c r="S258" s="72"/>
      <c r="T258" s="72"/>
      <c r="U258" s="72"/>
      <c r="V258" s="72"/>
      <c r="W258" s="72"/>
      <c r="X258" s="72"/>
      <c r="Y258" s="72"/>
      <c r="Z258" s="72"/>
    </row>
    <row r="259" spans="1:26" ht="15.75" customHeight="1">
      <c r="A259" s="72"/>
      <c r="B259" s="72"/>
      <c r="C259" s="72"/>
      <c r="D259" s="72"/>
      <c r="E259" s="72"/>
      <c r="F259" s="72"/>
      <c r="G259" s="72"/>
      <c r="H259" s="72"/>
      <c r="I259" s="72"/>
      <c r="J259" s="72"/>
      <c r="K259" s="73"/>
      <c r="L259" s="74"/>
      <c r="M259" s="72"/>
      <c r="N259" s="72"/>
      <c r="O259" s="72"/>
      <c r="P259" s="72"/>
      <c r="Q259" s="72"/>
      <c r="R259" s="72"/>
      <c r="S259" s="72"/>
      <c r="T259" s="72"/>
      <c r="U259" s="72"/>
      <c r="V259" s="72"/>
      <c r="W259" s="72"/>
      <c r="X259" s="72"/>
      <c r="Y259" s="72"/>
      <c r="Z259" s="72"/>
    </row>
    <row r="260" spans="1:26" ht="15.75" customHeight="1">
      <c r="A260" s="72"/>
      <c r="B260" s="72"/>
      <c r="C260" s="72"/>
      <c r="D260" s="72"/>
      <c r="E260" s="72"/>
      <c r="F260" s="72"/>
      <c r="G260" s="72"/>
      <c r="H260" s="72"/>
      <c r="I260" s="72"/>
      <c r="J260" s="72"/>
      <c r="K260" s="73"/>
      <c r="L260" s="74"/>
      <c r="M260" s="72"/>
      <c r="N260" s="72"/>
      <c r="O260" s="72"/>
      <c r="P260" s="72"/>
      <c r="Q260" s="72"/>
      <c r="R260" s="72"/>
      <c r="S260" s="72"/>
      <c r="T260" s="72"/>
      <c r="U260" s="72"/>
      <c r="V260" s="72"/>
      <c r="W260" s="72"/>
      <c r="X260" s="72"/>
      <c r="Y260" s="72"/>
      <c r="Z260" s="72"/>
    </row>
    <row r="261" spans="1:26" ht="15.75" customHeight="1">
      <c r="A261" s="72"/>
      <c r="B261" s="72"/>
      <c r="C261" s="72"/>
      <c r="D261" s="72"/>
      <c r="E261" s="72"/>
      <c r="F261" s="72"/>
      <c r="G261" s="72"/>
      <c r="H261" s="72"/>
      <c r="I261" s="72"/>
      <c r="J261" s="72"/>
      <c r="K261" s="73"/>
      <c r="L261" s="74"/>
      <c r="M261" s="72"/>
      <c r="N261" s="72"/>
      <c r="O261" s="72"/>
      <c r="P261" s="72"/>
      <c r="Q261" s="72"/>
      <c r="R261" s="72"/>
      <c r="S261" s="72"/>
      <c r="T261" s="72"/>
      <c r="U261" s="72"/>
      <c r="V261" s="72"/>
      <c r="W261" s="72"/>
      <c r="X261" s="72"/>
      <c r="Y261" s="72"/>
      <c r="Z261" s="72"/>
    </row>
    <row r="262" spans="1:26" ht="15.75" customHeight="1">
      <c r="A262" s="72"/>
      <c r="B262" s="72"/>
      <c r="C262" s="72"/>
      <c r="D262" s="72"/>
      <c r="E262" s="72"/>
      <c r="F262" s="72"/>
      <c r="G262" s="72"/>
      <c r="H262" s="72"/>
      <c r="I262" s="72"/>
      <c r="J262" s="72"/>
      <c r="K262" s="73"/>
      <c r="L262" s="74"/>
      <c r="M262" s="72"/>
      <c r="N262" s="72"/>
      <c r="O262" s="72"/>
      <c r="P262" s="72"/>
      <c r="Q262" s="72"/>
      <c r="R262" s="72"/>
      <c r="S262" s="72"/>
      <c r="T262" s="72"/>
      <c r="U262" s="72"/>
      <c r="V262" s="72"/>
      <c r="W262" s="72"/>
      <c r="X262" s="72"/>
      <c r="Y262" s="72"/>
      <c r="Z262" s="72"/>
    </row>
    <row r="263" spans="1:26" ht="15.75" customHeight="1">
      <c r="A263" s="72"/>
      <c r="B263" s="72"/>
      <c r="C263" s="72"/>
      <c r="D263" s="72"/>
      <c r="E263" s="72"/>
      <c r="F263" s="72"/>
      <c r="G263" s="72"/>
      <c r="H263" s="72"/>
      <c r="I263" s="72"/>
      <c r="J263" s="72"/>
      <c r="K263" s="73"/>
      <c r="L263" s="74"/>
      <c r="M263" s="72"/>
      <c r="N263" s="72"/>
      <c r="O263" s="72"/>
      <c r="P263" s="72"/>
      <c r="Q263" s="72"/>
      <c r="R263" s="72"/>
      <c r="S263" s="72"/>
      <c r="T263" s="72"/>
      <c r="U263" s="72"/>
      <c r="V263" s="72"/>
      <c r="W263" s="72"/>
      <c r="X263" s="72"/>
      <c r="Y263" s="72"/>
      <c r="Z263" s="72"/>
    </row>
    <row r="264" spans="1:26" ht="15.75" customHeight="1">
      <c r="A264" s="72"/>
      <c r="B264" s="72"/>
      <c r="C264" s="72"/>
      <c r="D264" s="72"/>
      <c r="E264" s="72"/>
      <c r="F264" s="72"/>
      <c r="G264" s="72"/>
      <c r="H264" s="72"/>
      <c r="I264" s="72"/>
      <c r="J264" s="72"/>
      <c r="K264" s="73"/>
      <c r="L264" s="74"/>
      <c r="M264" s="72"/>
      <c r="N264" s="72"/>
      <c r="O264" s="72"/>
      <c r="P264" s="72"/>
      <c r="Q264" s="72"/>
      <c r="R264" s="72"/>
      <c r="S264" s="72"/>
      <c r="T264" s="72"/>
      <c r="U264" s="72"/>
      <c r="V264" s="72"/>
      <c r="W264" s="72"/>
      <c r="X264" s="72"/>
      <c r="Y264" s="72"/>
      <c r="Z264" s="72"/>
    </row>
    <row r="265" spans="1:26" ht="15.75" customHeight="1">
      <c r="A265" s="72"/>
      <c r="B265" s="72"/>
      <c r="C265" s="72"/>
      <c r="D265" s="72"/>
      <c r="E265" s="72"/>
      <c r="F265" s="72"/>
      <c r="G265" s="72"/>
      <c r="H265" s="72"/>
      <c r="I265" s="72"/>
      <c r="J265" s="72"/>
      <c r="K265" s="73"/>
      <c r="L265" s="74"/>
      <c r="M265" s="72"/>
      <c r="N265" s="72"/>
      <c r="O265" s="72"/>
      <c r="P265" s="72"/>
      <c r="Q265" s="72"/>
      <c r="R265" s="72"/>
      <c r="S265" s="72"/>
      <c r="T265" s="72"/>
      <c r="U265" s="72"/>
      <c r="V265" s="72"/>
      <c r="W265" s="72"/>
      <c r="X265" s="72"/>
      <c r="Y265" s="72"/>
      <c r="Z265" s="72"/>
    </row>
    <row r="266" spans="1:26" ht="15.75" customHeight="1">
      <c r="A266" s="72"/>
      <c r="B266" s="72"/>
      <c r="C266" s="72"/>
      <c r="D266" s="72"/>
      <c r="E266" s="72"/>
      <c r="F266" s="72"/>
      <c r="G266" s="72"/>
      <c r="H266" s="72"/>
      <c r="I266" s="72"/>
      <c r="J266" s="72"/>
      <c r="K266" s="73"/>
      <c r="L266" s="74"/>
      <c r="M266" s="72"/>
      <c r="N266" s="72"/>
      <c r="O266" s="72"/>
      <c r="P266" s="72"/>
      <c r="Q266" s="72"/>
      <c r="R266" s="72"/>
      <c r="S266" s="72"/>
      <c r="T266" s="72"/>
      <c r="U266" s="72"/>
      <c r="V266" s="72"/>
      <c r="W266" s="72"/>
      <c r="X266" s="72"/>
      <c r="Y266" s="72"/>
      <c r="Z266" s="72"/>
    </row>
    <row r="267" spans="1:26" ht="15.75" customHeight="1">
      <c r="A267" s="72"/>
      <c r="B267" s="72"/>
      <c r="C267" s="72"/>
      <c r="D267" s="72"/>
      <c r="E267" s="72"/>
      <c r="F267" s="72"/>
      <c r="G267" s="72"/>
      <c r="H267" s="72"/>
      <c r="I267" s="72"/>
      <c r="J267" s="72"/>
      <c r="K267" s="73"/>
      <c r="L267" s="74"/>
      <c r="M267" s="72"/>
      <c r="N267" s="72"/>
      <c r="O267" s="72"/>
      <c r="P267" s="72"/>
      <c r="Q267" s="72"/>
      <c r="R267" s="72"/>
      <c r="S267" s="72"/>
      <c r="T267" s="72"/>
      <c r="U267" s="72"/>
      <c r="V267" s="72"/>
      <c r="W267" s="72"/>
      <c r="X267" s="72"/>
      <c r="Y267" s="72"/>
      <c r="Z267" s="72"/>
    </row>
    <row r="268" spans="1:26" ht="15.75" customHeight="1">
      <c r="A268" s="72"/>
      <c r="B268" s="72"/>
      <c r="C268" s="72"/>
      <c r="D268" s="72"/>
      <c r="E268" s="72"/>
      <c r="F268" s="72"/>
      <c r="G268" s="72"/>
      <c r="H268" s="72"/>
      <c r="I268" s="72"/>
      <c r="J268" s="72"/>
      <c r="K268" s="73"/>
      <c r="L268" s="74"/>
      <c r="M268" s="72"/>
      <c r="N268" s="72"/>
      <c r="O268" s="72"/>
      <c r="P268" s="72"/>
      <c r="Q268" s="72"/>
      <c r="R268" s="72"/>
      <c r="S268" s="72"/>
      <c r="T268" s="72"/>
      <c r="U268" s="72"/>
      <c r="V268" s="72"/>
      <c r="W268" s="72"/>
      <c r="X268" s="72"/>
      <c r="Y268" s="72"/>
      <c r="Z268" s="72"/>
    </row>
    <row r="269" spans="1:26" ht="15.75" customHeight="1">
      <c r="A269" s="72"/>
      <c r="B269" s="72"/>
      <c r="C269" s="72"/>
      <c r="D269" s="72"/>
      <c r="E269" s="72"/>
      <c r="F269" s="72"/>
      <c r="G269" s="72"/>
      <c r="H269" s="72"/>
      <c r="I269" s="72"/>
      <c r="J269" s="72"/>
      <c r="K269" s="73"/>
      <c r="L269" s="74"/>
      <c r="M269" s="72"/>
      <c r="N269" s="72"/>
      <c r="O269" s="72"/>
      <c r="P269" s="72"/>
      <c r="Q269" s="72"/>
      <c r="R269" s="72"/>
      <c r="S269" s="72"/>
      <c r="T269" s="72"/>
      <c r="U269" s="72"/>
      <c r="V269" s="72"/>
      <c r="W269" s="72"/>
      <c r="X269" s="72"/>
      <c r="Y269" s="72"/>
      <c r="Z269" s="72"/>
    </row>
    <row r="270" spans="1:26" ht="15.75" customHeight="1">
      <c r="A270" s="72"/>
      <c r="B270" s="72"/>
      <c r="C270" s="72"/>
      <c r="D270" s="72"/>
      <c r="E270" s="72"/>
      <c r="F270" s="72"/>
      <c r="G270" s="72"/>
      <c r="H270" s="72"/>
      <c r="I270" s="72"/>
      <c r="J270" s="72"/>
      <c r="K270" s="73"/>
      <c r="L270" s="74"/>
      <c r="M270" s="72"/>
      <c r="N270" s="72"/>
      <c r="O270" s="72"/>
      <c r="P270" s="72"/>
      <c r="Q270" s="72"/>
      <c r="R270" s="72"/>
      <c r="S270" s="72"/>
      <c r="T270" s="72"/>
      <c r="U270" s="72"/>
      <c r="V270" s="72"/>
      <c r="W270" s="72"/>
      <c r="X270" s="72"/>
      <c r="Y270" s="72"/>
      <c r="Z270" s="72"/>
    </row>
    <row r="271" spans="1:26" ht="15.75" customHeight="1">
      <c r="A271" s="72"/>
      <c r="B271" s="72"/>
      <c r="C271" s="72"/>
      <c r="D271" s="72"/>
      <c r="E271" s="72"/>
      <c r="F271" s="72"/>
      <c r="G271" s="72"/>
      <c r="H271" s="72"/>
      <c r="I271" s="72"/>
      <c r="J271" s="72"/>
      <c r="K271" s="73"/>
      <c r="L271" s="74"/>
      <c r="M271" s="72"/>
      <c r="N271" s="72"/>
      <c r="O271" s="72"/>
      <c r="P271" s="72"/>
      <c r="Q271" s="72"/>
      <c r="R271" s="72"/>
      <c r="S271" s="72"/>
      <c r="T271" s="72"/>
      <c r="U271" s="72"/>
      <c r="V271" s="72"/>
      <c r="W271" s="72"/>
      <c r="X271" s="72"/>
      <c r="Y271" s="72"/>
      <c r="Z271" s="72"/>
    </row>
    <row r="272" spans="1:26" ht="15.75" customHeight="1">
      <c r="A272" s="72"/>
      <c r="B272" s="72"/>
      <c r="C272" s="72"/>
      <c r="D272" s="72"/>
      <c r="E272" s="72"/>
      <c r="F272" s="72"/>
      <c r="G272" s="72"/>
      <c r="H272" s="72"/>
      <c r="I272" s="72"/>
      <c r="J272" s="72"/>
      <c r="K272" s="73"/>
      <c r="L272" s="74"/>
      <c r="M272" s="72"/>
      <c r="N272" s="72"/>
      <c r="O272" s="72"/>
      <c r="P272" s="72"/>
      <c r="Q272" s="72"/>
      <c r="R272" s="72"/>
      <c r="S272" s="72"/>
      <c r="T272" s="72"/>
      <c r="U272" s="72"/>
      <c r="V272" s="72"/>
      <c r="W272" s="72"/>
      <c r="X272" s="72"/>
      <c r="Y272" s="72"/>
      <c r="Z272" s="72"/>
    </row>
    <row r="273" spans="1:26" ht="15.75" customHeight="1">
      <c r="A273" s="72"/>
      <c r="B273" s="72"/>
      <c r="C273" s="72"/>
      <c r="D273" s="72"/>
      <c r="E273" s="72"/>
      <c r="F273" s="72"/>
      <c r="G273" s="72"/>
      <c r="H273" s="72"/>
      <c r="I273" s="72"/>
      <c r="J273" s="72"/>
      <c r="K273" s="73"/>
      <c r="L273" s="74"/>
      <c r="M273" s="72"/>
      <c r="N273" s="72"/>
      <c r="O273" s="72"/>
      <c r="P273" s="72"/>
      <c r="Q273" s="72"/>
      <c r="R273" s="72"/>
      <c r="S273" s="72"/>
      <c r="T273" s="72"/>
      <c r="U273" s="72"/>
      <c r="V273" s="72"/>
      <c r="W273" s="72"/>
      <c r="X273" s="72"/>
      <c r="Y273" s="72"/>
      <c r="Z273" s="72"/>
    </row>
    <row r="274" spans="1:26" ht="15.75" customHeight="1">
      <c r="A274" s="72"/>
      <c r="B274" s="72"/>
      <c r="C274" s="72"/>
      <c r="D274" s="72"/>
      <c r="E274" s="72"/>
      <c r="F274" s="72"/>
      <c r="G274" s="72"/>
      <c r="H274" s="72"/>
      <c r="I274" s="72"/>
      <c r="J274" s="72"/>
      <c r="K274" s="73"/>
      <c r="L274" s="74"/>
      <c r="M274" s="72"/>
      <c r="N274" s="72"/>
      <c r="O274" s="72"/>
      <c r="P274" s="72"/>
      <c r="Q274" s="72"/>
      <c r="R274" s="72"/>
      <c r="S274" s="72"/>
      <c r="T274" s="72"/>
      <c r="U274" s="72"/>
      <c r="V274" s="72"/>
      <c r="W274" s="72"/>
      <c r="X274" s="72"/>
      <c r="Y274" s="72"/>
      <c r="Z274" s="72"/>
    </row>
    <row r="275" spans="1:26" ht="15.75" customHeight="1">
      <c r="A275" s="72"/>
      <c r="B275" s="72"/>
      <c r="C275" s="72"/>
      <c r="D275" s="72"/>
      <c r="E275" s="72"/>
      <c r="F275" s="72"/>
      <c r="G275" s="72"/>
      <c r="H275" s="72"/>
      <c r="I275" s="72"/>
      <c r="J275" s="72"/>
      <c r="K275" s="73"/>
      <c r="L275" s="74"/>
      <c r="M275" s="72"/>
      <c r="N275" s="72"/>
      <c r="O275" s="72"/>
      <c r="P275" s="72"/>
      <c r="Q275" s="72"/>
      <c r="R275" s="72"/>
      <c r="S275" s="72"/>
      <c r="T275" s="72"/>
      <c r="U275" s="72"/>
      <c r="V275" s="72"/>
      <c r="W275" s="72"/>
      <c r="X275" s="72"/>
      <c r="Y275" s="72"/>
      <c r="Z275" s="72"/>
    </row>
    <row r="276" spans="1:26" ht="15.75" customHeight="1">
      <c r="A276" s="72"/>
      <c r="B276" s="72"/>
      <c r="C276" s="72"/>
      <c r="D276" s="72"/>
      <c r="E276" s="72"/>
      <c r="F276" s="72"/>
      <c r="G276" s="72"/>
      <c r="H276" s="72"/>
      <c r="I276" s="72"/>
      <c r="J276" s="72"/>
      <c r="K276" s="73"/>
      <c r="L276" s="74"/>
      <c r="M276" s="72"/>
      <c r="N276" s="72"/>
      <c r="O276" s="72"/>
      <c r="P276" s="72"/>
      <c r="Q276" s="72"/>
      <c r="R276" s="72"/>
      <c r="S276" s="72"/>
      <c r="T276" s="72"/>
      <c r="U276" s="72"/>
      <c r="V276" s="72"/>
      <c r="W276" s="72"/>
      <c r="X276" s="72"/>
      <c r="Y276" s="72"/>
      <c r="Z276" s="72"/>
    </row>
    <row r="277" spans="1:26" ht="15.75" customHeight="1">
      <c r="A277" s="72"/>
      <c r="B277" s="72"/>
      <c r="C277" s="72"/>
      <c r="D277" s="72"/>
      <c r="E277" s="72"/>
      <c r="F277" s="72"/>
      <c r="G277" s="72"/>
      <c r="H277" s="72"/>
      <c r="I277" s="72"/>
      <c r="J277" s="72"/>
      <c r="K277" s="73"/>
      <c r="L277" s="74"/>
      <c r="M277" s="72"/>
      <c r="N277" s="72"/>
      <c r="O277" s="72"/>
      <c r="P277" s="72"/>
      <c r="Q277" s="72"/>
      <c r="R277" s="72"/>
      <c r="S277" s="72"/>
      <c r="T277" s="72"/>
      <c r="U277" s="72"/>
      <c r="V277" s="72"/>
      <c r="W277" s="72"/>
      <c r="X277" s="72"/>
      <c r="Y277" s="72"/>
      <c r="Z277" s="72"/>
    </row>
    <row r="278" spans="1:26" ht="15.75" customHeight="1">
      <c r="A278" s="72"/>
      <c r="B278" s="72"/>
      <c r="C278" s="72"/>
      <c r="D278" s="72"/>
      <c r="E278" s="72"/>
      <c r="F278" s="72"/>
      <c r="G278" s="72"/>
      <c r="H278" s="72"/>
      <c r="I278" s="72"/>
      <c r="J278" s="72"/>
      <c r="K278" s="73"/>
      <c r="L278" s="74"/>
      <c r="M278" s="72"/>
      <c r="N278" s="72"/>
      <c r="O278" s="72"/>
      <c r="P278" s="72"/>
      <c r="Q278" s="72"/>
      <c r="R278" s="72"/>
      <c r="S278" s="72"/>
      <c r="T278" s="72"/>
      <c r="U278" s="72"/>
      <c r="V278" s="72"/>
      <c r="W278" s="72"/>
      <c r="X278" s="72"/>
      <c r="Y278" s="72"/>
      <c r="Z278" s="72"/>
    </row>
    <row r="279" spans="1:26" ht="15.75" customHeight="1">
      <c r="A279" s="72"/>
      <c r="B279" s="72"/>
      <c r="C279" s="72"/>
      <c r="D279" s="72"/>
      <c r="E279" s="72"/>
      <c r="F279" s="72"/>
      <c r="G279" s="72"/>
      <c r="H279" s="72"/>
      <c r="I279" s="72"/>
      <c r="J279" s="72"/>
      <c r="K279" s="73"/>
      <c r="L279" s="74"/>
      <c r="M279" s="72"/>
      <c r="N279" s="72"/>
      <c r="O279" s="72"/>
      <c r="P279" s="72"/>
      <c r="Q279" s="72"/>
      <c r="R279" s="72"/>
      <c r="S279" s="72"/>
      <c r="T279" s="72"/>
      <c r="U279" s="72"/>
      <c r="V279" s="72"/>
      <c r="W279" s="72"/>
      <c r="X279" s="72"/>
      <c r="Y279" s="72"/>
      <c r="Z279" s="72"/>
    </row>
    <row r="280" spans="1:26" ht="15.75" customHeight="1">
      <c r="A280" s="72"/>
      <c r="B280" s="72"/>
      <c r="C280" s="72"/>
      <c r="D280" s="72"/>
      <c r="E280" s="72"/>
      <c r="F280" s="72"/>
      <c r="G280" s="72"/>
      <c r="H280" s="72"/>
      <c r="I280" s="72"/>
      <c r="J280" s="72"/>
      <c r="K280" s="73"/>
      <c r="L280" s="74"/>
      <c r="M280" s="72"/>
      <c r="N280" s="72"/>
      <c r="O280" s="72"/>
      <c r="P280" s="72"/>
      <c r="Q280" s="72"/>
      <c r="R280" s="72"/>
      <c r="S280" s="72"/>
      <c r="T280" s="72"/>
      <c r="U280" s="72"/>
      <c r="V280" s="72"/>
      <c r="W280" s="72"/>
      <c r="X280" s="72"/>
      <c r="Y280" s="72"/>
      <c r="Z280" s="72"/>
    </row>
    <row r="281" spans="1:26" ht="15.75" customHeight="1">
      <c r="A281" s="72"/>
      <c r="B281" s="72"/>
      <c r="C281" s="72"/>
      <c r="D281" s="72"/>
      <c r="E281" s="72"/>
      <c r="F281" s="72"/>
      <c r="G281" s="72"/>
      <c r="H281" s="72"/>
      <c r="I281" s="72"/>
      <c r="J281" s="72"/>
      <c r="K281" s="73"/>
      <c r="L281" s="74"/>
      <c r="M281" s="72"/>
      <c r="N281" s="72"/>
      <c r="O281" s="72"/>
      <c r="P281" s="72"/>
      <c r="Q281" s="72"/>
      <c r="R281" s="72"/>
      <c r="S281" s="72"/>
      <c r="T281" s="72"/>
      <c r="U281" s="72"/>
      <c r="V281" s="72"/>
      <c r="W281" s="72"/>
      <c r="X281" s="72"/>
      <c r="Y281" s="72"/>
      <c r="Z281" s="72"/>
    </row>
    <row r="282" spans="1:26" ht="15.75" customHeight="1">
      <c r="A282" s="72"/>
      <c r="B282" s="72"/>
      <c r="C282" s="72"/>
      <c r="D282" s="72"/>
      <c r="E282" s="72"/>
      <c r="F282" s="72"/>
      <c r="G282" s="72"/>
      <c r="H282" s="72"/>
      <c r="I282" s="72"/>
      <c r="J282" s="72"/>
      <c r="K282" s="73"/>
      <c r="L282" s="74"/>
      <c r="M282" s="72"/>
      <c r="N282" s="72"/>
      <c r="O282" s="72"/>
      <c r="P282" s="72"/>
      <c r="Q282" s="72"/>
      <c r="R282" s="72"/>
      <c r="S282" s="72"/>
      <c r="T282" s="72"/>
      <c r="U282" s="72"/>
      <c r="V282" s="72"/>
      <c r="W282" s="72"/>
      <c r="X282" s="72"/>
      <c r="Y282" s="72"/>
      <c r="Z282" s="72"/>
    </row>
    <row r="283" spans="1:26" ht="15.75" customHeight="1">
      <c r="A283" s="72"/>
      <c r="B283" s="72"/>
      <c r="C283" s="72"/>
      <c r="D283" s="72"/>
      <c r="E283" s="72"/>
      <c r="F283" s="72"/>
      <c r="G283" s="72"/>
      <c r="H283" s="72"/>
      <c r="I283" s="72"/>
      <c r="J283" s="72"/>
      <c r="K283" s="73"/>
      <c r="L283" s="74"/>
      <c r="M283" s="72"/>
      <c r="N283" s="72"/>
      <c r="O283" s="72"/>
      <c r="P283" s="72"/>
      <c r="Q283" s="72"/>
      <c r="R283" s="72"/>
      <c r="S283" s="72"/>
      <c r="T283" s="72"/>
      <c r="U283" s="72"/>
      <c r="V283" s="72"/>
      <c r="W283" s="72"/>
      <c r="X283" s="72"/>
      <c r="Y283" s="72"/>
      <c r="Z283" s="72"/>
    </row>
    <row r="284" spans="1:26" ht="15.75" customHeight="1">
      <c r="A284" s="72"/>
      <c r="B284" s="72"/>
      <c r="C284" s="72"/>
      <c r="D284" s="72"/>
      <c r="E284" s="72"/>
      <c r="F284" s="72"/>
      <c r="G284" s="72"/>
      <c r="H284" s="72"/>
      <c r="I284" s="72"/>
      <c r="J284" s="72"/>
      <c r="K284" s="73"/>
      <c r="L284" s="74"/>
      <c r="M284" s="72"/>
      <c r="N284" s="72"/>
      <c r="O284" s="72"/>
      <c r="P284" s="72"/>
      <c r="Q284" s="72"/>
      <c r="R284" s="72"/>
      <c r="S284" s="72"/>
      <c r="T284" s="72"/>
      <c r="U284" s="72"/>
      <c r="V284" s="72"/>
      <c r="W284" s="72"/>
      <c r="X284" s="72"/>
      <c r="Y284" s="72"/>
      <c r="Z284" s="72"/>
    </row>
    <row r="285" spans="1:26" ht="15.75" customHeight="1">
      <c r="A285" s="72"/>
      <c r="B285" s="72"/>
      <c r="C285" s="72"/>
      <c r="D285" s="72"/>
      <c r="E285" s="72"/>
      <c r="F285" s="72"/>
      <c r="G285" s="72"/>
      <c r="H285" s="72"/>
      <c r="I285" s="72"/>
      <c r="J285" s="72"/>
      <c r="K285" s="73"/>
      <c r="L285" s="74"/>
      <c r="M285" s="72"/>
      <c r="N285" s="72"/>
      <c r="O285" s="72"/>
      <c r="P285" s="72"/>
      <c r="Q285" s="72"/>
      <c r="R285" s="72"/>
      <c r="S285" s="72"/>
      <c r="T285" s="72"/>
      <c r="U285" s="72"/>
      <c r="V285" s="72"/>
      <c r="W285" s="72"/>
      <c r="X285" s="72"/>
      <c r="Y285" s="72"/>
      <c r="Z285" s="72"/>
    </row>
    <row r="286" spans="1:26" ht="15.75" customHeight="1">
      <c r="A286" s="72"/>
      <c r="B286" s="72"/>
      <c r="C286" s="72"/>
      <c r="D286" s="72"/>
      <c r="E286" s="72"/>
      <c r="F286" s="72"/>
      <c r="G286" s="72"/>
      <c r="H286" s="72"/>
      <c r="I286" s="72"/>
      <c r="J286" s="72"/>
      <c r="K286" s="73"/>
      <c r="L286" s="74"/>
      <c r="M286" s="72"/>
      <c r="N286" s="72"/>
      <c r="O286" s="72"/>
      <c r="P286" s="72"/>
      <c r="Q286" s="72"/>
      <c r="R286" s="72"/>
      <c r="S286" s="72"/>
      <c r="T286" s="72"/>
      <c r="U286" s="72"/>
      <c r="V286" s="72"/>
      <c r="W286" s="72"/>
      <c r="X286" s="72"/>
      <c r="Y286" s="72"/>
      <c r="Z286" s="72"/>
    </row>
    <row r="287" spans="1:26" ht="15.75" customHeight="1">
      <c r="A287" s="72"/>
      <c r="B287" s="72"/>
      <c r="C287" s="72"/>
      <c r="D287" s="72"/>
      <c r="E287" s="72"/>
      <c r="F287" s="72"/>
      <c r="G287" s="72"/>
      <c r="H287" s="72"/>
      <c r="I287" s="72"/>
      <c r="J287" s="72"/>
      <c r="K287" s="73"/>
      <c r="L287" s="74"/>
      <c r="M287" s="72"/>
      <c r="N287" s="72"/>
      <c r="O287" s="72"/>
      <c r="P287" s="72"/>
      <c r="Q287" s="72"/>
      <c r="R287" s="72"/>
      <c r="S287" s="72"/>
      <c r="T287" s="72"/>
      <c r="U287" s="72"/>
      <c r="V287" s="72"/>
      <c r="W287" s="72"/>
      <c r="X287" s="72"/>
      <c r="Y287" s="72"/>
      <c r="Z287" s="72"/>
    </row>
    <row r="288" spans="1:26" ht="15.75" customHeight="1">
      <c r="A288" s="72"/>
      <c r="B288" s="72"/>
      <c r="C288" s="72"/>
      <c r="D288" s="72"/>
      <c r="E288" s="72"/>
      <c r="F288" s="72"/>
      <c r="G288" s="72"/>
      <c r="H288" s="72"/>
      <c r="I288" s="72"/>
      <c r="J288" s="72"/>
      <c r="K288" s="73"/>
      <c r="L288" s="74"/>
      <c r="M288" s="72"/>
      <c r="N288" s="72"/>
      <c r="O288" s="72"/>
      <c r="P288" s="72"/>
      <c r="Q288" s="72"/>
      <c r="R288" s="72"/>
      <c r="S288" s="72"/>
      <c r="T288" s="72"/>
      <c r="U288" s="72"/>
      <c r="V288" s="72"/>
      <c r="W288" s="72"/>
      <c r="X288" s="72"/>
      <c r="Y288" s="72"/>
      <c r="Z288" s="72"/>
    </row>
    <row r="289" spans="1:26" ht="15.75" customHeight="1">
      <c r="A289" s="72"/>
      <c r="B289" s="72"/>
      <c r="C289" s="72"/>
      <c r="D289" s="72"/>
      <c r="E289" s="72"/>
      <c r="F289" s="72"/>
      <c r="G289" s="72"/>
      <c r="H289" s="72"/>
      <c r="I289" s="72"/>
      <c r="J289" s="72"/>
      <c r="K289" s="73"/>
      <c r="L289" s="74"/>
      <c r="M289" s="72"/>
      <c r="N289" s="72"/>
      <c r="O289" s="72"/>
      <c r="P289" s="72"/>
      <c r="Q289" s="72"/>
      <c r="R289" s="72"/>
      <c r="S289" s="72"/>
      <c r="T289" s="72"/>
      <c r="U289" s="72"/>
      <c r="V289" s="72"/>
      <c r="W289" s="72"/>
      <c r="X289" s="72"/>
      <c r="Y289" s="72"/>
      <c r="Z289" s="72"/>
    </row>
    <row r="290" spans="1:26" ht="15.75" customHeight="1">
      <c r="A290" s="72"/>
      <c r="B290" s="72"/>
      <c r="C290" s="72"/>
      <c r="D290" s="72"/>
      <c r="E290" s="72"/>
      <c r="F290" s="72"/>
      <c r="G290" s="72"/>
      <c r="H290" s="72"/>
      <c r="I290" s="72"/>
      <c r="J290" s="72"/>
      <c r="K290" s="73"/>
      <c r="L290" s="74"/>
      <c r="M290" s="72"/>
      <c r="N290" s="72"/>
      <c r="O290" s="72"/>
      <c r="P290" s="72"/>
      <c r="Q290" s="72"/>
      <c r="R290" s="72"/>
      <c r="S290" s="72"/>
      <c r="T290" s="72"/>
      <c r="U290" s="72"/>
      <c r="V290" s="72"/>
      <c r="W290" s="72"/>
      <c r="X290" s="72"/>
      <c r="Y290" s="72"/>
      <c r="Z290" s="72"/>
    </row>
    <row r="291" spans="1:26" ht="15.75" customHeight="1">
      <c r="A291" s="72"/>
      <c r="B291" s="72"/>
      <c r="C291" s="72"/>
      <c r="D291" s="72"/>
      <c r="E291" s="72"/>
      <c r="F291" s="72"/>
      <c r="G291" s="72"/>
      <c r="H291" s="72"/>
      <c r="I291" s="72"/>
      <c r="J291" s="72"/>
      <c r="K291" s="73"/>
      <c r="L291" s="74"/>
      <c r="M291" s="72"/>
      <c r="N291" s="72"/>
      <c r="O291" s="72"/>
      <c r="P291" s="72"/>
      <c r="Q291" s="72"/>
      <c r="R291" s="72"/>
      <c r="S291" s="72"/>
      <c r="T291" s="72"/>
      <c r="U291" s="72"/>
      <c r="V291" s="72"/>
      <c r="W291" s="72"/>
      <c r="X291" s="72"/>
      <c r="Y291" s="72"/>
      <c r="Z291" s="72"/>
    </row>
    <row r="292" spans="1:26" ht="15.75" customHeight="1">
      <c r="A292" s="72"/>
      <c r="B292" s="72"/>
      <c r="C292" s="72"/>
      <c r="D292" s="72"/>
      <c r="E292" s="72"/>
      <c r="F292" s="72"/>
      <c r="G292" s="72"/>
      <c r="H292" s="72"/>
      <c r="I292" s="72"/>
      <c r="J292" s="72"/>
      <c r="K292" s="73"/>
      <c r="L292" s="74"/>
      <c r="M292" s="72"/>
      <c r="N292" s="72"/>
      <c r="O292" s="72"/>
      <c r="P292" s="72"/>
      <c r="Q292" s="72"/>
      <c r="R292" s="72"/>
      <c r="S292" s="72"/>
      <c r="T292" s="72"/>
      <c r="U292" s="72"/>
      <c r="V292" s="72"/>
      <c r="W292" s="72"/>
      <c r="X292" s="72"/>
      <c r="Y292" s="72"/>
      <c r="Z292" s="72"/>
    </row>
    <row r="293" spans="1:26" ht="15.75" customHeight="1">
      <c r="A293" s="72"/>
      <c r="B293" s="72"/>
      <c r="C293" s="72"/>
      <c r="D293" s="72"/>
      <c r="E293" s="72"/>
      <c r="F293" s="72"/>
      <c r="G293" s="72"/>
      <c r="H293" s="72"/>
      <c r="I293" s="72"/>
      <c r="J293" s="72"/>
      <c r="K293" s="73"/>
      <c r="L293" s="74"/>
      <c r="M293" s="72"/>
      <c r="N293" s="72"/>
      <c r="O293" s="72"/>
      <c r="P293" s="72"/>
      <c r="Q293" s="72"/>
      <c r="R293" s="72"/>
      <c r="S293" s="72"/>
      <c r="T293" s="72"/>
      <c r="U293" s="72"/>
      <c r="V293" s="72"/>
      <c r="W293" s="72"/>
      <c r="X293" s="72"/>
      <c r="Y293" s="72"/>
      <c r="Z293" s="72"/>
    </row>
    <row r="294" spans="1:26" ht="15.75" customHeight="1">
      <c r="A294" s="72"/>
      <c r="B294" s="72"/>
      <c r="C294" s="72"/>
      <c r="D294" s="72"/>
      <c r="E294" s="72"/>
      <c r="F294" s="72"/>
      <c r="G294" s="72"/>
      <c r="H294" s="72"/>
      <c r="I294" s="72"/>
      <c r="J294" s="72"/>
      <c r="K294" s="73"/>
      <c r="L294" s="74"/>
      <c r="M294" s="72"/>
      <c r="N294" s="72"/>
      <c r="O294" s="72"/>
      <c r="P294" s="72"/>
      <c r="Q294" s="72"/>
      <c r="R294" s="72"/>
      <c r="S294" s="72"/>
      <c r="T294" s="72"/>
      <c r="U294" s="72"/>
      <c r="V294" s="72"/>
      <c r="W294" s="72"/>
      <c r="X294" s="72"/>
      <c r="Y294" s="72"/>
      <c r="Z294" s="72"/>
    </row>
    <row r="295" spans="1:26" ht="15.75" customHeight="1">
      <c r="A295" s="72"/>
      <c r="B295" s="72"/>
      <c r="C295" s="72"/>
      <c r="D295" s="72"/>
      <c r="E295" s="72"/>
      <c r="F295" s="72"/>
      <c r="G295" s="72"/>
      <c r="H295" s="72"/>
      <c r="I295" s="72"/>
      <c r="J295" s="72"/>
      <c r="K295" s="73"/>
      <c r="L295" s="74"/>
      <c r="M295" s="72"/>
      <c r="N295" s="72"/>
      <c r="O295" s="72"/>
      <c r="P295" s="72"/>
      <c r="Q295" s="72"/>
      <c r="R295" s="72"/>
      <c r="S295" s="72"/>
      <c r="T295" s="72"/>
      <c r="U295" s="72"/>
      <c r="V295" s="72"/>
      <c r="W295" s="72"/>
      <c r="X295" s="72"/>
      <c r="Y295" s="72"/>
      <c r="Z295" s="72"/>
    </row>
    <row r="296" spans="1:26" ht="15.75" customHeight="1">
      <c r="A296" s="72"/>
      <c r="B296" s="72"/>
      <c r="C296" s="72"/>
      <c r="D296" s="72"/>
      <c r="E296" s="72"/>
      <c r="F296" s="72"/>
      <c r="G296" s="72"/>
      <c r="H296" s="72"/>
      <c r="I296" s="72"/>
      <c r="J296" s="72"/>
      <c r="K296" s="73"/>
      <c r="L296" s="74"/>
      <c r="M296" s="72"/>
      <c r="N296" s="72"/>
      <c r="O296" s="72"/>
      <c r="P296" s="72"/>
      <c r="Q296" s="72"/>
      <c r="R296" s="72"/>
      <c r="S296" s="72"/>
      <c r="T296" s="72"/>
      <c r="U296" s="72"/>
      <c r="V296" s="72"/>
      <c r="W296" s="72"/>
      <c r="X296" s="72"/>
      <c r="Y296" s="72"/>
      <c r="Z296" s="72"/>
    </row>
    <row r="297" spans="1:26" ht="15.75" customHeight="1">
      <c r="A297" s="72"/>
      <c r="B297" s="72"/>
      <c r="C297" s="72"/>
      <c r="D297" s="72"/>
      <c r="E297" s="72"/>
      <c r="F297" s="72"/>
      <c r="G297" s="72"/>
      <c r="H297" s="72"/>
      <c r="I297" s="72"/>
      <c r="J297" s="72"/>
      <c r="K297" s="73"/>
      <c r="L297" s="74"/>
      <c r="M297" s="72"/>
      <c r="N297" s="72"/>
      <c r="O297" s="72"/>
      <c r="P297" s="72"/>
      <c r="Q297" s="72"/>
      <c r="R297" s="72"/>
      <c r="S297" s="72"/>
      <c r="T297" s="72"/>
      <c r="U297" s="72"/>
      <c r="V297" s="72"/>
      <c r="W297" s="72"/>
      <c r="X297" s="72"/>
      <c r="Y297" s="72"/>
      <c r="Z297" s="72"/>
    </row>
    <row r="298" spans="1:26" ht="15.75" customHeight="1">
      <c r="A298" s="72"/>
      <c r="B298" s="72"/>
      <c r="C298" s="72"/>
      <c r="D298" s="72"/>
      <c r="E298" s="72"/>
      <c r="F298" s="72"/>
      <c r="G298" s="72"/>
      <c r="H298" s="72"/>
      <c r="I298" s="72"/>
      <c r="J298" s="72"/>
      <c r="K298" s="73"/>
      <c r="L298" s="74"/>
      <c r="M298" s="72"/>
      <c r="N298" s="72"/>
      <c r="O298" s="72"/>
      <c r="P298" s="72"/>
      <c r="Q298" s="72"/>
      <c r="R298" s="72"/>
      <c r="S298" s="72"/>
      <c r="T298" s="72"/>
      <c r="U298" s="72"/>
      <c r="V298" s="72"/>
      <c r="W298" s="72"/>
      <c r="X298" s="72"/>
      <c r="Y298" s="72"/>
      <c r="Z298" s="72"/>
    </row>
    <row r="299" spans="1:26" ht="15.75" customHeight="1">
      <c r="A299" s="72"/>
      <c r="B299" s="72"/>
      <c r="C299" s="72"/>
      <c r="D299" s="72"/>
      <c r="E299" s="72"/>
      <c r="F299" s="72"/>
      <c r="G299" s="72"/>
      <c r="H299" s="72"/>
      <c r="I299" s="72"/>
      <c r="J299" s="72"/>
      <c r="K299" s="73"/>
      <c r="L299" s="74"/>
      <c r="M299" s="72"/>
      <c r="N299" s="72"/>
      <c r="O299" s="72"/>
      <c r="P299" s="72"/>
      <c r="Q299" s="72"/>
      <c r="R299" s="72"/>
      <c r="S299" s="72"/>
      <c r="T299" s="72"/>
      <c r="U299" s="72"/>
      <c r="V299" s="72"/>
      <c r="W299" s="72"/>
      <c r="X299" s="72"/>
      <c r="Y299" s="72"/>
      <c r="Z299" s="72"/>
    </row>
    <row r="300" spans="1:26" ht="15.75" customHeight="1">
      <c r="A300" s="72"/>
      <c r="B300" s="72"/>
      <c r="C300" s="72"/>
      <c r="D300" s="72"/>
      <c r="E300" s="72"/>
      <c r="F300" s="72"/>
      <c r="G300" s="72"/>
      <c r="H300" s="72"/>
      <c r="I300" s="72"/>
      <c r="J300" s="72"/>
      <c r="K300" s="73"/>
      <c r="L300" s="74"/>
      <c r="M300" s="72"/>
      <c r="N300" s="72"/>
      <c r="O300" s="72"/>
      <c r="P300" s="72"/>
      <c r="Q300" s="72"/>
      <c r="R300" s="72"/>
      <c r="S300" s="72"/>
      <c r="T300" s="72"/>
      <c r="U300" s="72"/>
      <c r="V300" s="72"/>
      <c r="W300" s="72"/>
      <c r="X300" s="72"/>
      <c r="Y300" s="72"/>
      <c r="Z300" s="72"/>
    </row>
    <row r="301" spans="1:26" ht="15.75" customHeight="1">
      <c r="A301" s="72"/>
      <c r="B301" s="72"/>
      <c r="C301" s="72"/>
      <c r="D301" s="72"/>
      <c r="E301" s="72"/>
      <c r="F301" s="72"/>
      <c r="G301" s="72"/>
      <c r="H301" s="72"/>
      <c r="I301" s="72"/>
      <c r="J301" s="72"/>
      <c r="K301" s="73"/>
      <c r="L301" s="74"/>
      <c r="M301" s="72"/>
      <c r="N301" s="72"/>
      <c r="O301" s="72"/>
      <c r="P301" s="72"/>
      <c r="Q301" s="72"/>
      <c r="R301" s="72"/>
      <c r="S301" s="72"/>
      <c r="T301" s="72"/>
      <c r="U301" s="72"/>
      <c r="V301" s="72"/>
      <c r="W301" s="72"/>
      <c r="X301" s="72"/>
      <c r="Y301" s="72"/>
      <c r="Z301" s="72"/>
    </row>
    <row r="302" spans="1:26" ht="15.75" customHeight="1">
      <c r="A302" s="72"/>
      <c r="B302" s="72"/>
      <c r="C302" s="72"/>
      <c r="D302" s="72"/>
      <c r="E302" s="72"/>
      <c r="F302" s="72"/>
      <c r="G302" s="72"/>
      <c r="H302" s="72"/>
      <c r="I302" s="72"/>
      <c r="J302" s="72"/>
      <c r="K302" s="73"/>
      <c r="L302" s="74"/>
      <c r="M302" s="72"/>
      <c r="N302" s="72"/>
      <c r="O302" s="72"/>
      <c r="P302" s="72"/>
      <c r="Q302" s="72"/>
      <c r="R302" s="72"/>
      <c r="S302" s="72"/>
      <c r="T302" s="72"/>
      <c r="U302" s="72"/>
      <c r="V302" s="72"/>
      <c r="W302" s="72"/>
      <c r="X302" s="72"/>
      <c r="Y302" s="72"/>
      <c r="Z302" s="72"/>
    </row>
    <row r="303" spans="1:26" ht="15.75" customHeight="1">
      <c r="A303" s="72"/>
      <c r="B303" s="72"/>
      <c r="C303" s="72"/>
      <c r="D303" s="72"/>
      <c r="E303" s="72"/>
      <c r="F303" s="72"/>
      <c r="G303" s="72"/>
      <c r="H303" s="72"/>
      <c r="I303" s="72"/>
      <c r="J303" s="72"/>
      <c r="K303" s="73"/>
      <c r="L303" s="74"/>
      <c r="M303" s="72"/>
      <c r="N303" s="72"/>
      <c r="O303" s="72"/>
      <c r="P303" s="72"/>
      <c r="Q303" s="72"/>
      <c r="R303" s="72"/>
      <c r="S303" s="72"/>
      <c r="T303" s="72"/>
      <c r="U303" s="72"/>
      <c r="V303" s="72"/>
      <c r="W303" s="72"/>
      <c r="X303" s="72"/>
      <c r="Y303" s="72"/>
      <c r="Z303" s="72"/>
    </row>
    <row r="304" spans="1:26" ht="15.75" customHeight="1">
      <c r="A304" s="72"/>
      <c r="B304" s="72"/>
      <c r="C304" s="72"/>
      <c r="D304" s="72"/>
      <c r="E304" s="72"/>
      <c r="F304" s="72"/>
      <c r="G304" s="72"/>
      <c r="H304" s="72"/>
      <c r="I304" s="72"/>
      <c r="J304" s="72"/>
      <c r="K304" s="73"/>
      <c r="L304" s="74"/>
      <c r="M304" s="72"/>
      <c r="N304" s="72"/>
      <c r="O304" s="72"/>
      <c r="P304" s="72"/>
      <c r="Q304" s="72"/>
      <c r="R304" s="72"/>
      <c r="S304" s="72"/>
      <c r="T304" s="72"/>
      <c r="U304" s="72"/>
      <c r="V304" s="72"/>
      <c r="W304" s="72"/>
      <c r="X304" s="72"/>
      <c r="Y304" s="72"/>
      <c r="Z304" s="72"/>
    </row>
    <row r="305" spans="1:26" ht="15.75" customHeight="1">
      <c r="A305" s="72"/>
      <c r="B305" s="72"/>
      <c r="C305" s="72"/>
      <c r="D305" s="72"/>
      <c r="E305" s="72"/>
      <c r="F305" s="72"/>
      <c r="G305" s="72"/>
      <c r="H305" s="72"/>
      <c r="I305" s="72"/>
      <c r="J305" s="72"/>
      <c r="K305" s="73"/>
      <c r="L305" s="74"/>
      <c r="M305" s="72"/>
      <c r="N305" s="72"/>
      <c r="O305" s="72"/>
      <c r="P305" s="72"/>
      <c r="Q305" s="72"/>
      <c r="R305" s="72"/>
      <c r="S305" s="72"/>
      <c r="T305" s="72"/>
      <c r="U305" s="72"/>
      <c r="V305" s="72"/>
      <c r="W305" s="72"/>
      <c r="X305" s="72"/>
      <c r="Y305" s="72"/>
      <c r="Z305" s="72"/>
    </row>
    <row r="306" spans="1:26" ht="15.75" customHeight="1">
      <c r="A306" s="72"/>
      <c r="B306" s="72"/>
      <c r="C306" s="72"/>
      <c r="D306" s="72"/>
      <c r="E306" s="72"/>
      <c r="F306" s="72"/>
      <c r="G306" s="72"/>
      <c r="H306" s="72"/>
      <c r="I306" s="72"/>
      <c r="J306" s="72"/>
      <c r="K306" s="73"/>
      <c r="L306" s="74"/>
      <c r="M306" s="72"/>
      <c r="N306" s="72"/>
      <c r="O306" s="72"/>
      <c r="P306" s="72"/>
      <c r="Q306" s="72"/>
      <c r="R306" s="72"/>
      <c r="S306" s="72"/>
      <c r="T306" s="72"/>
      <c r="U306" s="72"/>
      <c r="V306" s="72"/>
      <c r="W306" s="72"/>
      <c r="X306" s="72"/>
      <c r="Y306" s="72"/>
      <c r="Z306" s="72"/>
    </row>
    <row r="307" spans="1:26" ht="15.75" customHeight="1">
      <c r="A307" s="72"/>
      <c r="B307" s="72"/>
      <c r="C307" s="72"/>
      <c r="D307" s="72"/>
      <c r="E307" s="72"/>
      <c r="F307" s="72"/>
      <c r="G307" s="72"/>
      <c r="H307" s="72"/>
      <c r="I307" s="72"/>
      <c r="J307" s="72"/>
      <c r="K307" s="73"/>
      <c r="L307" s="74"/>
      <c r="M307" s="72"/>
      <c r="N307" s="72"/>
      <c r="O307" s="72"/>
      <c r="P307" s="72"/>
      <c r="Q307" s="72"/>
      <c r="R307" s="72"/>
      <c r="S307" s="72"/>
      <c r="T307" s="72"/>
      <c r="U307" s="72"/>
      <c r="V307" s="72"/>
      <c r="W307" s="72"/>
      <c r="X307" s="72"/>
      <c r="Y307" s="72"/>
      <c r="Z307" s="72"/>
    </row>
    <row r="308" spans="1:26" ht="15.75" customHeight="1">
      <c r="A308" s="72"/>
      <c r="B308" s="72"/>
      <c r="C308" s="72"/>
      <c r="D308" s="72"/>
      <c r="E308" s="72"/>
      <c r="F308" s="72"/>
      <c r="G308" s="72"/>
      <c r="H308" s="72"/>
      <c r="I308" s="72"/>
      <c r="J308" s="72"/>
      <c r="K308" s="73"/>
      <c r="L308" s="74"/>
      <c r="M308" s="72"/>
      <c r="N308" s="72"/>
      <c r="O308" s="72"/>
      <c r="P308" s="72"/>
      <c r="Q308" s="72"/>
      <c r="R308" s="72"/>
      <c r="S308" s="72"/>
      <c r="T308" s="72"/>
      <c r="U308" s="72"/>
      <c r="V308" s="72"/>
      <c r="W308" s="72"/>
      <c r="X308" s="72"/>
      <c r="Y308" s="72"/>
      <c r="Z308" s="72"/>
    </row>
    <row r="309" spans="1:26" ht="15.75" customHeight="1">
      <c r="A309" s="72"/>
      <c r="B309" s="72"/>
      <c r="C309" s="72"/>
      <c r="D309" s="72"/>
      <c r="E309" s="72"/>
      <c r="F309" s="72"/>
      <c r="G309" s="72"/>
      <c r="H309" s="72"/>
      <c r="I309" s="72"/>
      <c r="J309" s="72"/>
      <c r="K309" s="73"/>
      <c r="L309" s="74"/>
      <c r="M309" s="72"/>
      <c r="N309" s="72"/>
      <c r="O309" s="72"/>
      <c r="P309" s="72"/>
      <c r="Q309" s="72"/>
      <c r="R309" s="72"/>
      <c r="S309" s="72"/>
      <c r="T309" s="72"/>
      <c r="U309" s="72"/>
      <c r="V309" s="72"/>
      <c r="W309" s="72"/>
      <c r="X309" s="72"/>
      <c r="Y309" s="72"/>
      <c r="Z309" s="72"/>
    </row>
    <row r="310" spans="1:26" ht="15.75" customHeight="1">
      <c r="A310" s="72"/>
      <c r="B310" s="72"/>
      <c r="C310" s="72"/>
      <c r="D310" s="72"/>
      <c r="E310" s="72"/>
      <c r="F310" s="72"/>
      <c r="G310" s="72"/>
      <c r="H310" s="72"/>
      <c r="I310" s="72"/>
      <c r="J310" s="72"/>
      <c r="K310" s="73"/>
      <c r="L310" s="74"/>
      <c r="M310" s="72"/>
      <c r="N310" s="72"/>
      <c r="O310" s="72"/>
      <c r="P310" s="72"/>
      <c r="Q310" s="72"/>
      <c r="R310" s="72"/>
      <c r="S310" s="72"/>
      <c r="T310" s="72"/>
      <c r="U310" s="72"/>
      <c r="V310" s="72"/>
      <c r="W310" s="72"/>
      <c r="X310" s="72"/>
      <c r="Y310" s="72"/>
      <c r="Z310" s="72"/>
    </row>
    <row r="311" spans="1:26" ht="15.75" customHeight="1">
      <c r="A311" s="72"/>
      <c r="B311" s="72"/>
      <c r="C311" s="72"/>
      <c r="D311" s="72"/>
      <c r="E311" s="72"/>
      <c r="F311" s="72"/>
      <c r="G311" s="72"/>
      <c r="H311" s="72"/>
      <c r="I311" s="72"/>
      <c r="J311" s="72"/>
      <c r="K311" s="73"/>
      <c r="L311" s="74"/>
      <c r="M311" s="72"/>
      <c r="N311" s="72"/>
      <c r="O311" s="72"/>
      <c r="P311" s="72"/>
      <c r="Q311" s="72"/>
      <c r="R311" s="72"/>
      <c r="S311" s="72"/>
      <c r="T311" s="72"/>
      <c r="U311" s="72"/>
      <c r="V311" s="72"/>
      <c r="W311" s="72"/>
      <c r="X311" s="72"/>
      <c r="Y311" s="72"/>
      <c r="Z311" s="72"/>
    </row>
    <row r="312" spans="1:26" ht="15.75" customHeight="1">
      <c r="A312" s="72"/>
      <c r="B312" s="72"/>
      <c r="C312" s="72"/>
      <c r="D312" s="72"/>
      <c r="E312" s="72"/>
      <c r="F312" s="72"/>
      <c r="G312" s="72"/>
      <c r="H312" s="72"/>
      <c r="I312" s="72"/>
      <c r="J312" s="72"/>
      <c r="K312" s="73"/>
      <c r="L312" s="74"/>
      <c r="M312" s="72"/>
      <c r="N312" s="72"/>
      <c r="O312" s="72"/>
      <c r="P312" s="72"/>
      <c r="Q312" s="72"/>
      <c r="R312" s="72"/>
      <c r="S312" s="72"/>
      <c r="T312" s="72"/>
      <c r="U312" s="72"/>
      <c r="V312" s="72"/>
      <c r="W312" s="72"/>
      <c r="X312" s="72"/>
      <c r="Y312" s="72"/>
      <c r="Z312" s="72"/>
    </row>
    <row r="313" spans="1:26" ht="15.75" customHeight="1">
      <c r="A313" s="72"/>
      <c r="B313" s="72"/>
      <c r="C313" s="72"/>
      <c r="D313" s="72"/>
      <c r="E313" s="72"/>
      <c r="F313" s="72"/>
      <c r="G313" s="72"/>
      <c r="H313" s="72"/>
      <c r="I313" s="72"/>
      <c r="J313" s="72"/>
      <c r="K313" s="73"/>
      <c r="L313" s="74"/>
      <c r="M313" s="72"/>
      <c r="N313" s="72"/>
      <c r="O313" s="72"/>
      <c r="P313" s="72"/>
      <c r="Q313" s="72"/>
      <c r="R313" s="72"/>
      <c r="S313" s="72"/>
      <c r="T313" s="72"/>
      <c r="U313" s="72"/>
      <c r="V313" s="72"/>
      <c r="W313" s="72"/>
      <c r="X313" s="72"/>
      <c r="Y313" s="72"/>
      <c r="Z313" s="72"/>
    </row>
    <row r="314" spans="1:26" ht="15.75" customHeight="1">
      <c r="A314" s="72"/>
      <c r="B314" s="72"/>
      <c r="C314" s="72"/>
      <c r="D314" s="72"/>
      <c r="E314" s="72"/>
      <c r="F314" s="72"/>
      <c r="G314" s="72"/>
      <c r="H314" s="72"/>
      <c r="I314" s="72"/>
      <c r="J314" s="72"/>
      <c r="K314" s="73"/>
      <c r="L314" s="74"/>
      <c r="M314" s="72"/>
      <c r="N314" s="72"/>
      <c r="O314" s="72"/>
      <c r="P314" s="72"/>
      <c r="Q314" s="72"/>
      <c r="R314" s="72"/>
      <c r="S314" s="72"/>
      <c r="T314" s="72"/>
      <c r="U314" s="72"/>
      <c r="V314" s="72"/>
      <c r="W314" s="72"/>
      <c r="X314" s="72"/>
      <c r="Y314" s="72"/>
      <c r="Z314" s="72"/>
    </row>
    <row r="315" spans="1:26" ht="15.75" customHeight="1">
      <c r="A315" s="72"/>
      <c r="B315" s="72"/>
      <c r="C315" s="72"/>
      <c r="D315" s="72"/>
      <c r="E315" s="72"/>
      <c r="F315" s="72"/>
      <c r="G315" s="72"/>
      <c r="H315" s="72"/>
      <c r="I315" s="72"/>
      <c r="J315" s="72"/>
      <c r="K315" s="73"/>
      <c r="L315" s="74"/>
      <c r="M315" s="72"/>
      <c r="N315" s="72"/>
      <c r="O315" s="72"/>
      <c r="P315" s="72"/>
      <c r="Q315" s="72"/>
      <c r="R315" s="72"/>
      <c r="S315" s="72"/>
      <c r="T315" s="72"/>
      <c r="U315" s="72"/>
      <c r="V315" s="72"/>
      <c r="W315" s="72"/>
      <c r="X315" s="72"/>
      <c r="Y315" s="72"/>
      <c r="Z315" s="72"/>
    </row>
    <row r="316" spans="1:26" ht="15.75" customHeight="1">
      <c r="A316" s="72"/>
      <c r="B316" s="72"/>
      <c r="C316" s="72"/>
      <c r="D316" s="72"/>
      <c r="E316" s="72"/>
      <c r="F316" s="72"/>
      <c r="G316" s="72"/>
      <c r="H316" s="72"/>
      <c r="I316" s="72"/>
      <c r="J316" s="72"/>
      <c r="K316" s="73"/>
      <c r="L316" s="74"/>
      <c r="M316" s="72"/>
      <c r="N316" s="72"/>
      <c r="O316" s="72"/>
      <c r="P316" s="72"/>
      <c r="Q316" s="72"/>
      <c r="R316" s="72"/>
      <c r="S316" s="72"/>
      <c r="T316" s="72"/>
      <c r="U316" s="72"/>
      <c r="V316" s="72"/>
      <c r="W316" s="72"/>
      <c r="X316" s="72"/>
      <c r="Y316" s="72"/>
      <c r="Z316" s="72"/>
    </row>
    <row r="317" spans="1:26" ht="15.75" customHeight="1">
      <c r="A317" s="72"/>
      <c r="B317" s="72"/>
      <c r="C317" s="72"/>
      <c r="D317" s="72"/>
      <c r="E317" s="72"/>
      <c r="F317" s="72"/>
      <c r="G317" s="72"/>
      <c r="H317" s="72"/>
      <c r="I317" s="72"/>
      <c r="J317" s="72"/>
      <c r="K317" s="73"/>
      <c r="L317" s="74"/>
      <c r="M317" s="72"/>
      <c r="N317" s="72"/>
      <c r="O317" s="72"/>
      <c r="P317" s="72"/>
      <c r="Q317" s="72"/>
      <c r="R317" s="72"/>
      <c r="S317" s="72"/>
      <c r="T317" s="72"/>
      <c r="U317" s="72"/>
      <c r="V317" s="72"/>
      <c r="W317" s="72"/>
      <c r="X317" s="72"/>
      <c r="Y317" s="72"/>
      <c r="Z317" s="72"/>
    </row>
    <row r="318" spans="1:26" ht="15.75" customHeight="1">
      <c r="A318" s="72"/>
      <c r="B318" s="72"/>
      <c r="C318" s="72"/>
      <c r="D318" s="72"/>
      <c r="E318" s="72"/>
      <c r="F318" s="72"/>
      <c r="G318" s="72"/>
      <c r="H318" s="72"/>
      <c r="I318" s="72"/>
      <c r="J318" s="72"/>
      <c r="K318" s="73"/>
      <c r="L318" s="74"/>
      <c r="M318" s="72"/>
      <c r="N318" s="72"/>
      <c r="O318" s="72"/>
      <c r="P318" s="72"/>
      <c r="Q318" s="72"/>
      <c r="R318" s="72"/>
      <c r="S318" s="72"/>
      <c r="T318" s="72"/>
      <c r="U318" s="72"/>
      <c r="V318" s="72"/>
      <c r="W318" s="72"/>
      <c r="X318" s="72"/>
      <c r="Y318" s="72"/>
      <c r="Z318" s="72"/>
    </row>
    <row r="319" spans="1:26" ht="15.75" customHeight="1">
      <c r="A319" s="72"/>
      <c r="B319" s="72"/>
      <c r="C319" s="72"/>
      <c r="D319" s="72"/>
      <c r="E319" s="72"/>
      <c r="F319" s="72"/>
      <c r="G319" s="72"/>
      <c r="H319" s="72"/>
      <c r="I319" s="72"/>
      <c r="J319" s="72"/>
      <c r="K319" s="73"/>
      <c r="L319" s="74"/>
      <c r="M319" s="72"/>
      <c r="N319" s="72"/>
      <c r="O319" s="72"/>
      <c r="P319" s="72"/>
      <c r="Q319" s="72"/>
      <c r="R319" s="72"/>
      <c r="S319" s="72"/>
      <c r="T319" s="72"/>
      <c r="U319" s="72"/>
      <c r="V319" s="72"/>
      <c r="W319" s="72"/>
      <c r="X319" s="72"/>
      <c r="Y319" s="72"/>
      <c r="Z319" s="72"/>
    </row>
    <row r="320" spans="1:26" ht="15.75" customHeight="1">
      <c r="A320" s="72"/>
      <c r="B320" s="72"/>
      <c r="C320" s="72"/>
      <c r="D320" s="72"/>
      <c r="E320" s="72"/>
      <c r="F320" s="72"/>
      <c r="G320" s="72"/>
      <c r="H320" s="72"/>
      <c r="I320" s="72"/>
      <c r="J320" s="72"/>
      <c r="K320" s="73"/>
      <c r="L320" s="74"/>
      <c r="M320" s="72"/>
      <c r="N320" s="72"/>
      <c r="O320" s="72"/>
      <c r="P320" s="72"/>
      <c r="Q320" s="72"/>
      <c r="R320" s="72"/>
      <c r="S320" s="72"/>
      <c r="T320" s="72"/>
      <c r="U320" s="72"/>
      <c r="V320" s="72"/>
      <c r="W320" s="72"/>
      <c r="X320" s="72"/>
      <c r="Y320" s="72"/>
      <c r="Z320" s="72"/>
    </row>
    <row r="321" spans="1:26" ht="15.75" customHeight="1">
      <c r="A321" s="72"/>
      <c r="B321" s="72"/>
      <c r="C321" s="72"/>
      <c r="D321" s="72"/>
      <c r="E321" s="72"/>
      <c r="F321" s="72"/>
      <c r="G321" s="72"/>
      <c r="H321" s="72"/>
      <c r="I321" s="72"/>
      <c r="J321" s="72"/>
      <c r="K321" s="73"/>
      <c r="L321" s="74"/>
      <c r="M321" s="72"/>
      <c r="N321" s="72"/>
      <c r="O321" s="72"/>
      <c r="P321" s="72"/>
      <c r="Q321" s="72"/>
      <c r="R321" s="72"/>
      <c r="S321" s="72"/>
      <c r="T321" s="72"/>
      <c r="U321" s="72"/>
      <c r="V321" s="72"/>
      <c r="W321" s="72"/>
      <c r="X321" s="72"/>
      <c r="Y321" s="72"/>
      <c r="Z321" s="72"/>
    </row>
    <row r="322" spans="1:26" ht="15.75" customHeight="1">
      <c r="A322" s="72"/>
      <c r="B322" s="72"/>
      <c r="C322" s="72"/>
      <c r="D322" s="72"/>
      <c r="E322" s="72"/>
      <c r="F322" s="72"/>
      <c r="G322" s="72"/>
      <c r="H322" s="72"/>
      <c r="I322" s="72"/>
      <c r="J322" s="72"/>
      <c r="K322" s="73"/>
      <c r="L322" s="74"/>
      <c r="M322" s="72"/>
      <c r="N322" s="72"/>
      <c r="O322" s="72"/>
      <c r="P322" s="72"/>
      <c r="Q322" s="72"/>
      <c r="R322" s="72"/>
      <c r="S322" s="72"/>
      <c r="T322" s="72"/>
      <c r="U322" s="72"/>
      <c r="V322" s="72"/>
      <c r="W322" s="72"/>
      <c r="X322" s="72"/>
      <c r="Y322" s="72"/>
      <c r="Z322" s="72"/>
    </row>
    <row r="323" spans="1:26" ht="15.75" customHeight="1">
      <c r="A323" s="72"/>
      <c r="B323" s="72"/>
      <c r="C323" s="72"/>
      <c r="D323" s="72"/>
      <c r="E323" s="72"/>
      <c r="F323" s="72"/>
      <c r="G323" s="72"/>
      <c r="H323" s="72"/>
      <c r="I323" s="72"/>
      <c r="J323" s="72"/>
      <c r="K323" s="73"/>
      <c r="L323" s="74"/>
      <c r="M323" s="72"/>
      <c r="N323" s="72"/>
      <c r="O323" s="72"/>
      <c r="P323" s="72"/>
      <c r="Q323" s="72"/>
      <c r="R323" s="72"/>
      <c r="S323" s="72"/>
      <c r="T323" s="72"/>
      <c r="U323" s="72"/>
      <c r="V323" s="72"/>
      <c r="W323" s="72"/>
      <c r="X323" s="72"/>
      <c r="Y323" s="72"/>
      <c r="Z323" s="72"/>
    </row>
    <row r="324" spans="1:26" ht="15.75" customHeight="1">
      <c r="A324" s="72"/>
      <c r="B324" s="72"/>
      <c r="C324" s="72"/>
      <c r="D324" s="72"/>
      <c r="E324" s="72"/>
      <c r="F324" s="72"/>
      <c r="G324" s="72"/>
      <c r="H324" s="72"/>
      <c r="I324" s="72"/>
      <c r="J324" s="72"/>
      <c r="K324" s="73"/>
      <c r="L324" s="74"/>
      <c r="M324" s="72"/>
      <c r="N324" s="72"/>
      <c r="O324" s="72"/>
      <c r="P324" s="72"/>
      <c r="Q324" s="72"/>
      <c r="R324" s="72"/>
      <c r="S324" s="72"/>
      <c r="T324" s="72"/>
      <c r="U324" s="72"/>
      <c r="V324" s="72"/>
      <c r="W324" s="72"/>
      <c r="X324" s="72"/>
      <c r="Y324" s="72"/>
      <c r="Z324" s="72"/>
    </row>
    <row r="325" spans="1:26" ht="15.75" customHeight="1">
      <c r="A325" s="72"/>
      <c r="B325" s="72"/>
      <c r="C325" s="72"/>
      <c r="D325" s="72"/>
      <c r="E325" s="72"/>
      <c r="F325" s="72"/>
      <c r="G325" s="72"/>
      <c r="H325" s="72"/>
      <c r="I325" s="72"/>
      <c r="J325" s="72"/>
      <c r="K325" s="73"/>
      <c r="L325" s="74"/>
      <c r="M325" s="72"/>
      <c r="N325" s="72"/>
      <c r="O325" s="72"/>
      <c r="P325" s="72"/>
      <c r="Q325" s="72"/>
      <c r="R325" s="72"/>
      <c r="S325" s="72"/>
      <c r="T325" s="72"/>
      <c r="U325" s="72"/>
      <c r="V325" s="72"/>
      <c r="W325" s="72"/>
      <c r="X325" s="72"/>
      <c r="Y325" s="72"/>
      <c r="Z325" s="72"/>
    </row>
    <row r="326" spans="1:26" ht="15.75" customHeight="1">
      <c r="A326" s="72"/>
      <c r="B326" s="72"/>
      <c r="C326" s="72"/>
      <c r="D326" s="72"/>
      <c r="E326" s="72"/>
      <c r="F326" s="72"/>
      <c r="G326" s="72"/>
      <c r="H326" s="72"/>
      <c r="I326" s="72"/>
      <c r="J326" s="72"/>
      <c r="K326" s="73"/>
      <c r="L326" s="74"/>
      <c r="M326" s="72"/>
      <c r="N326" s="72"/>
      <c r="O326" s="72"/>
      <c r="P326" s="72"/>
      <c r="Q326" s="72"/>
      <c r="R326" s="72"/>
      <c r="S326" s="72"/>
      <c r="T326" s="72"/>
      <c r="U326" s="72"/>
      <c r="V326" s="72"/>
      <c r="W326" s="72"/>
      <c r="X326" s="72"/>
      <c r="Y326" s="72"/>
      <c r="Z326" s="72"/>
    </row>
    <row r="327" spans="1:26" ht="15.75" customHeight="1">
      <c r="A327" s="72"/>
      <c r="B327" s="72"/>
      <c r="C327" s="72"/>
      <c r="D327" s="72"/>
      <c r="E327" s="72"/>
      <c r="F327" s="72"/>
      <c r="G327" s="72"/>
      <c r="H327" s="72"/>
      <c r="I327" s="72"/>
      <c r="J327" s="72"/>
      <c r="K327" s="73"/>
      <c r="L327" s="74"/>
      <c r="M327" s="72"/>
      <c r="N327" s="72"/>
      <c r="O327" s="72"/>
      <c r="P327" s="72"/>
      <c r="Q327" s="72"/>
      <c r="R327" s="72"/>
      <c r="S327" s="72"/>
      <c r="T327" s="72"/>
      <c r="U327" s="72"/>
      <c r="V327" s="72"/>
      <c r="W327" s="72"/>
      <c r="X327" s="72"/>
      <c r="Y327" s="72"/>
      <c r="Z327" s="72"/>
    </row>
    <row r="328" spans="1:26" ht="15.75" customHeight="1">
      <c r="A328" s="72"/>
      <c r="B328" s="72"/>
      <c r="C328" s="72"/>
      <c r="D328" s="72"/>
      <c r="E328" s="72"/>
      <c r="F328" s="72"/>
      <c r="G328" s="72"/>
      <c r="H328" s="72"/>
      <c r="I328" s="72"/>
      <c r="J328" s="72"/>
      <c r="K328" s="73"/>
      <c r="L328" s="74"/>
      <c r="M328" s="72"/>
      <c r="N328" s="72"/>
      <c r="O328" s="72"/>
      <c r="P328" s="72"/>
      <c r="Q328" s="72"/>
      <c r="R328" s="72"/>
      <c r="S328" s="72"/>
      <c r="T328" s="72"/>
      <c r="U328" s="72"/>
      <c r="V328" s="72"/>
      <c r="W328" s="72"/>
      <c r="X328" s="72"/>
      <c r="Y328" s="72"/>
      <c r="Z328" s="72"/>
    </row>
    <row r="329" spans="1:26" ht="15.75" customHeight="1">
      <c r="A329" s="72"/>
      <c r="B329" s="72"/>
      <c r="C329" s="72"/>
      <c r="D329" s="72"/>
      <c r="E329" s="72"/>
      <c r="F329" s="72"/>
      <c r="G329" s="72"/>
      <c r="H329" s="72"/>
      <c r="I329" s="72"/>
      <c r="J329" s="72"/>
      <c r="K329" s="73"/>
      <c r="L329" s="74"/>
      <c r="M329" s="72"/>
      <c r="N329" s="72"/>
      <c r="O329" s="72"/>
      <c r="P329" s="72"/>
      <c r="Q329" s="72"/>
      <c r="R329" s="72"/>
      <c r="S329" s="72"/>
      <c r="T329" s="72"/>
      <c r="U329" s="72"/>
      <c r="V329" s="72"/>
      <c r="W329" s="72"/>
      <c r="X329" s="72"/>
      <c r="Y329" s="72"/>
      <c r="Z329" s="72"/>
    </row>
    <row r="330" spans="1:26" ht="15.75" customHeight="1">
      <c r="A330" s="72"/>
      <c r="B330" s="72"/>
      <c r="C330" s="72"/>
      <c r="D330" s="72"/>
      <c r="E330" s="72"/>
      <c r="F330" s="72"/>
      <c r="G330" s="72"/>
      <c r="H330" s="72"/>
      <c r="I330" s="72"/>
      <c r="J330" s="72"/>
      <c r="K330" s="73"/>
      <c r="L330" s="74"/>
      <c r="M330" s="72"/>
      <c r="N330" s="72"/>
      <c r="O330" s="72"/>
      <c r="P330" s="72"/>
      <c r="Q330" s="72"/>
      <c r="R330" s="72"/>
      <c r="S330" s="72"/>
      <c r="T330" s="72"/>
      <c r="U330" s="72"/>
      <c r="V330" s="72"/>
      <c r="W330" s="72"/>
      <c r="X330" s="72"/>
      <c r="Y330" s="72"/>
      <c r="Z330" s="72"/>
    </row>
    <row r="331" spans="1:26" ht="15.75" customHeight="1">
      <c r="A331" s="72"/>
      <c r="B331" s="72"/>
      <c r="C331" s="72"/>
      <c r="D331" s="72"/>
      <c r="E331" s="72"/>
      <c r="F331" s="72"/>
      <c r="G331" s="72"/>
      <c r="H331" s="72"/>
      <c r="I331" s="72"/>
      <c r="J331" s="72"/>
      <c r="K331" s="73"/>
      <c r="L331" s="74"/>
      <c r="M331" s="72"/>
      <c r="N331" s="72"/>
      <c r="O331" s="72"/>
      <c r="P331" s="72"/>
      <c r="Q331" s="72"/>
      <c r="R331" s="72"/>
      <c r="S331" s="72"/>
      <c r="T331" s="72"/>
      <c r="U331" s="72"/>
      <c r="V331" s="72"/>
      <c r="W331" s="72"/>
      <c r="X331" s="72"/>
      <c r="Y331" s="72"/>
      <c r="Z331" s="72"/>
    </row>
    <row r="332" spans="1:26" ht="15.75" customHeight="1">
      <c r="A332" s="72"/>
      <c r="B332" s="72"/>
      <c r="C332" s="72"/>
      <c r="D332" s="72"/>
      <c r="E332" s="72"/>
      <c r="F332" s="72"/>
      <c r="G332" s="72"/>
      <c r="H332" s="72"/>
      <c r="I332" s="72"/>
      <c r="J332" s="72"/>
      <c r="K332" s="73"/>
      <c r="L332" s="74"/>
      <c r="M332" s="72"/>
      <c r="N332" s="72"/>
      <c r="O332" s="72"/>
      <c r="P332" s="72"/>
      <c r="Q332" s="72"/>
      <c r="R332" s="72"/>
      <c r="S332" s="72"/>
      <c r="T332" s="72"/>
      <c r="U332" s="72"/>
      <c r="V332" s="72"/>
      <c r="W332" s="72"/>
      <c r="X332" s="72"/>
      <c r="Y332" s="72"/>
      <c r="Z332" s="72"/>
    </row>
    <row r="333" spans="1:26" ht="15.75" customHeight="1">
      <c r="A333" s="72"/>
      <c r="B333" s="72"/>
      <c r="C333" s="72"/>
      <c r="D333" s="72"/>
      <c r="E333" s="72"/>
      <c r="F333" s="72"/>
      <c r="G333" s="72"/>
      <c r="H333" s="72"/>
      <c r="I333" s="72"/>
      <c r="J333" s="72"/>
      <c r="K333" s="73"/>
      <c r="L333" s="74"/>
      <c r="M333" s="72"/>
      <c r="N333" s="72"/>
      <c r="O333" s="72"/>
      <c r="P333" s="72"/>
      <c r="Q333" s="72"/>
      <c r="R333" s="72"/>
      <c r="S333" s="72"/>
      <c r="T333" s="72"/>
      <c r="U333" s="72"/>
      <c r="V333" s="72"/>
      <c r="W333" s="72"/>
      <c r="X333" s="72"/>
      <c r="Y333" s="72"/>
      <c r="Z333" s="72"/>
    </row>
    <row r="334" spans="1:26" ht="15.75" customHeight="1">
      <c r="A334" s="72"/>
      <c r="B334" s="72"/>
      <c r="C334" s="72"/>
      <c r="D334" s="72"/>
      <c r="E334" s="72"/>
      <c r="F334" s="72"/>
      <c r="G334" s="72"/>
      <c r="H334" s="72"/>
      <c r="I334" s="72"/>
      <c r="J334" s="72"/>
      <c r="K334" s="73"/>
      <c r="L334" s="74"/>
      <c r="M334" s="72"/>
      <c r="N334" s="72"/>
      <c r="O334" s="72"/>
      <c r="P334" s="72"/>
      <c r="Q334" s="72"/>
      <c r="R334" s="72"/>
      <c r="S334" s="72"/>
      <c r="T334" s="72"/>
      <c r="U334" s="72"/>
      <c r="V334" s="72"/>
      <c r="W334" s="72"/>
      <c r="X334" s="72"/>
      <c r="Y334" s="72"/>
      <c r="Z334" s="72"/>
    </row>
    <row r="335" spans="1:26" ht="15.75" customHeight="1">
      <c r="A335" s="72"/>
      <c r="B335" s="72"/>
      <c r="C335" s="72"/>
      <c r="D335" s="72"/>
      <c r="E335" s="72"/>
      <c r="F335" s="72"/>
      <c r="G335" s="72"/>
      <c r="H335" s="72"/>
      <c r="I335" s="72"/>
      <c r="J335" s="72"/>
      <c r="K335" s="73"/>
      <c r="L335" s="74"/>
      <c r="M335" s="72"/>
      <c r="N335" s="72"/>
      <c r="O335" s="72"/>
      <c r="P335" s="72"/>
      <c r="Q335" s="72"/>
      <c r="R335" s="72"/>
      <c r="S335" s="72"/>
      <c r="T335" s="72"/>
      <c r="U335" s="72"/>
      <c r="V335" s="72"/>
      <c r="W335" s="72"/>
      <c r="X335" s="72"/>
      <c r="Y335" s="72"/>
      <c r="Z335" s="72"/>
    </row>
    <row r="336" spans="1:26" ht="15.75" customHeight="1">
      <c r="A336" s="72"/>
      <c r="B336" s="72"/>
      <c r="C336" s="72"/>
      <c r="D336" s="72"/>
      <c r="E336" s="72"/>
      <c r="F336" s="72"/>
      <c r="G336" s="72"/>
      <c r="H336" s="72"/>
      <c r="I336" s="72"/>
      <c r="J336" s="72"/>
      <c r="K336" s="73"/>
      <c r="L336" s="74"/>
      <c r="M336" s="72"/>
      <c r="N336" s="72"/>
      <c r="O336" s="72"/>
      <c r="P336" s="72"/>
      <c r="Q336" s="72"/>
      <c r="R336" s="72"/>
      <c r="S336" s="72"/>
      <c r="T336" s="72"/>
      <c r="U336" s="72"/>
      <c r="V336" s="72"/>
      <c r="W336" s="72"/>
      <c r="X336" s="72"/>
      <c r="Y336" s="72"/>
      <c r="Z336" s="72"/>
    </row>
    <row r="337" spans="1:26" ht="15.75" customHeight="1">
      <c r="A337" s="72"/>
      <c r="B337" s="72"/>
      <c r="C337" s="72"/>
      <c r="D337" s="72"/>
      <c r="E337" s="72"/>
      <c r="F337" s="72"/>
      <c r="G337" s="72"/>
      <c r="H337" s="72"/>
      <c r="I337" s="72"/>
      <c r="J337" s="72"/>
      <c r="K337" s="73"/>
      <c r="L337" s="74"/>
      <c r="M337" s="72"/>
      <c r="N337" s="72"/>
      <c r="O337" s="72"/>
      <c r="P337" s="72"/>
      <c r="Q337" s="72"/>
      <c r="R337" s="72"/>
      <c r="S337" s="72"/>
      <c r="T337" s="72"/>
      <c r="U337" s="72"/>
      <c r="V337" s="72"/>
      <c r="W337" s="72"/>
      <c r="X337" s="72"/>
      <c r="Y337" s="72"/>
      <c r="Z337" s="72"/>
    </row>
    <row r="338" spans="1:26" ht="15.75" customHeight="1">
      <c r="A338" s="72"/>
      <c r="B338" s="72"/>
      <c r="C338" s="72"/>
      <c r="D338" s="72"/>
      <c r="E338" s="72"/>
      <c r="F338" s="72"/>
      <c r="G338" s="72"/>
      <c r="H338" s="72"/>
      <c r="I338" s="72"/>
      <c r="J338" s="72"/>
      <c r="K338" s="73"/>
      <c r="L338" s="74"/>
      <c r="M338" s="72"/>
      <c r="N338" s="72"/>
      <c r="O338" s="72"/>
      <c r="P338" s="72"/>
      <c r="Q338" s="72"/>
      <c r="R338" s="72"/>
      <c r="S338" s="72"/>
      <c r="T338" s="72"/>
      <c r="U338" s="72"/>
      <c r="V338" s="72"/>
      <c r="W338" s="72"/>
      <c r="X338" s="72"/>
      <c r="Y338" s="72"/>
      <c r="Z338" s="72"/>
    </row>
    <row r="339" spans="1:26" ht="15.75" customHeight="1">
      <c r="A339" s="72"/>
      <c r="B339" s="72"/>
      <c r="C339" s="72"/>
      <c r="D339" s="72"/>
      <c r="E339" s="72"/>
      <c r="F339" s="72"/>
      <c r="G339" s="72"/>
      <c r="H339" s="72"/>
      <c r="I339" s="72"/>
      <c r="J339" s="72"/>
      <c r="K339" s="73"/>
      <c r="L339" s="74"/>
      <c r="M339" s="72"/>
      <c r="N339" s="72"/>
      <c r="O339" s="72"/>
      <c r="P339" s="72"/>
      <c r="Q339" s="72"/>
      <c r="R339" s="72"/>
      <c r="S339" s="72"/>
      <c r="T339" s="72"/>
      <c r="U339" s="72"/>
      <c r="V339" s="72"/>
      <c r="W339" s="72"/>
      <c r="X339" s="72"/>
      <c r="Y339" s="72"/>
      <c r="Z339" s="72"/>
    </row>
    <row r="340" spans="1:26" ht="15.75" customHeight="1">
      <c r="A340" s="72"/>
      <c r="B340" s="72"/>
      <c r="C340" s="72"/>
      <c r="D340" s="72"/>
      <c r="E340" s="72"/>
      <c r="F340" s="72"/>
      <c r="G340" s="72"/>
      <c r="H340" s="72"/>
      <c r="I340" s="72"/>
      <c r="J340" s="72"/>
      <c r="K340" s="73"/>
      <c r="L340" s="74"/>
      <c r="M340" s="72"/>
      <c r="N340" s="72"/>
      <c r="O340" s="72"/>
      <c r="P340" s="72"/>
      <c r="Q340" s="72"/>
      <c r="R340" s="72"/>
      <c r="S340" s="72"/>
      <c r="T340" s="72"/>
      <c r="U340" s="72"/>
      <c r="V340" s="72"/>
      <c r="W340" s="72"/>
      <c r="X340" s="72"/>
      <c r="Y340" s="72"/>
      <c r="Z340" s="72"/>
    </row>
    <row r="341" spans="1:26" ht="15.75" customHeight="1">
      <c r="A341" s="72"/>
      <c r="B341" s="72"/>
      <c r="C341" s="72"/>
      <c r="D341" s="72"/>
      <c r="E341" s="72"/>
      <c r="F341" s="72"/>
      <c r="G341" s="72"/>
      <c r="H341" s="72"/>
      <c r="I341" s="72"/>
      <c r="J341" s="72"/>
      <c r="K341" s="73"/>
      <c r="L341" s="74"/>
      <c r="M341" s="72"/>
      <c r="N341" s="72"/>
      <c r="O341" s="72"/>
      <c r="P341" s="72"/>
      <c r="Q341" s="72"/>
      <c r="R341" s="72"/>
      <c r="S341" s="72"/>
      <c r="T341" s="72"/>
      <c r="U341" s="72"/>
      <c r="V341" s="72"/>
      <c r="W341" s="72"/>
      <c r="X341" s="72"/>
      <c r="Y341" s="72"/>
      <c r="Z341" s="72"/>
    </row>
    <row r="342" spans="1:26" ht="15.75" customHeight="1">
      <c r="A342" s="72"/>
      <c r="B342" s="72"/>
      <c r="C342" s="72"/>
      <c r="D342" s="72"/>
      <c r="E342" s="72"/>
      <c r="F342" s="72"/>
      <c r="G342" s="72"/>
      <c r="H342" s="72"/>
      <c r="I342" s="72"/>
      <c r="J342" s="72"/>
      <c r="K342" s="73"/>
      <c r="L342" s="74"/>
      <c r="M342" s="72"/>
      <c r="N342" s="72"/>
      <c r="O342" s="72"/>
      <c r="P342" s="72"/>
      <c r="Q342" s="72"/>
      <c r="R342" s="72"/>
      <c r="S342" s="72"/>
      <c r="T342" s="72"/>
      <c r="U342" s="72"/>
      <c r="V342" s="72"/>
      <c r="W342" s="72"/>
      <c r="X342" s="72"/>
      <c r="Y342" s="72"/>
      <c r="Z342" s="72"/>
    </row>
    <row r="343" spans="1:26" ht="15.75" customHeight="1">
      <c r="A343" s="72"/>
      <c r="B343" s="72"/>
      <c r="C343" s="72"/>
      <c r="D343" s="72"/>
      <c r="E343" s="72"/>
      <c r="F343" s="72"/>
      <c r="G343" s="72"/>
      <c r="H343" s="72"/>
      <c r="I343" s="72"/>
      <c r="J343" s="72"/>
      <c r="K343" s="73"/>
      <c r="L343" s="74"/>
      <c r="M343" s="72"/>
      <c r="N343" s="72"/>
      <c r="O343" s="72"/>
      <c r="P343" s="72"/>
      <c r="Q343" s="72"/>
      <c r="R343" s="72"/>
      <c r="S343" s="72"/>
      <c r="T343" s="72"/>
      <c r="U343" s="72"/>
      <c r="V343" s="72"/>
      <c r="W343" s="72"/>
      <c r="X343" s="72"/>
      <c r="Y343" s="72"/>
      <c r="Z343" s="72"/>
    </row>
    <row r="344" spans="1:26" ht="15.75" customHeight="1">
      <c r="A344" s="72"/>
      <c r="B344" s="72"/>
      <c r="C344" s="72"/>
      <c r="D344" s="72"/>
      <c r="E344" s="72"/>
      <c r="F344" s="72"/>
      <c r="G344" s="72"/>
      <c r="H344" s="72"/>
      <c r="I344" s="72"/>
      <c r="J344" s="72"/>
      <c r="K344" s="73"/>
      <c r="L344" s="74"/>
      <c r="M344" s="72"/>
      <c r="N344" s="72"/>
      <c r="O344" s="72"/>
      <c r="P344" s="72"/>
      <c r="Q344" s="72"/>
      <c r="R344" s="72"/>
      <c r="S344" s="72"/>
      <c r="T344" s="72"/>
      <c r="U344" s="72"/>
      <c r="V344" s="72"/>
      <c r="W344" s="72"/>
      <c r="X344" s="72"/>
      <c r="Y344" s="72"/>
      <c r="Z344" s="72"/>
    </row>
    <row r="345" spans="1:26" ht="15.75" customHeight="1">
      <c r="A345" s="72"/>
      <c r="B345" s="72"/>
      <c r="C345" s="72"/>
      <c r="D345" s="72"/>
      <c r="E345" s="72"/>
      <c r="F345" s="72"/>
      <c r="G345" s="72"/>
      <c r="H345" s="72"/>
      <c r="I345" s="72"/>
      <c r="J345" s="72"/>
      <c r="K345" s="73"/>
      <c r="L345" s="74"/>
      <c r="M345" s="72"/>
      <c r="N345" s="72"/>
      <c r="O345" s="72"/>
      <c r="P345" s="72"/>
      <c r="Q345" s="72"/>
      <c r="R345" s="72"/>
      <c r="S345" s="72"/>
      <c r="T345" s="72"/>
      <c r="U345" s="72"/>
      <c r="V345" s="72"/>
      <c r="W345" s="72"/>
      <c r="X345" s="72"/>
      <c r="Y345" s="72"/>
      <c r="Z345" s="72"/>
    </row>
    <row r="346" spans="1:26" ht="15.75" customHeight="1">
      <c r="A346" s="72"/>
      <c r="B346" s="72"/>
      <c r="C346" s="72"/>
      <c r="D346" s="72"/>
      <c r="E346" s="72"/>
      <c r="F346" s="72"/>
      <c r="G346" s="72"/>
      <c r="H346" s="72"/>
      <c r="I346" s="72"/>
      <c r="J346" s="72"/>
      <c r="K346" s="73"/>
      <c r="L346" s="74"/>
      <c r="M346" s="72"/>
      <c r="N346" s="72"/>
      <c r="O346" s="72"/>
      <c r="P346" s="72"/>
      <c r="Q346" s="72"/>
      <c r="R346" s="72"/>
      <c r="S346" s="72"/>
      <c r="T346" s="72"/>
      <c r="U346" s="72"/>
      <c r="V346" s="72"/>
      <c r="W346" s="72"/>
      <c r="X346" s="72"/>
      <c r="Y346" s="72"/>
      <c r="Z346" s="72"/>
    </row>
    <row r="347" spans="1:26" ht="15.75" customHeight="1">
      <c r="A347" s="72"/>
      <c r="B347" s="72"/>
      <c r="C347" s="72"/>
      <c r="D347" s="72"/>
      <c r="E347" s="72"/>
      <c r="F347" s="72"/>
      <c r="G347" s="72"/>
      <c r="H347" s="72"/>
      <c r="I347" s="72"/>
      <c r="J347" s="72"/>
      <c r="K347" s="73"/>
      <c r="L347" s="74"/>
      <c r="M347" s="72"/>
      <c r="N347" s="72"/>
      <c r="O347" s="72"/>
      <c r="P347" s="72"/>
      <c r="Q347" s="72"/>
      <c r="R347" s="72"/>
      <c r="S347" s="72"/>
      <c r="T347" s="72"/>
      <c r="U347" s="72"/>
      <c r="V347" s="72"/>
      <c r="W347" s="72"/>
      <c r="X347" s="72"/>
      <c r="Y347" s="72"/>
      <c r="Z347" s="72"/>
    </row>
    <row r="348" spans="1:26" ht="15.75" customHeight="1">
      <c r="A348" s="72"/>
      <c r="B348" s="72"/>
      <c r="C348" s="72"/>
      <c r="D348" s="72"/>
      <c r="E348" s="72"/>
      <c r="F348" s="72"/>
      <c r="G348" s="72"/>
      <c r="H348" s="72"/>
      <c r="I348" s="72"/>
      <c r="J348" s="72"/>
      <c r="K348" s="73"/>
      <c r="L348" s="74"/>
      <c r="M348" s="72"/>
      <c r="N348" s="72"/>
      <c r="O348" s="72"/>
      <c r="P348" s="72"/>
      <c r="Q348" s="72"/>
      <c r="R348" s="72"/>
      <c r="S348" s="72"/>
      <c r="T348" s="72"/>
      <c r="U348" s="72"/>
      <c r="V348" s="72"/>
      <c r="W348" s="72"/>
      <c r="X348" s="72"/>
      <c r="Y348" s="72"/>
      <c r="Z348" s="72"/>
    </row>
    <row r="349" spans="1:26" ht="15.75" customHeight="1">
      <c r="A349" s="72"/>
      <c r="B349" s="72"/>
      <c r="C349" s="72"/>
      <c r="D349" s="72"/>
      <c r="E349" s="72"/>
      <c r="F349" s="72"/>
      <c r="G349" s="72"/>
      <c r="H349" s="72"/>
      <c r="I349" s="72"/>
      <c r="J349" s="72"/>
      <c r="K349" s="73"/>
      <c r="L349" s="74"/>
      <c r="M349" s="72"/>
      <c r="N349" s="72"/>
      <c r="O349" s="72"/>
      <c r="P349" s="72"/>
      <c r="Q349" s="72"/>
      <c r="R349" s="72"/>
      <c r="S349" s="72"/>
      <c r="T349" s="72"/>
      <c r="U349" s="72"/>
      <c r="V349" s="72"/>
      <c r="W349" s="72"/>
      <c r="X349" s="72"/>
      <c r="Y349" s="72"/>
      <c r="Z349" s="72"/>
    </row>
    <row r="350" spans="1:26" ht="15.75" customHeight="1">
      <c r="A350" s="72"/>
      <c r="B350" s="72"/>
      <c r="C350" s="72"/>
      <c r="D350" s="72"/>
      <c r="E350" s="72"/>
      <c r="F350" s="72"/>
      <c r="G350" s="72"/>
      <c r="H350" s="72"/>
      <c r="I350" s="72"/>
      <c r="J350" s="72"/>
      <c r="K350" s="73"/>
      <c r="L350" s="74"/>
      <c r="M350" s="72"/>
      <c r="N350" s="72"/>
      <c r="O350" s="72"/>
      <c r="P350" s="72"/>
      <c r="Q350" s="72"/>
      <c r="R350" s="72"/>
      <c r="S350" s="72"/>
      <c r="T350" s="72"/>
      <c r="U350" s="72"/>
      <c r="V350" s="72"/>
      <c r="W350" s="72"/>
      <c r="X350" s="72"/>
      <c r="Y350" s="72"/>
      <c r="Z350" s="72"/>
    </row>
    <row r="351" spans="1:26" ht="15.75" customHeight="1">
      <c r="A351" s="72"/>
      <c r="B351" s="72"/>
      <c r="C351" s="72"/>
      <c r="D351" s="72"/>
      <c r="E351" s="72"/>
      <c r="F351" s="72"/>
      <c r="G351" s="72"/>
      <c r="H351" s="72"/>
      <c r="I351" s="72"/>
      <c r="J351" s="72"/>
      <c r="K351" s="73"/>
      <c r="L351" s="74"/>
      <c r="M351" s="72"/>
      <c r="N351" s="72"/>
      <c r="O351" s="72"/>
      <c r="P351" s="72"/>
      <c r="Q351" s="72"/>
      <c r="R351" s="72"/>
      <c r="S351" s="72"/>
      <c r="T351" s="72"/>
      <c r="U351" s="72"/>
      <c r="V351" s="72"/>
      <c r="W351" s="72"/>
      <c r="X351" s="72"/>
      <c r="Y351" s="72"/>
      <c r="Z351" s="72"/>
    </row>
    <row r="352" spans="1:26" ht="15.75" customHeight="1">
      <c r="A352" s="72"/>
      <c r="B352" s="72"/>
      <c r="C352" s="72"/>
      <c r="D352" s="72"/>
      <c r="E352" s="72"/>
      <c r="F352" s="72"/>
      <c r="G352" s="72"/>
      <c r="H352" s="72"/>
      <c r="I352" s="72"/>
      <c r="J352" s="72"/>
      <c r="K352" s="73"/>
      <c r="L352" s="74"/>
      <c r="M352" s="72"/>
      <c r="N352" s="72"/>
      <c r="O352" s="72"/>
      <c r="P352" s="72"/>
      <c r="Q352" s="72"/>
      <c r="R352" s="72"/>
      <c r="S352" s="72"/>
      <c r="T352" s="72"/>
      <c r="U352" s="72"/>
      <c r="V352" s="72"/>
      <c r="W352" s="72"/>
      <c r="X352" s="72"/>
      <c r="Y352" s="72"/>
      <c r="Z352" s="72"/>
    </row>
    <row r="353" spans="1:26" ht="15.75" customHeight="1">
      <c r="A353" s="72"/>
      <c r="B353" s="72"/>
      <c r="C353" s="72"/>
      <c r="D353" s="72"/>
      <c r="E353" s="72"/>
      <c r="F353" s="72"/>
      <c r="G353" s="72"/>
      <c r="H353" s="72"/>
      <c r="I353" s="72"/>
      <c r="J353" s="72"/>
      <c r="K353" s="73"/>
      <c r="L353" s="74"/>
      <c r="M353" s="72"/>
      <c r="N353" s="72"/>
      <c r="O353" s="72"/>
      <c r="P353" s="72"/>
      <c r="Q353" s="72"/>
      <c r="R353" s="72"/>
      <c r="S353" s="72"/>
      <c r="T353" s="72"/>
      <c r="U353" s="72"/>
      <c r="V353" s="72"/>
      <c r="W353" s="72"/>
      <c r="X353" s="72"/>
      <c r="Y353" s="72"/>
      <c r="Z353" s="72"/>
    </row>
    <row r="354" spans="1:26" ht="15.75" customHeight="1">
      <c r="A354" s="72"/>
      <c r="B354" s="72"/>
      <c r="C354" s="72"/>
      <c r="D354" s="72"/>
      <c r="E354" s="72"/>
      <c r="F354" s="72"/>
      <c r="G354" s="72"/>
      <c r="H354" s="72"/>
      <c r="I354" s="72"/>
      <c r="J354" s="72"/>
      <c r="K354" s="73"/>
      <c r="L354" s="74"/>
      <c r="M354" s="72"/>
      <c r="N354" s="72"/>
      <c r="O354" s="72"/>
      <c r="P354" s="72"/>
      <c r="Q354" s="72"/>
      <c r="R354" s="72"/>
      <c r="S354" s="72"/>
      <c r="T354" s="72"/>
      <c r="U354" s="72"/>
      <c r="V354" s="72"/>
      <c r="W354" s="72"/>
      <c r="X354" s="72"/>
      <c r="Y354" s="72"/>
      <c r="Z354" s="72"/>
    </row>
    <row r="355" spans="1:26" ht="15.75" customHeight="1">
      <c r="A355" s="72"/>
      <c r="B355" s="72"/>
      <c r="C355" s="72"/>
      <c r="D355" s="72"/>
      <c r="E355" s="72"/>
      <c r="F355" s="72"/>
      <c r="G355" s="72"/>
      <c r="H355" s="72"/>
      <c r="I355" s="72"/>
      <c r="J355" s="72"/>
      <c r="K355" s="73"/>
      <c r="L355" s="74"/>
      <c r="M355" s="72"/>
      <c r="N355" s="72"/>
      <c r="O355" s="72"/>
      <c r="P355" s="72"/>
      <c r="Q355" s="72"/>
      <c r="R355" s="72"/>
      <c r="S355" s="72"/>
      <c r="T355" s="72"/>
      <c r="U355" s="72"/>
      <c r="V355" s="72"/>
      <c r="W355" s="72"/>
      <c r="X355" s="72"/>
      <c r="Y355" s="72"/>
      <c r="Z355" s="72"/>
    </row>
    <row r="356" spans="1:26" ht="15.75" customHeight="1">
      <c r="A356" s="72"/>
      <c r="B356" s="72"/>
      <c r="C356" s="72"/>
      <c r="D356" s="72"/>
      <c r="E356" s="72"/>
      <c r="F356" s="72"/>
      <c r="G356" s="72"/>
      <c r="H356" s="72"/>
      <c r="I356" s="72"/>
      <c r="J356" s="72"/>
      <c r="K356" s="73"/>
      <c r="L356" s="74"/>
      <c r="M356" s="72"/>
      <c r="N356" s="72"/>
      <c r="O356" s="72"/>
      <c r="P356" s="72"/>
      <c r="Q356" s="72"/>
      <c r="R356" s="72"/>
      <c r="S356" s="72"/>
      <c r="T356" s="72"/>
      <c r="U356" s="72"/>
      <c r="V356" s="72"/>
      <c r="W356" s="72"/>
      <c r="X356" s="72"/>
      <c r="Y356" s="72"/>
      <c r="Z356" s="72"/>
    </row>
    <row r="357" spans="1:26" ht="15.75" customHeight="1">
      <c r="A357" s="72"/>
      <c r="B357" s="72"/>
      <c r="C357" s="72"/>
      <c r="D357" s="72"/>
      <c r="E357" s="72"/>
      <c r="F357" s="72"/>
      <c r="G357" s="72"/>
      <c r="H357" s="72"/>
      <c r="I357" s="72"/>
      <c r="J357" s="72"/>
      <c r="K357" s="73"/>
      <c r="L357" s="74"/>
      <c r="M357" s="72"/>
      <c r="N357" s="72"/>
      <c r="O357" s="72"/>
      <c r="P357" s="72"/>
      <c r="Q357" s="72"/>
      <c r="R357" s="72"/>
      <c r="S357" s="72"/>
      <c r="T357" s="72"/>
      <c r="U357" s="72"/>
      <c r="V357" s="72"/>
      <c r="W357" s="72"/>
      <c r="X357" s="72"/>
      <c r="Y357" s="72"/>
      <c r="Z357" s="72"/>
    </row>
    <row r="358" spans="1:26" ht="15.75" customHeight="1">
      <c r="A358" s="72"/>
      <c r="B358" s="72"/>
      <c r="C358" s="72"/>
      <c r="D358" s="72"/>
      <c r="E358" s="72"/>
      <c r="F358" s="72"/>
      <c r="G358" s="72"/>
      <c r="H358" s="72"/>
      <c r="I358" s="72"/>
      <c r="J358" s="72"/>
      <c r="K358" s="73"/>
      <c r="L358" s="74"/>
      <c r="M358" s="72"/>
      <c r="N358" s="72"/>
      <c r="O358" s="72"/>
      <c r="P358" s="72"/>
      <c r="Q358" s="72"/>
      <c r="R358" s="72"/>
      <c r="S358" s="72"/>
      <c r="T358" s="72"/>
      <c r="U358" s="72"/>
      <c r="V358" s="72"/>
      <c r="W358" s="72"/>
      <c r="X358" s="72"/>
      <c r="Y358" s="72"/>
      <c r="Z358" s="72"/>
    </row>
    <row r="359" spans="1:26" ht="15.75" customHeight="1">
      <c r="A359" s="72"/>
      <c r="B359" s="72"/>
      <c r="C359" s="72"/>
      <c r="D359" s="72"/>
      <c r="E359" s="72"/>
      <c r="F359" s="72"/>
      <c r="G359" s="72"/>
      <c r="H359" s="72"/>
      <c r="I359" s="72"/>
      <c r="J359" s="72"/>
      <c r="K359" s="73"/>
      <c r="L359" s="74"/>
      <c r="M359" s="72"/>
      <c r="N359" s="72"/>
      <c r="O359" s="72"/>
      <c r="P359" s="72"/>
      <c r="Q359" s="72"/>
      <c r="R359" s="72"/>
      <c r="S359" s="72"/>
      <c r="T359" s="72"/>
      <c r="U359" s="72"/>
      <c r="V359" s="72"/>
      <c r="W359" s="72"/>
      <c r="X359" s="72"/>
      <c r="Y359" s="72"/>
      <c r="Z359" s="72"/>
    </row>
    <row r="360" spans="1:26" ht="15.75" customHeight="1">
      <c r="A360" s="72"/>
      <c r="B360" s="72"/>
      <c r="C360" s="72"/>
      <c r="D360" s="72"/>
      <c r="E360" s="72"/>
      <c r="F360" s="72"/>
      <c r="G360" s="72"/>
      <c r="H360" s="72"/>
      <c r="I360" s="72"/>
      <c r="J360" s="72"/>
      <c r="K360" s="73"/>
      <c r="L360" s="74"/>
      <c r="M360" s="72"/>
      <c r="N360" s="72"/>
      <c r="O360" s="72"/>
      <c r="P360" s="72"/>
      <c r="Q360" s="72"/>
      <c r="R360" s="72"/>
      <c r="S360" s="72"/>
      <c r="T360" s="72"/>
      <c r="U360" s="72"/>
      <c r="V360" s="72"/>
      <c r="W360" s="72"/>
      <c r="X360" s="72"/>
      <c r="Y360" s="72"/>
      <c r="Z360" s="72"/>
    </row>
    <row r="361" spans="1:26" ht="15.75" customHeight="1">
      <c r="A361" s="72"/>
      <c r="B361" s="72"/>
      <c r="C361" s="72"/>
      <c r="D361" s="72"/>
      <c r="E361" s="72"/>
      <c r="F361" s="72"/>
      <c r="G361" s="72"/>
      <c r="H361" s="72"/>
      <c r="I361" s="72"/>
      <c r="J361" s="72"/>
      <c r="K361" s="73"/>
      <c r="L361" s="74"/>
      <c r="M361" s="72"/>
      <c r="N361" s="72"/>
      <c r="O361" s="72"/>
      <c r="P361" s="72"/>
      <c r="Q361" s="72"/>
      <c r="R361" s="72"/>
      <c r="S361" s="72"/>
      <c r="T361" s="72"/>
      <c r="U361" s="72"/>
      <c r="V361" s="72"/>
      <c r="W361" s="72"/>
      <c r="X361" s="72"/>
      <c r="Y361" s="72"/>
      <c r="Z361" s="72"/>
    </row>
    <row r="362" spans="1:26" ht="15.75" customHeight="1">
      <c r="A362" s="72"/>
      <c r="B362" s="72"/>
      <c r="C362" s="72"/>
      <c r="D362" s="72"/>
      <c r="E362" s="72"/>
      <c r="F362" s="72"/>
      <c r="G362" s="72"/>
      <c r="H362" s="72"/>
      <c r="I362" s="72"/>
      <c r="J362" s="72"/>
      <c r="K362" s="73"/>
      <c r="L362" s="74"/>
      <c r="M362" s="72"/>
      <c r="N362" s="72"/>
      <c r="O362" s="72"/>
      <c r="P362" s="72"/>
      <c r="Q362" s="72"/>
      <c r="R362" s="72"/>
      <c r="S362" s="72"/>
      <c r="T362" s="72"/>
      <c r="U362" s="72"/>
      <c r="V362" s="72"/>
      <c r="W362" s="72"/>
      <c r="X362" s="72"/>
      <c r="Y362" s="72"/>
      <c r="Z362" s="72"/>
    </row>
    <row r="363" spans="1:26" ht="15.75" customHeight="1">
      <c r="A363" s="72"/>
      <c r="B363" s="72"/>
      <c r="C363" s="72"/>
      <c r="D363" s="72"/>
      <c r="E363" s="72"/>
      <c r="F363" s="72"/>
      <c r="G363" s="72"/>
      <c r="H363" s="72"/>
      <c r="I363" s="72"/>
      <c r="J363" s="72"/>
      <c r="K363" s="73"/>
      <c r="L363" s="74"/>
      <c r="M363" s="72"/>
      <c r="N363" s="72"/>
      <c r="O363" s="72"/>
      <c r="P363" s="72"/>
      <c r="Q363" s="72"/>
      <c r="R363" s="72"/>
      <c r="S363" s="72"/>
      <c r="T363" s="72"/>
      <c r="U363" s="72"/>
      <c r="V363" s="72"/>
      <c r="W363" s="72"/>
      <c r="X363" s="72"/>
      <c r="Y363" s="72"/>
      <c r="Z363" s="72"/>
    </row>
    <row r="364" spans="1:26" ht="15.75" customHeight="1">
      <c r="A364" s="72"/>
      <c r="B364" s="72"/>
      <c r="C364" s="72"/>
      <c r="D364" s="72"/>
      <c r="E364" s="72"/>
      <c r="F364" s="72"/>
      <c r="G364" s="72"/>
      <c r="H364" s="72"/>
      <c r="I364" s="72"/>
      <c r="J364" s="72"/>
      <c r="K364" s="73"/>
      <c r="L364" s="74"/>
      <c r="M364" s="72"/>
      <c r="N364" s="72"/>
      <c r="O364" s="72"/>
      <c r="P364" s="72"/>
      <c r="Q364" s="72"/>
      <c r="R364" s="72"/>
      <c r="S364" s="72"/>
      <c r="T364" s="72"/>
      <c r="U364" s="72"/>
      <c r="V364" s="72"/>
      <c r="W364" s="72"/>
      <c r="X364" s="72"/>
      <c r="Y364" s="72"/>
      <c r="Z364" s="72"/>
    </row>
    <row r="365" spans="1:26" ht="15.75" customHeight="1">
      <c r="A365" s="72"/>
      <c r="B365" s="72"/>
      <c r="C365" s="72"/>
      <c r="D365" s="72"/>
      <c r="E365" s="72"/>
      <c r="F365" s="72"/>
      <c r="G365" s="72"/>
      <c r="H365" s="72"/>
      <c r="I365" s="72"/>
      <c r="J365" s="72"/>
      <c r="K365" s="73"/>
      <c r="L365" s="74"/>
      <c r="M365" s="72"/>
      <c r="N365" s="72"/>
      <c r="O365" s="72"/>
      <c r="P365" s="72"/>
      <c r="Q365" s="72"/>
      <c r="R365" s="72"/>
      <c r="S365" s="72"/>
      <c r="T365" s="72"/>
      <c r="U365" s="72"/>
      <c r="V365" s="72"/>
      <c r="W365" s="72"/>
      <c r="X365" s="72"/>
      <c r="Y365" s="72"/>
      <c r="Z365" s="72"/>
    </row>
    <row r="366" spans="1:26" ht="15.75" customHeight="1">
      <c r="A366" s="72"/>
      <c r="B366" s="72"/>
      <c r="C366" s="72"/>
      <c r="D366" s="72"/>
      <c r="E366" s="72"/>
      <c r="F366" s="72"/>
      <c r="G366" s="72"/>
      <c r="H366" s="72"/>
      <c r="I366" s="72"/>
      <c r="J366" s="72"/>
      <c r="K366" s="73"/>
      <c r="L366" s="74"/>
      <c r="M366" s="72"/>
      <c r="N366" s="72"/>
      <c r="O366" s="72"/>
      <c r="P366" s="72"/>
      <c r="Q366" s="72"/>
      <c r="R366" s="72"/>
      <c r="S366" s="72"/>
      <c r="T366" s="72"/>
      <c r="U366" s="72"/>
      <c r="V366" s="72"/>
      <c r="W366" s="72"/>
      <c r="X366" s="72"/>
      <c r="Y366" s="72"/>
      <c r="Z366" s="72"/>
    </row>
    <row r="367" spans="1:26" ht="15.75" customHeight="1">
      <c r="A367" s="72"/>
      <c r="B367" s="72"/>
      <c r="C367" s="72"/>
      <c r="D367" s="72"/>
      <c r="E367" s="72"/>
      <c r="F367" s="72"/>
      <c r="G367" s="72"/>
      <c r="H367" s="72"/>
      <c r="I367" s="72"/>
      <c r="J367" s="72"/>
      <c r="K367" s="73"/>
      <c r="L367" s="74"/>
      <c r="M367" s="72"/>
      <c r="N367" s="72"/>
      <c r="O367" s="72"/>
      <c r="P367" s="72"/>
      <c r="Q367" s="72"/>
      <c r="R367" s="72"/>
      <c r="S367" s="72"/>
      <c r="T367" s="72"/>
      <c r="U367" s="72"/>
      <c r="V367" s="72"/>
      <c r="W367" s="72"/>
      <c r="X367" s="72"/>
      <c r="Y367" s="72"/>
      <c r="Z367" s="72"/>
    </row>
    <row r="368" spans="1:26" ht="15.75" customHeight="1">
      <c r="A368" s="72"/>
      <c r="B368" s="72"/>
      <c r="C368" s="72"/>
      <c r="D368" s="72"/>
      <c r="E368" s="72"/>
      <c r="F368" s="72"/>
      <c r="G368" s="72"/>
      <c r="H368" s="72"/>
      <c r="I368" s="72"/>
      <c r="J368" s="72"/>
      <c r="K368" s="73"/>
      <c r="L368" s="74"/>
      <c r="M368" s="72"/>
      <c r="N368" s="72"/>
      <c r="O368" s="72"/>
      <c r="P368" s="72"/>
      <c r="Q368" s="72"/>
      <c r="R368" s="72"/>
      <c r="S368" s="72"/>
      <c r="T368" s="72"/>
      <c r="U368" s="72"/>
      <c r="V368" s="72"/>
      <c r="W368" s="72"/>
      <c r="X368" s="72"/>
      <c r="Y368" s="72"/>
      <c r="Z368" s="72"/>
    </row>
    <row r="369" spans="1:26" ht="15.75" customHeight="1">
      <c r="A369" s="72"/>
      <c r="B369" s="72"/>
      <c r="C369" s="72"/>
      <c r="D369" s="72"/>
      <c r="E369" s="72"/>
      <c r="F369" s="72"/>
      <c r="G369" s="72"/>
      <c r="H369" s="72"/>
      <c r="I369" s="72"/>
      <c r="J369" s="72"/>
      <c r="K369" s="73"/>
      <c r="L369" s="74"/>
      <c r="M369" s="72"/>
      <c r="N369" s="72"/>
      <c r="O369" s="72"/>
      <c r="P369" s="72"/>
      <c r="Q369" s="72"/>
      <c r="R369" s="72"/>
      <c r="S369" s="72"/>
      <c r="T369" s="72"/>
      <c r="U369" s="72"/>
      <c r="V369" s="72"/>
      <c r="W369" s="72"/>
      <c r="X369" s="72"/>
      <c r="Y369" s="72"/>
      <c r="Z369" s="72"/>
    </row>
    <row r="370" spans="1:26" ht="15.75" customHeight="1">
      <c r="A370" s="72"/>
      <c r="B370" s="72"/>
      <c r="C370" s="72"/>
      <c r="D370" s="72"/>
      <c r="E370" s="72"/>
      <c r="F370" s="72"/>
      <c r="G370" s="72"/>
      <c r="H370" s="72"/>
      <c r="I370" s="72"/>
      <c r="J370" s="72"/>
      <c r="K370" s="73"/>
      <c r="L370" s="74"/>
      <c r="M370" s="72"/>
      <c r="N370" s="72"/>
      <c r="O370" s="72"/>
      <c r="P370" s="72"/>
      <c r="Q370" s="72"/>
      <c r="R370" s="72"/>
      <c r="S370" s="72"/>
      <c r="T370" s="72"/>
      <c r="U370" s="72"/>
      <c r="V370" s="72"/>
      <c r="W370" s="72"/>
      <c r="X370" s="72"/>
      <c r="Y370" s="72"/>
      <c r="Z370" s="72"/>
    </row>
    <row r="371" spans="1:26" ht="15.75" customHeight="1">
      <c r="A371" s="72"/>
      <c r="B371" s="72"/>
      <c r="C371" s="72"/>
      <c r="D371" s="72"/>
      <c r="E371" s="72"/>
      <c r="F371" s="72"/>
      <c r="G371" s="72"/>
      <c r="H371" s="72"/>
      <c r="I371" s="72"/>
      <c r="J371" s="72"/>
      <c r="K371" s="73"/>
      <c r="L371" s="74"/>
      <c r="M371" s="72"/>
      <c r="N371" s="72"/>
      <c r="O371" s="72"/>
      <c r="P371" s="72"/>
      <c r="Q371" s="72"/>
      <c r="R371" s="72"/>
      <c r="S371" s="72"/>
      <c r="T371" s="72"/>
      <c r="U371" s="72"/>
      <c r="V371" s="72"/>
      <c r="W371" s="72"/>
      <c r="X371" s="72"/>
      <c r="Y371" s="72"/>
      <c r="Z371" s="72"/>
    </row>
    <row r="372" spans="1:26" ht="15.75" customHeight="1">
      <c r="A372" s="72"/>
      <c r="B372" s="72"/>
      <c r="C372" s="72"/>
      <c r="D372" s="72"/>
      <c r="E372" s="72"/>
      <c r="F372" s="72"/>
      <c r="G372" s="72"/>
      <c r="H372" s="72"/>
      <c r="I372" s="72"/>
      <c r="J372" s="72"/>
      <c r="K372" s="73"/>
      <c r="L372" s="74"/>
      <c r="M372" s="72"/>
      <c r="N372" s="72"/>
      <c r="O372" s="72"/>
      <c r="P372" s="72"/>
      <c r="Q372" s="72"/>
      <c r="R372" s="72"/>
      <c r="S372" s="72"/>
      <c r="T372" s="72"/>
      <c r="U372" s="72"/>
      <c r="V372" s="72"/>
      <c r="W372" s="72"/>
      <c r="X372" s="72"/>
      <c r="Y372" s="72"/>
      <c r="Z372" s="72"/>
    </row>
    <row r="373" spans="1:26" ht="15.75" customHeight="1">
      <c r="A373" s="72"/>
      <c r="B373" s="72"/>
      <c r="C373" s="72"/>
      <c r="D373" s="72"/>
      <c r="E373" s="72"/>
      <c r="F373" s="72"/>
      <c r="G373" s="72"/>
      <c r="H373" s="72"/>
      <c r="I373" s="72"/>
      <c r="J373" s="72"/>
      <c r="K373" s="73"/>
      <c r="L373" s="74"/>
      <c r="M373" s="72"/>
      <c r="N373" s="72"/>
      <c r="O373" s="72"/>
      <c r="P373" s="72"/>
      <c r="Q373" s="72"/>
      <c r="R373" s="72"/>
      <c r="S373" s="72"/>
      <c r="T373" s="72"/>
      <c r="U373" s="72"/>
      <c r="V373" s="72"/>
      <c r="W373" s="72"/>
      <c r="X373" s="72"/>
      <c r="Y373" s="72"/>
      <c r="Z373" s="72"/>
    </row>
    <row r="374" spans="1:26" ht="15.75" customHeight="1">
      <c r="A374" s="72"/>
      <c r="B374" s="72"/>
      <c r="C374" s="72"/>
      <c r="D374" s="72"/>
      <c r="E374" s="72"/>
      <c r="F374" s="72"/>
      <c r="G374" s="72"/>
      <c r="H374" s="72"/>
      <c r="I374" s="72"/>
      <c r="J374" s="72"/>
      <c r="K374" s="73"/>
      <c r="L374" s="74"/>
      <c r="M374" s="72"/>
      <c r="N374" s="72"/>
      <c r="O374" s="72"/>
      <c r="P374" s="72"/>
      <c r="Q374" s="72"/>
      <c r="R374" s="72"/>
      <c r="S374" s="72"/>
      <c r="T374" s="72"/>
      <c r="U374" s="72"/>
      <c r="V374" s="72"/>
      <c r="W374" s="72"/>
      <c r="X374" s="72"/>
      <c r="Y374" s="72"/>
      <c r="Z374" s="72"/>
    </row>
    <row r="375" spans="1:26" ht="15.75" customHeight="1">
      <c r="A375" s="72"/>
      <c r="B375" s="72"/>
      <c r="C375" s="72"/>
      <c r="D375" s="72"/>
      <c r="E375" s="72"/>
      <c r="F375" s="72"/>
      <c r="G375" s="72"/>
      <c r="H375" s="72"/>
      <c r="I375" s="72"/>
      <c r="J375" s="72"/>
      <c r="K375" s="73"/>
      <c r="L375" s="74"/>
      <c r="M375" s="72"/>
      <c r="N375" s="72"/>
      <c r="O375" s="72"/>
      <c r="P375" s="72"/>
      <c r="Q375" s="72"/>
      <c r="R375" s="72"/>
      <c r="S375" s="72"/>
      <c r="T375" s="72"/>
      <c r="U375" s="72"/>
      <c r="V375" s="72"/>
      <c r="W375" s="72"/>
      <c r="X375" s="72"/>
      <c r="Y375" s="72"/>
      <c r="Z375" s="72"/>
    </row>
    <row r="376" spans="1:26" ht="15.75" customHeight="1">
      <c r="A376" s="72"/>
      <c r="B376" s="72"/>
      <c r="C376" s="72"/>
      <c r="D376" s="72"/>
      <c r="E376" s="72"/>
      <c r="F376" s="72"/>
      <c r="G376" s="72"/>
      <c r="H376" s="72"/>
      <c r="I376" s="72"/>
      <c r="J376" s="72"/>
      <c r="K376" s="73"/>
      <c r="L376" s="74"/>
      <c r="M376" s="72"/>
      <c r="N376" s="72"/>
      <c r="O376" s="72"/>
      <c r="P376" s="72"/>
      <c r="Q376" s="72"/>
      <c r="R376" s="72"/>
      <c r="S376" s="72"/>
      <c r="T376" s="72"/>
      <c r="U376" s="72"/>
      <c r="V376" s="72"/>
      <c r="W376" s="72"/>
      <c r="X376" s="72"/>
      <c r="Y376" s="72"/>
      <c r="Z376" s="72"/>
    </row>
    <row r="377" spans="1:26" ht="15.75" customHeight="1">
      <c r="A377" s="72"/>
      <c r="B377" s="72"/>
      <c r="C377" s="72"/>
      <c r="D377" s="72"/>
      <c r="E377" s="72"/>
      <c r="F377" s="72"/>
      <c r="G377" s="72"/>
      <c r="H377" s="72"/>
      <c r="I377" s="72"/>
      <c r="J377" s="72"/>
      <c r="K377" s="73"/>
      <c r="L377" s="74"/>
      <c r="M377" s="72"/>
      <c r="N377" s="72"/>
      <c r="O377" s="72"/>
      <c r="P377" s="72"/>
      <c r="Q377" s="72"/>
      <c r="R377" s="72"/>
      <c r="S377" s="72"/>
      <c r="T377" s="72"/>
      <c r="U377" s="72"/>
      <c r="V377" s="72"/>
      <c r="W377" s="72"/>
      <c r="X377" s="72"/>
      <c r="Y377" s="72"/>
      <c r="Z377" s="72"/>
    </row>
    <row r="378" spans="1:26" ht="15.75" customHeight="1">
      <c r="A378" s="72"/>
      <c r="B378" s="72"/>
      <c r="C378" s="72"/>
      <c r="D378" s="72"/>
      <c r="E378" s="72"/>
      <c r="F378" s="72"/>
      <c r="G378" s="72"/>
      <c r="H378" s="72"/>
      <c r="I378" s="72"/>
      <c r="J378" s="72"/>
      <c r="K378" s="73"/>
      <c r="L378" s="74"/>
      <c r="M378" s="72"/>
      <c r="N378" s="72"/>
      <c r="O378" s="72"/>
      <c r="P378" s="72"/>
      <c r="Q378" s="72"/>
      <c r="R378" s="72"/>
      <c r="S378" s="72"/>
      <c r="T378" s="72"/>
      <c r="U378" s="72"/>
      <c r="V378" s="72"/>
      <c r="W378" s="72"/>
      <c r="X378" s="72"/>
      <c r="Y378" s="72"/>
      <c r="Z378" s="72"/>
    </row>
    <row r="379" spans="1:26" ht="15.75" customHeight="1">
      <c r="A379" s="72"/>
      <c r="B379" s="72"/>
      <c r="C379" s="72"/>
      <c r="D379" s="72"/>
      <c r="E379" s="72"/>
      <c r="F379" s="72"/>
      <c r="G379" s="72"/>
      <c r="H379" s="72"/>
      <c r="I379" s="72"/>
      <c r="J379" s="72"/>
      <c r="K379" s="73"/>
      <c r="L379" s="74"/>
      <c r="M379" s="72"/>
      <c r="N379" s="72"/>
      <c r="O379" s="72"/>
      <c r="P379" s="72"/>
      <c r="Q379" s="72"/>
      <c r="R379" s="72"/>
      <c r="S379" s="72"/>
      <c r="T379" s="72"/>
      <c r="U379" s="72"/>
      <c r="V379" s="72"/>
      <c r="W379" s="72"/>
      <c r="X379" s="72"/>
      <c r="Y379" s="72"/>
      <c r="Z379" s="72"/>
    </row>
    <row r="380" spans="1:26" ht="15.75" customHeight="1">
      <c r="A380" s="72"/>
      <c r="B380" s="72"/>
      <c r="C380" s="72"/>
      <c r="D380" s="72"/>
      <c r="E380" s="72"/>
      <c r="F380" s="72"/>
      <c r="G380" s="72"/>
      <c r="H380" s="72"/>
      <c r="I380" s="72"/>
      <c r="J380" s="72"/>
      <c r="K380" s="73"/>
      <c r="L380" s="74"/>
      <c r="M380" s="72"/>
      <c r="N380" s="72"/>
      <c r="O380" s="72"/>
      <c r="P380" s="72"/>
      <c r="Q380" s="72"/>
      <c r="R380" s="72"/>
      <c r="S380" s="72"/>
      <c r="T380" s="72"/>
      <c r="U380" s="72"/>
      <c r="V380" s="72"/>
      <c r="W380" s="72"/>
      <c r="X380" s="72"/>
      <c r="Y380" s="72"/>
      <c r="Z380" s="72"/>
    </row>
    <row r="381" spans="1:26" ht="15.75" customHeight="1">
      <c r="A381" s="72"/>
      <c r="B381" s="72"/>
      <c r="C381" s="72"/>
      <c r="D381" s="72"/>
      <c r="E381" s="72"/>
      <c r="F381" s="72"/>
      <c r="G381" s="72"/>
      <c r="H381" s="72"/>
      <c r="I381" s="72"/>
      <c r="J381" s="72"/>
      <c r="K381" s="73"/>
      <c r="L381" s="74"/>
      <c r="M381" s="72"/>
      <c r="N381" s="72"/>
      <c r="O381" s="72"/>
      <c r="P381" s="72"/>
      <c r="Q381" s="72"/>
      <c r="R381" s="72"/>
      <c r="S381" s="72"/>
      <c r="T381" s="72"/>
      <c r="U381" s="72"/>
      <c r="V381" s="72"/>
      <c r="W381" s="72"/>
      <c r="X381" s="72"/>
      <c r="Y381" s="72"/>
      <c r="Z381" s="72"/>
    </row>
    <row r="382" spans="1:26" ht="15.75" customHeight="1">
      <c r="A382" s="72"/>
      <c r="B382" s="72"/>
      <c r="C382" s="72"/>
      <c r="D382" s="72"/>
      <c r="E382" s="72"/>
      <c r="F382" s="72"/>
      <c r="G382" s="72"/>
      <c r="H382" s="72"/>
      <c r="I382" s="72"/>
      <c r="J382" s="72"/>
      <c r="K382" s="73"/>
      <c r="L382" s="74"/>
      <c r="M382" s="72"/>
      <c r="N382" s="72"/>
      <c r="O382" s="72"/>
      <c r="P382" s="72"/>
      <c r="Q382" s="72"/>
      <c r="R382" s="72"/>
      <c r="S382" s="72"/>
      <c r="T382" s="72"/>
      <c r="U382" s="72"/>
      <c r="V382" s="72"/>
      <c r="W382" s="72"/>
      <c r="X382" s="72"/>
      <c r="Y382" s="72"/>
      <c r="Z382" s="72"/>
    </row>
    <row r="383" spans="1:26" ht="15.75" customHeight="1">
      <c r="A383" s="72"/>
      <c r="B383" s="72"/>
      <c r="C383" s="72"/>
      <c r="D383" s="72"/>
      <c r="E383" s="72"/>
      <c r="F383" s="72"/>
      <c r="G383" s="72"/>
      <c r="H383" s="72"/>
      <c r="I383" s="72"/>
      <c r="J383" s="72"/>
      <c r="K383" s="73"/>
      <c r="L383" s="74"/>
      <c r="M383" s="72"/>
      <c r="N383" s="72"/>
      <c r="O383" s="72"/>
      <c r="P383" s="72"/>
      <c r="Q383" s="72"/>
      <c r="R383" s="72"/>
      <c r="S383" s="72"/>
      <c r="T383" s="72"/>
      <c r="U383" s="72"/>
      <c r="V383" s="72"/>
      <c r="W383" s="72"/>
      <c r="X383" s="72"/>
      <c r="Y383" s="72"/>
      <c r="Z383" s="72"/>
    </row>
    <row r="384" spans="1:26" ht="15.75" customHeight="1">
      <c r="A384" s="72"/>
      <c r="B384" s="72"/>
      <c r="C384" s="72"/>
      <c r="D384" s="72"/>
      <c r="E384" s="72"/>
      <c r="F384" s="72"/>
      <c r="G384" s="72"/>
      <c r="H384" s="72"/>
      <c r="I384" s="72"/>
      <c r="J384" s="72"/>
      <c r="K384" s="73"/>
      <c r="L384" s="74"/>
      <c r="M384" s="72"/>
      <c r="N384" s="72"/>
      <c r="O384" s="72"/>
      <c r="P384" s="72"/>
      <c r="Q384" s="72"/>
      <c r="R384" s="72"/>
      <c r="S384" s="72"/>
      <c r="T384" s="72"/>
      <c r="U384" s="72"/>
      <c r="V384" s="72"/>
      <c r="W384" s="72"/>
      <c r="X384" s="72"/>
      <c r="Y384" s="72"/>
      <c r="Z384" s="72"/>
    </row>
    <row r="385" spans="1:26" ht="15.75" customHeight="1">
      <c r="A385" s="72"/>
      <c r="B385" s="72"/>
      <c r="C385" s="72"/>
      <c r="D385" s="72"/>
      <c r="E385" s="72"/>
      <c r="F385" s="72"/>
      <c r="G385" s="72"/>
      <c r="H385" s="72"/>
      <c r="I385" s="72"/>
      <c r="J385" s="72"/>
      <c r="K385" s="73"/>
      <c r="L385" s="74"/>
      <c r="M385" s="72"/>
      <c r="N385" s="72"/>
      <c r="O385" s="72"/>
      <c r="P385" s="72"/>
      <c r="Q385" s="72"/>
      <c r="R385" s="72"/>
      <c r="S385" s="72"/>
      <c r="T385" s="72"/>
      <c r="U385" s="72"/>
      <c r="V385" s="72"/>
      <c r="W385" s="72"/>
      <c r="X385" s="72"/>
      <c r="Y385" s="72"/>
      <c r="Z385" s="72"/>
    </row>
    <row r="386" spans="1:26" ht="15.75" customHeight="1">
      <c r="A386" s="72"/>
      <c r="B386" s="72"/>
      <c r="C386" s="72"/>
      <c r="D386" s="72"/>
      <c r="E386" s="72"/>
      <c r="F386" s="72"/>
      <c r="G386" s="72"/>
      <c r="H386" s="72"/>
      <c r="I386" s="72"/>
      <c r="J386" s="72"/>
      <c r="K386" s="73"/>
      <c r="L386" s="74"/>
      <c r="M386" s="72"/>
      <c r="N386" s="72"/>
      <c r="O386" s="72"/>
      <c r="P386" s="72"/>
      <c r="Q386" s="72"/>
      <c r="R386" s="72"/>
      <c r="S386" s="72"/>
      <c r="T386" s="72"/>
      <c r="U386" s="72"/>
      <c r="V386" s="72"/>
      <c r="W386" s="72"/>
      <c r="X386" s="72"/>
      <c r="Y386" s="72"/>
      <c r="Z386" s="72"/>
    </row>
    <row r="387" spans="1:26" ht="15.75" customHeight="1">
      <c r="A387" s="72"/>
      <c r="B387" s="72"/>
      <c r="C387" s="72"/>
      <c r="D387" s="72"/>
      <c r="E387" s="72"/>
      <c r="F387" s="72"/>
      <c r="G387" s="72"/>
      <c r="H387" s="72"/>
      <c r="I387" s="72"/>
      <c r="J387" s="72"/>
      <c r="K387" s="73"/>
      <c r="L387" s="74"/>
      <c r="M387" s="72"/>
      <c r="N387" s="72"/>
      <c r="O387" s="72"/>
      <c r="P387" s="72"/>
      <c r="Q387" s="72"/>
      <c r="R387" s="72"/>
      <c r="S387" s="72"/>
      <c r="T387" s="72"/>
      <c r="U387" s="72"/>
      <c r="V387" s="72"/>
      <c r="W387" s="72"/>
      <c r="X387" s="72"/>
      <c r="Y387" s="72"/>
      <c r="Z387" s="72"/>
    </row>
    <row r="388" spans="1:26" ht="15.75" customHeight="1">
      <c r="A388" s="72"/>
      <c r="B388" s="72"/>
      <c r="C388" s="72"/>
      <c r="D388" s="72"/>
      <c r="E388" s="72"/>
      <c r="F388" s="72"/>
      <c r="G388" s="72"/>
      <c r="H388" s="72"/>
      <c r="I388" s="72"/>
      <c r="J388" s="72"/>
      <c r="K388" s="73"/>
      <c r="L388" s="74"/>
      <c r="M388" s="72"/>
      <c r="N388" s="72"/>
      <c r="O388" s="72"/>
      <c r="P388" s="72"/>
      <c r="Q388" s="72"/>
      <c r="R388" s="72"/>
      <c r="S388" s="72"/>
      <c r="T388" s="72"/>
      <c r="U388" s="72"/>
      <c r="V388" s="72"/>
      <c r="W388" s="72"/>
      <c r="X388" s="72"/>
      <c r="Y388" s="72"/>
      <c r="Z388" s="72"/>
    </row>
    <row r="389" spans="1:26" ht="15.75" customHeight="1">
      <c r="A389" s="72"/>
      <c r="B389" s="72"/>
      <c r="C389" s="72"/>
      <c r="D389" s="72"/>
      <c r="E389" s="72"/>
      <c r="F389" s="72"/>
      <c r="G389" s="72"/>
      <c r="H389" s="72"/>
      <c r="I389" s="72"/>
      <c r="J389" s="72"/>
      <c r="K389" s="73"/>
      <c r="L389" s="74"/>
      <c r="M389" s="72"/>
      <c r="N389" s="72"/>
      <c r="O389" s="72"/>
      <c r="P389" s="72"/>
      <c r="Q389" s="72"/>
      <c r="R389" s="72"/>
      <c r="S389" s="72"/>
      <c r="T389" s="72"/>
      <c r="U389" s="72"/>
      <c r="V389" s="72"/>
      <c r="W389" s="72"/>
      <c r="X389" s="72"/>
      <c r="Y389" s="72"/>
      <c r="Z389" s="72"/>
    </row>
    <row r="390" spans="1:26" ht="15.75" customHeight="1">
      <c r="A390" s="72"/>
      <c r="B390" s="72"/>
      <c r="C390" s="72"/>
      <c r="D390" s="72"/>
      <c r="E390" s="72"/>
      <c r="F390" s="72"/>
      <c r="G390" s="72"/>
      <c r="H390" s="72"/>
      <c r="I390" s="72"/>
      <c r="J390" s="72"/>
      <c r="K390" s="73"/>
      <c r="L390" s="74"/>
      <c r="M390" s="72"/>
      <c r="N390" s="72"/>
      <c r="O390" s="72"/>
      <c r="P390" s="72"/>
      <c r="Q390" s="72"/>
      <c r="R390" s="72"/>
      <c r="S390" s="72"/>
      <c r="T390" s="72"/>
      <c r="U390" s="72"/>
      <c r="V390" s="72"/>
      <c r="W390" s="72"/>
      <c r="X390" s="72"/>
      <c r="Y390" s="72"/>
      <c r="Z390" s="72"/>
    </row>
    <row r="391" spans="1:26" ht="15.75" customHeight="1">
      <c r="A391" s="72"/>
      <c r="B391" s="72"/>
      <c r="C391" s="72"/>
      <c r="D391" s="72"/>
      <c r="E391" s="72"/>
      <c r="F391" s="72"/>
      <c r="G391" s="72"/>
      <c r="H391" s="72"/>
      <c r="I391" s="72"/>
      <c r="J391" s="72"/>
      <c r="K391" s="73"/>
      <c r="L391" s="74"/>
      <c r="M391" s="72"/>
      <c r="N391" s="72"/>
      <c r="O391" s="72"/>
      <c r="P391" s="72"/>
      <c r="Q391" s="72"/>
      <c r="R391" s="72"/>
      <c r="S391" s="72"/>
      <c r="T391" s="72"/>
      <c r="U391" s="72"/>
      <c r="V391" s="72"/>
      <c r="W391" s="72"/>
      <c r="X391" s="72"/>
      <c r="Y391" s="72"/>
      <c r="Z391" s="72"/>
    </row>
    <row r="392" spans="1:26" ht="15.75" customHeight="1">
      <c r="A392" s="72"/>
      <c r="B392" s="72"/>
      <c r="C392" s="72"/>
      <c r="D392" s="72"/>
      <c r="E392" s="72"/>
      <c r="F392" s="72"/>
      <c r="G392" s="72"/>
      <c r="H392" s="72"/>
      <c r="I392" s="72"/>
      <c r="J392" s="72"/>
      <c r="K392" s="73"/>
      <c r="L392" s="74"/>
      <c r="M392" s="72"/>
      <c r="N392" s="72"/>
      <c r="O392" s="72"/>
      <c r="P392" s="72"/>
      <c r="Q392" s="72"/>
      <c r="R392" s="72"/>
      <c r="S392" s="72"/>
      <c r="T392" s="72"/>
      <c r="U392" s="72"/>
      <c r="V392" s="72"/>
      <c r="W392" s="72"/>
      <c r="X392" s="72"/>
      <c r="Y392" s="72"/>
      <c r="Z392" s="72"/>
    </row>
    <row r="393" spans="1:26" ht="15.75" customHeight="1">
      <c r="A393" s="72"/>
      <c r="B393" s="72"/>
      <c r="C393" s="72"/>
      <c r="D393" s="72"/>
      <c r="E393" s="72"/>
      <c r="F393" s="72"/>
      <c r="G393" s="72"/>
      <c r="H393" s="72"/>
      <c r="I393" s="72"/>
      <c r="J393" s="72"/>
      <c r="K393" s="73"/>
      <c r="L393" s="74"/>
      <c r="M393" s="72"/>
      <c r="N393" s="72"/>
      <c r="O393" s="72"/>
      <c r="P393" s="72"/>
      <c r="Q393" s="72"/>
      <c r="R393" s="72"/>
      <c r="S393" s="72"/>
      <c r="T393" s="72"/>
      <c r="U393" s="72"/>
      <c r="V393" s="72"/>
      <c r="W393" s="72"/>
      <c r="X393" s="72"/>
      <c r="Y393" s="72"/>
      <c r="Z393" s="72"/>
    </row>
    <row r="394" spans="1:26" ht="15.75" customHeight="1">
      <c r="A394" s="72"/>
      <c r="B394" s="72"/>
      <c r="C394" s="72"/>
      <c r="D394" s="72"/>
      <c r="E394" s="72"/>
      <c r="F394" s="72"/>
      <c r="G394" s="72"/>
      <c r="H394" s="72"/>
      <c r="I394" s="72"/>
      <c r="J394" s="72"/>
      <c r="K394" s="73"/>
      <c r="L394" s="74"/>
      <c r="M394" s="72"/>
      <c r="N394" s="72"/>
      <c r="O394" s="72"/>
      <c r="P394" s="72"/>
      <c r="Q394" s="72"/>
      <c r="R394" s="72"/>
      <c r="S394" s="72"/>
      <c r="T394" s="72"/>
      <c r="U394" s="72"/>
      <c r="V394" s="72"/>
      <c r="W394" s="72"/>
      <c r="X394" s="72"/>
      <c r="Y394" s="72"/>
      <c r="Z394" s="72"/>
    </row>
    <row r="395" spans="1:26" ht="15.75" customHeight="1">
      <c r="A395" s="72"/>
      <c r="B395" s="72"/>
      <c r="C395" s="72"/>
      <c r="D395" s="72"/>
      <c r="E395" s="72"/>
      <c r="F395" s="72"/>
      <c r="G395" s="72"/>
      <c r="H395" s="72"/>
      <c r="I395" s="72"/>
      <c r="J395" s="72"/>
      <c r="K395" s="73"/>
      <c r="L395" s="74"/>
      <c r="M395" s="72"/>
      <c r="N395" s="72"/>
      <c r="O395" s="72"/>
      <c r="P395" s="72"/>
      <c r="Q395" s="72"/>
      <c r="R395" s="72"/>
      <c r="S395" s="72"/>
      <c r="T395" s="72"/>
      <c r="U395" s="72"/>
      <c r="V395" s="72"/>
      <c r="W395" s="72"/>
      <c r="X395" s="72"/>
      <c r="Y395" s="72"/>
      <c r="Z395" s="72"/>
    </row>
    <row r="396" spans="1:26" ht="15.75" customHeight="1">
      <c r="A396" s="72"/>
      <c r="B396" s="72"/>
      <c r="C396" s="72"/>
      <c r="D396" s="72"/>
      <c r="E396" s="72"/>
      <c r="F396" s="72"/>
      <c r="G396" s="72"/>
      <c r="H396" s="72"/>
      <c r="I396" s="72"/>
      <c r="J396" s="72"/>
      <c r="K396" s="73"/>
      <c r="L396" s="74"/>
      <c r="M396" s="72"/>
      <c r="N396" s="72"/>
      <c r="O396" s="72"/>
      <c r="P396" s="72"/>
      <c r="Q396" s="72"/>
      <c r="R396" s="72"/>
      <c r="S396" s="72"/>
      <c r="T396" s="72"/>
      <c r="U396" s="72"/>
      <c r="V396" s="72"/>
      <c r="W396" s="72"/>
      <c r="X396" s="72"/>
      <c r="Y396" s="72"/>
      <c r="Z396" s="72"/>
    </row>
    <row r="397" spans="1:26" ht="15.75" customHeight="1">
      <c r="A397" s="72"/>
      <c r="B397" s="72"/>
      <c r="C397" s="72"/>
      <c r="D397" s="72"/>
      <c r="E397" s="72"/>
      <c r="F397" s="72"/>
      <c r="G397" s="72"/>
      <c r="H397" s="72"/>
      <c r="I397" s="72"/>
      <c r="J397" s="72"/>
      <c r="K397" s="73"/>
      <c r="L397" s="74"/>
      <c r="M397" s="72"/>
      <c r="N397" s="72"/>
      <c r="O397" s="72"/>
      <c r="P397" s="72"/>
      <c r="Q397" s="72"/>
      <c r="R397" s="72"/>
      <c r="S397" s="72"/>
      <c r="T397" s="72"/>
      <c r="U397" s="72"/>
      <c r="V397" s="72"/>
      <c r="W397" s="72"/>
      <c r="X397" s="72"/>
      <c r="Y397" s="72"/>
      <c r="Z397" s="72"/>
    </row>
    <row r="398" spans="1:26" ht="15.75" customHeight="1">
      <c r="A398" s="72"/>
      <c r="B398" s="72"/>
      <c r="C398" s="72"/>
      <c r="D398" s="72"/>
      <c r="E398" s="72"/>
      <c r="F398" s="72"/>
      <c r="G398" s="72"/>
      <c r="H398" s="72"/>
      <c r="I398" s="72"/>
      <c r="J398" s="72"/>
      <c r="K398" s="73"/>
      <c r="L398" s="74"/>
      <c r="M398" s="72"/>
      <c r="N398" s="72"/>
      <c r="O398" s="72"/>
      <c r="P398" s="72"/>
      <c r="Q398" s="72"/>
      <c r="R398" s="72"/>
      <c r="S398" s="72"/>
      <c r="T398" s="72"/>
      <c r="U398" s="72"/>
      <c r="V398" s="72"/>
      <c r="W398" s="72"/>
      <c r="X398" s="72"/>
      <c r="Y398" s="72"/>
      <c r="Z398" s="72"/>
    </row>
    <row r="399" spans="1:26" ht="15.75" customHeight="1">
      <c r="A399" s="72"/>
      <c r="B399" s="72"/>
      <c r="C399" s="72"/>
      <c r="D399" s="72"/>
      <c r="E399" s="72"/>
      <c r="F399" s="72"/>
      <c r="G399" s="72"/>
      <c r="H399" s="72"/>
      <c r="I399" s="72"/>
      <c r="J399" s="72"/>
      <c r="K399" s="73"/>
      <c r="L399" s="74"/>
      <c r="M399" s="72"/>
      <c r="N399" s="72"/>
      <c r="O399" s="72"/>
      <c r="P399" s="72"/>
      <c r="Q399" s="72"/>
      <c r="R399" s="72"/>
      <c r="S399" s="72"/>
      <c r="T399" s="72"/>
      <c r="U399" s="72"/>
      <c r="V399" s="72"/>
      <c r="W399" s="72"/>
      <c r="X399" s="72"/>
      <c r="Y399" s="72"/>
      <c r="Z399" s="72"/>
    </row>
    <row r="400" spans="1:26" ht="15.75" customHeight="1">
      <c r="A400" s="72"/>
      <c r="B400" s="72"/>
      <c r="C400" s="72"/>
      <c r="D400" s="72"/>
      <c r="E400" s="72"/>
      <c r="F400" s="72"/>
      <c r="G400" s="72"/>
      <c r="H400" s="72"/>
      <c r="I400" s="72"/>
      <c r="J400" s="72"/>
      <c r="K400" s="73"/>
      <c r="L400" s="74"/>
      <c r="M400" s="72"/>
      <c r="N400" s="72"/>
      <c r="O400" s="72"/>
      <c r="P400" s="72"/>
      <c r="Q400" s="72"/>
      <c r="R400" s="72"/>
      <c r="S400" s="72"/>
      <c r="T400" s="72"/>
      <c r="U400" s="72"/>
      <c r="V400" s="72"/>
      <c r="W400" s="72"/>
      <c r="X400" s="72"/>
      <c r="Y400" s="72"/>
      <c r="Z400" s="72"/>
    </row>
    <row r="401" spans="1:26" ht="15.75" customHeight="1">
      <c r="A401" s="72"/>
      <c r="B401" s="72"/>
      <c r="C401" s="72"/>
      <c r="D401" s="72"/>
      <c r="E401" s="72"/>
      <c r="F401" s="72"/>
      <c r="G401" s="72"/>
      <c r="H401" s="72"/>
      <c r="I401" s="72"/>
      <c r="J401" s="72"/>
      <c r="K401" s="73"/>
      <c r="L401" s="74"/>
      <c r="M401" s="72"/>
      <c r="N401" s="72"/>
      <c r="O401" s="72"/>
      <c r="P401" s="72"/>
      <c r="Q401" s="72"/>
      <c r="R401" s="72"/>
      <c r="S401" s="72"/>
      <c r="T401" s="72"/>
      <c r="U401" s="72"/>
      <c r="V401" s="72"/>
      <c r="W401" s="72"/>
      <c r="X401" s="72"/>
      <c r="Y401" s="72"/>
      <c r="Z401" s="72"/>
    </row>
    <row r="402" spans="1:26" ht="15.75" customHeight="1">
      <c r="A402" s="72"/>
      <c r="B402" s="72"/>
      <c r="C402" s="72"/>
      <c r="D402" s="72"/>
      <c r="E402" s="72"/>
      <c r="F402" s="72"/>
      <c r="G402" s="72"/>
      <c r="H402" s="72"/>
      <c r="I402" s="72"/>
      <c r="J402" s="72"/>
      <c r="K402" s="73"/>
      <c r="L402" s="74"/>
      <c r="M402" s="72"/>
      <c r="N402" s="72"/>
      <c r="O402" s="72"/>
      <c r="P402" s="72"/>
      <c r="Q402" s="72"/>
      <c r="R402" s="72"/>
      <c r="S402" s="72"/>
      <c r="T402" s="72"/>
      <c r="U402" s="72"/>
      <c r="V402" s="72"/>
      <c r="W402" s="72"/>
      <c r="X402" s="72"/>
      <c r="Y402" s="72"/>
      <c r="Z402" s="72"/>
    </row>
    <row r="403" spans="1:26" ht="15.75" customHeight="1">
      <c r="A403" s="72"/>
      <c r="B403" s="72"/>
      <c r="C403" s="72"/>
      <c r="D403" s="72"/>
      <c r="E403" s="72"/>
      <c r="F403" s="72"/>
      <c r="G403" s="72"/>
      <c r="H403" s="72"/>
      <c r="I403" s="72"/>
      <c r="J403" s="72"/>
      <c r="K403" s="73"/>
      <c r="L403" s="74"/>
      <c r="M403" s="72"/>
      <c r="N403" s="72"/>
      <c r="O403" s="72"/>
      <c r="P403" s="72"/>
      <c r="Q403" s="72"/>
      <c r="R403" s="72"/>
      <c r="S403" s="72"/>
      <c r="T403" s="72"/>
      <c r="U403" s="72"/>
      <c r="V403" s="72"/>
      <c r="W403" s="72"/>
      <c r="X403" s="72"/>
      <c r="Y403" s="72"/>
      <c r="Z403" s="72"/>
    </row>
    <row r="404" spans="1:26" ht="15.75" customHeight="1">
      <c r="A404" s="72"/>
      <c r="B404" s="72"/>
      <c r="C404" s="72"/>
      <c r="D404" s="72"/>
      <c r="E404" s="72"/>
      <c r="F404" s="72"/>
      <c r="G404" s="72"/>
      <c r="H404" s="72"/>
      <c r="I404" s="72"/>
      <c r="J404" s="72"/>
      <c r="K404" s="73"/>
      <c r="L404" s="74"/>
      <c r="M404" s="72"/>
      <c r="N404" s="72"/>
      <c r="O404" s="72"/>
      <c r="P404" s="72"/>
      <c r="Q404" s="72"/>
      <c r="R404" s="72"/>
      <c r="S404" s="72"/>
      <c r="T404" s="72"/>
      <c r="U404" s="72"/>
      <c r="V404" s="72"/>
      <c r="W404" s="72"/>
      <c r="X404" s="72"/>
      <c r="Y404" s="72"/>
      <c r="Z404" s="72"/>
    </row>
    <row r="405" spans="1:26" ht="15.75" customHeight="1">
      <c r="A405" s="72"/>
      <c r="B405" s="72"/>
      <c r="C405" s="72"/>
      <c r="D405" s="72"/>
      <c r="E405" s="72"/>
      <c r="F405" s="72"/>
      <c r="G405" s="72"/>
      <c r="H405" s="72"/>
      <c r="I405" s="72"/>
      <c r="J405" s="72"/>
      <c r="K405" s="73"/>
      <c r="L405" s="74"/>
      <c r="M405" s="72"/>
      <c r="N405" s="72"/>
      <c r="O405" s="72"/>
      <c r="P405" s="72"/>
      <c r="Q405" s="72"/>
      <c r="R405" s="72"/>
      <c r="S405" s="72"/>
      <c r="T405" s="72"/>
      <c r="U405" s="72"/>
      <c r="V405" s="72"/>
      <c r="W405" s="72"/>
      <c r="X405" s="72"/>
      <c r="Y405" s="72"/>
      <c r="Z405" s="72"/>
    </row>
    <row r="406" spans="1:26" ht="15.75" customHeight="1">
      <c r="A406" s="72"/>
      <c r="B406" s="72"/>
      <c r="C406" s="72"/>
      <c r="D406" s="72"/>
      <c r="E406" s="72"/>
      <c r="F406" s="72"/>
      <c r="G406" s="72"/>
      <c r="H406" s="72"/>
      <c r="I406" s="72"/>
      <c r="J406" s="72"/>
      <c r="K406" s="73"/>
      <c r="L406" s="74"/>
      <c r="M406" s="72"/>
      <c r="N406" s="72"/>
      <c r="O406" s="72"/>
      <c r="P406" s="72"/>
      <c r="Q406" s="72"/>
      <c r="R406" s="72"/>
      <c r="S406" s="72"/>
      <c r="T406" s="72"/>
      <c r="U406" s="72"/>
      <c r="V406" s="72"/>
      <c r="W406" s="72"/>
      <c r="X406" s="72"/>
      <c r="Y406" s="72"/>
      <c r="Z406" s="72"/>
    </row>
    <row r="407" spans="1:26" ht="15.75" customHeight="1">
      <c r="A407" s="72"/>
      <c r="B407" s="72"/>
      <c r="C407" s="72"/>
      <c r="D407" s="72"/>
      <c r="E407" s="72"/>
      <c r="F407" s="72"/>
      <c r="G407" s="72"/>
      <c r="H407" s="72"/>
      <c r="I407" s="72"/>
      <c r="J407" s="72"/>
      <c r="K407" s="73"/>
      <c r="L407" s="74"/>
      <c r="M407" s="72"/>
      <c r="N407" s="72"/>
      <c r="O407" s="72"/>
      <c r="P407" s="72"/>
      <c r="Q407" s="72"/>
      <c r="R407" s="72"/>
      <c r="S407" s="72"/>
      <c r="T407" s="72"/>
      <c r="U407" s="72"/>
      <c r="V407" s="72"/>
      <c r="W407" s="72"/>
      <c r="X407" s="72"/>
      <c r="Y407" s="72"/>
      <c r="Z407" s="72"/>
    </row>
    <row r="408" spans="1:26" ht="15.75" customHeight="1">
      <c r="A408" s="72"/>
      <c r="B408" s="72"/>
      <c r="C408" s="72"/>
      <c r="D408" s="72"/>
      <c r="E408" s="72"/>
      <c r="F408" s="72"/>
      <c r="G408" s="72"/>
      <c r="H408" s="72"/>
      <c r="I408" s="72"/>
      <c r="J408" s="72"/>
      <c r="K408" s="73"/>
      <c r="L408" s="74"/>
      <c r="M408" s="72"/>
      <c r="N408" s="72"/>
      <c r="O408" s="72"/>
      <c r="P408" s="72"/>
      <c r="Q408" s="72"/>
      <c r="R408" s="72"/>
      <c r="S408" s="72"/>
      <c r="T408" s="72"/>
      <c r="U408" s="72"/>
      <c r="V408" s="72"/>
      <c r="W408" s="72"/>
      <c r="X408" s="72"/>
      <c r="Y408" s="72"/>
      <c r="Z408" s="72"/>
    </row>
    <row r="409" spans="1:26" ht="15.75" customHeight="1">
      <c r="A409" s="72"/>
      <c r="B409" s="72"/>
      <c r="C409" s="72"/>
      <c r="D409" s="72"/>
      <c r="E409" s="72"/>
      <c r="F409" s="72"/>
      <c r="G409" s="72"/>
      <c r="H409" s="72"/>
      <c r="I409" s="72"/>
      <c r="J409" s="72"/>
      <c r="K409" s="73"/>
      <c r="L409" s="74"/>
      <c r="M409" s="72"/>
      <c r="N409" s="72"/>
      <c r="O409" s="72"/>
      <c r="P409" s="72"/>
      <c r="Q409" s="72"/>
      <c r="R409" s="72"/>
      <c r="S409" s="72"/>
      <c r="T409" s="72"/>
      <c r="U409" s="72"/>
      <c r="V409" s="72"/>
      <c r="W409" s="72"/>
      <c r="X409" s="72"/>
      <c r="Y409" s="72"/>
      <c r="Z409" s="72"/>
    </row>
    <row r="410" spans="1:26" ht="15.75" customHeight="1">
      <c r="A410" s="72"/>
      <c r="B410" s="72"/>
      <c r="C410" s="72"/>
      <c r="D410" s="72"/>
      <c r="E410" s="72"/>
      <c r="F410" s="72"/>
      <c r="G410" s="72"/>
      <c r="H410" s="72"/>
      <c r="I410" s="72"/>
      <c r="J410" s="72"/>
      <c r="K410" s="73"/>
      <c r="L410" s="74"/>
      <c r="M410" s="72"/>
      <c r="N410" s="72"/>
      <c r="O410" s="72"/>
      <c r="P410" s="72"/>
      <c r="Q410" s="72"/>
      <c r="R410" s="72"/>
      <c r="S410" s="72"/>
      <c r="T410" s="72"/>
      <c r="U410" s="72"/>
      <c r="V410" s="72"/>
      <c r="W410" s="72"/>
      <c r="X410" s="72"/>
      <c r="Y410" s="72"/>
      <c r="Z410" s="72"/>
    </row>
    <row r="411" spans="1:26" ht="15.75" customHeight="1">
      <c r="A411" s="72"/>
      <c r="B411" s="72"/>
      <c r="C411" s="72"/>
      <c r="D411" s="72"/>
      <c r="E411" s="72"/>
      <c r="F411" s="72"/>
      <c r="G411" s="72"/>
      <c r="H411" s="72"/>
      <c r="I411" s="72"/>
      <c r="J411" s="72"/>
      <c r="K411" s="73"/>
      <c r="L411" s="74"/>
      <c r="M411" s="72"/>
      <c r="N411" s="72"/>
      <c r="O411" s="72"/>
      <c r="P411" s="72"/>
      <c r="Q411" s="72"/>
      <c r="R411" s="72"/>
      <c r="S411" s="72"/>
      <c r="T411" s="72"/>
      <c r="U411" s="72"/>
      <c r="V411" s="72"/>
      <c r="W411" s="72"/>
      <c r="X411" s="72"/>
      <c r="Y411" s="72"/>
      <c r="Z411" s="72"/>
    </row>
    <row r="412" spans="1:26" ht="15.75" customHeight="1">
      <c r="A412" s="72"/>
      <c r="B412" s="72"/>
      <c r="C412" s="72"/>
      <c r="D412" s="72"/>
      <c r="E412" s="72"/>
      <c r="F412" s="72"/>
      <c r="G412" s="72"/>
      <c r="H412" s="72"/>
      <c r="I412" s="72"/>
      <c r="J412" s="72"/>
      <c r="K412" s="73"/>
      <c r="L412" s="74"/>
      <c r="M412" s="72"/>
      <c r="N412" s="72"/>
      <c r="O412" s="72"/>
      <c r="P412" s="72"/>
      <c r="Q412" s="72"/>
      <c r="R412" s="72"/>
      <c r="S412" s="72"/>
      <c r="T412" s="72"/>
      <c r="U412" s="72"/>
      <c r="V412" s="72"/>
      <c r="W412" s="72"/>
      <c r="X412" s="72"/>
      <c r="Y412" s="72"/>
      <c r="Z412" s="72"/>
    </row>
    <row r="413" spans="1:26" ht="15.75" customHeight="1">
      <c r="A413" s="72"/>
      <c r="B413" s="72"/>
      <c r="C413" s="72"/>
      <c r="D413" s="72"/>
      <c r="E413" s="72"/>
      <c r="F413" s="72"/>
      <c r="G413" s="72"/>
      <c r="H413" s="72"/>
      <c r="I413" s="72"/>
      <c r="J413" s="72"/>
      <c r="K413" s="73"/>
      <c r="L413" s="74"/>
      <c r="M413" s="72"/>
      <c r="N413" s="72"/>
      <c r="O413" s="72"/>
      <c r="P413" s="72"/>
      <c r="Q413" s="72"/>
      <c r="R413" s="72"/>
      <c r="S413" s="72"/>
      <c r="T413" s="72"/>
      <c r="U413" s="72"/>
      <c r="V413" s="72"/>
      <c r="W413" s="72"/>
      <c r="X413" s="72"/>
      <c r="Y413" s="72"/>
      <c r="Z413" s="72"/>
    </row>
    <row r="414" spans="1:26" ht="15.75" customHeight="1">
      <c r="A414" s="72"/>
      <c r="B414" s="72"/>
      <c r="C414" s="72"/>
      <c r="D414" s="72"/>
      <c r="E414" s="72"/>
      <c r="F414" s="72"/>
      <c r="G414" s="72"/>
      <c r="H414" s="72"/>
      <c r="I414" s="72"/>
      <c r="J414" s="72"/>
      <c r="K414" s="73"/>
      <c r="L414" s="74"/>
      <c r="M414" s="72"/>
      <c r="N414" s="72"/>
      <c r="O414" s="72"/>
      <c r="P414" s="72"/>
      <c r="Q414" s="72"/>
      <c r="R414" s="72"/>
      <c r="S414" s="72"/>
      <c r="T414" s="72"/>
      <c r="U414" s="72"/>
      <c r="V414" s="72"/>
      <c r="W414" s="72"/>
      <c r="X414" s="72"/>
      <c r="Y414" s="72"/>
      <c r="Z414" s="72"/>
    </row>
    <row r="415" spans="1:26" ht="15.75" customHeight="1">
      <c r="A415" s="72"/>
      <c r="B415" s="72"/>
      <c r="C415" s="72"/>
      <c r="D415" s="72"/>
      <c r="E415" s="72"/>
      <c r="F415" s="72"/>
      <c r="G415" s="72"/>
      <c r="H415" s="72"/>
      <c r="I415" s="72"/>
      <c r="J415" s="72"/>
      <c r="K415" s="73"/>
      <c r="L415" s="74"/>
      <c r="M415" s="72"/>
      <c r="N415" s="72"/>
      <c r="O415" s="72"/>
      <c r="P415" s="72"/>
      <c r="Q415" s="72"/>
      <c r="R415" s="72"/>
      <c r="S415" s="72"/>
      <c r="T415" s="72"/>
      <c r="U415" s="72"/>
      <c r="V415" s="72"/>
      <c r="W415" s="72"/>
      <c r="X415" s="72"/>
      <c r="Y415" s="72"/>
      <c r="Z415" s="72"/>
    </row>
    <row r="416" spans="1:26" ht="15.75" customHeight="1">
      <c r="A416" s="72"/>
      <c r="B416" s="72"/>
      <c r="C416" s="72"/>
      <c r="D416" s="72"/>
      <c r="E416" s="72"/>
      <c r="F416" s="72"/>
      <c r="G416" s="72"/>
      <c r="H416" s="72"/>
      <c r="I416" s="72"/>
      <c r="J416" s="72"/>
      <c r="K416" s="73"/>
      <c r="L416" s="74"/>
      <c r="M416" s="72"/>
      <c r="N416" s="72"/>
      <c r="O416" s="72"/>
      <c r="P416" s="72"/>
      <c r="Q416" s="72"/>
      <c r="R416" s="72"/>
      <c r="S416" s="72"/>
      <c r="T416" s="72"/>
      <c r="U416" s="72"/>
      <c r="V416" s="72"/>
      <c r="W416" s="72"/>
      <c r="X416" s="72"/>
      <c r="Y416" s="72"/>
      <c r="Z416" s="72"/>
    </row>
    <row r="417" spans="1:26" ht="15.75" customHeight="1">
      <c r="A417" s="72"/>
      <c r="B417" s="72"/>
      <c r="C417" s="72"/>
      <c r="D417" s="72"/>
      <c r="E417" s="72"/>
      <c r="F417" s="72"/>
      <c r="G417" s="72"/>
      <c r="H417" s="72"/>
      <c r="I417" s="72"/>
      <c r="J417" s="72"/>
      <c r="K417" s="73"/>
      <c r="L417" s="74"/>
      <c r="M417" s="72"/>
      <c r="N417" s="72"/>
      <c r="O417" s="72"/>
      <c r="P417" s="72"/>
      <c r="Q417" s="72"/>
      <c r="R417" s="72"/>
      <c r="S417" s="72"/>
      <c r="T417" s="72"/>
      <c r="U417" s="72"/>
      <c r="V417" s="72"/>
      <c r="W417" s="72"/>
      <c r="X417" s="72"/>
      <c r="Y417" s="72"/>
      <c r="Z417" s="72"/>
    </row>
    <row r="418" spans="1:26" ht="15.75" customHeight="1">
      <c r="A418" s="72"/>
      <c r="B418" s="72"/>
      <c r="C418" s="72"/>
      <c r="D418" s="72"/>
      <c r="E418" s="72"/>
      <c r="F418" s="72"/>
      <c r="G418" s="72"/>
      <c r="H418" s="72"/>
      <c r="I418" s="72"/>
      <c r="J418" s="72"/>
      <c r="K418" s="73"/>
      <c r="L418" s="74"/>
      <c r="M418" s="72"/>
      <c r="N418" s="72"/>
      <c r="O418" s="72"/>
      <c r="P418" s="72"/>
      <c r="Q418" s="72"/>
      <c r="R418" s="72"/>
      <c r="S418" s="72"/>
      <c r="T418" s="72"/>
      <c r="U418" s="72"/>
      <c r="V418" s="72"/>
      <c r="W418" s="72"/>
      <c r="X418" s="72"/>
      <c r="Y418" s="72"/>
      <c r="Z418" s="72"/>
    </row>
    <row r="419" spans="1:26" ht="15.75" customHeight="1">
      <c r="A419" s="72"/>
      <c r="B419" s="72"/>
      <c r="C419" s="72"/>
      <c r="D419" s="72"/>
      <c r="E419" s="72"/>
      <c r="F419" s="72"/>
      <c r="G419" s="72"/>
      <c r="H419" s="72"/>
      <c r="I419" s="72"/>
      <c r="J419" s="72"/>
      <c r="K419" s="73"/>
      <c r="L419" s="74"/>
      <c r="M419" s="72"/>
      <c r="N419" s="72"/>
      <c r="O419" s="72"/>
      <c r="P419" s="72"/>
      <c r="Q419" s="72"/>
      <c r="R419" s="72"/>
      <c r="S419" s="72"/>
      <c r="T419" s="72"/>
      <c r="U419" s="72"/>
      <c r="V419" s="72"/>
      <c r="W419" s="72"/>
      <c r="X419" s="72"/>
      <c r="Y419" s="72"/>
      <c r="Z419" s="72"/>
    </row>
    <row r="420" spans="1:26" ht="15.75" customHeight="1">
      <c r="A420" s="72"/>
      <c r="B420" s="72"/>
      <c r="C420" s="72"/>
      <c r="D420" s="72"/>
      <c r="E420" s="72"/>
      <c r="F420" s="72"/>
      <c r="G420" s="72"/>
      <c r="H420" s="72"/>
      <c r="I420" s="72"/>
      <c r="J420" s="72"/>
      <c r="K420" s="73"/>
      <c r="L420" s="74"/>
      <c r="M420" s="72"/>
      <c r="N420" s="72"/>
      <c r="O420" s="72"/>
      <c r="P420" s="72"/>
      <c r="Q420" s="72"/>
      <c r="R420" s="72"/>
      <c r="S420" s="72"/>
      <c r="T420" s="72"/>
      <c r="U420" s="72"/>
      <c r="V420" s="72"/>
      <c r="W420" s="72"/>
      <c r="X420" s="72"/>
      <c r="Y420" s="72"/>
      <c r="Z420" s="72"/>
    </row>
    <row r="421" spans="1:26" ht="15.75" customHeight="1">
      <c r="A421" s="72"/>
      <c r="B421" s="72"/>
      <c r="C421" s="72"/>
      <c r="D421" s="72"/>
      <c r="E421" s="72"/>
      <c r="F421" s="72"/>
      <c r="G421" s="72"/>
      <c r="H421" s="72"/>
      <c r="I421" s="72"/>
      <c r="J421" s="72"/>
      <c r="K421" s="73"/>
      <c r="L421" s="74"/>
      <c r="M421" s="72"/>
      <c r="N421" s="72"/>
      <c r="O421" s="72"/>
      <c r="P421" s="72"/>
      <c r="Q421" s="72"/>
      <c r="R421" s="72"/>
      <c r="S421" s="72"/>
      <c r="T421" s="72"/>
      <c r="U421" s="72"/>
      <c r="V421" s="72"/>
      <c r="W421" s="72"/>
      <c r="X421" s="72"/>
      <c r="Y421" s="72"/>
      <c r="Z421" s="72"/>
    </row>
    <row r="422" spans="1:26" ht="15.75" customHeight="1">
      <c r="A422" s="72"/>
      <c r="B422" s="72"/>
      <c r="C422" s="72"/>
      <c r="D422" s="72"/>
      <c r="E422" s="72"/>
      <c r="F422" s="72"/>
      <c r="G422" s="72"/>
      <c r="H422" s="72"/>
      <c r="I422" s="72"/>
      <c r="J422" s="72"/>
      <c r="K422" s="73"/>
      <c r="L422" s="74"/>
      <c r="M422" s="72"/>
      <c r="N422" s="72"/>
      <c r="O422" s="72"/>
      <c r="P422" s="72"/>
      <c r="Q422" s="72"/>
      <c r="R422" s="72"/>
      <c r="S422" s="72"/>
      <c r="T422" s="72"/>
      <c r="U422" s="72"/>
      <c r="V422" s="72"/>
      <c r="W422" s="72"/>
      <c r="X422" s="72"/>
      <c r="Y422" s="72"/>
      <c r="Z422" s="72"/>
    </row>
    <row r="423" spans="1:26" ht="15.75" customHeight="1">
      <c r="A423" s="72"/>
      <c r="B423" s="72"/>
      <c r="C423" s="72"/>
      <c r="D423" s="72"/>
      <c r="E423" s="72"/>
      <c r="F423" s="72"/>
      <c r="G423" s="72"/>
      <c r="H423" s="72"/>
      <c r="I423" s="72"/>
      <c r="J423" s="72"/>
      <c r="K423" s="73"/>
      <c r="L423" s="74"/>
      <c r="M423" s="72"/>
      <c r="N423" s="72"/>
      <c r="O423" s="72"/>
      <c r="P423" s="72"/>
      <c r="Q423" s="72"/>
      <c r="R423" s="72"/>
      <c r="S423" s="72"/>
      <c r="T423" s="72"/>
      <c r="U423" s="72"/>
      <c r="V423" s="72"/>
      <c r="W423" s="72"/>
      <c r="X423" s="72"/>
      <c r="Y423" s="72"/>
      <c r="Z423" s="72"/>
    </row>
    <row r="424" spans="1:26" ht="15.75" customHeight="1">
      <c r="A424" s="72"/>
      <c r="B424" s="72"/>
      <c r="C424" s="72"/>
      <c r="D424" s="72"/>
      <c r="E424" s="72"/>
      <c r="F424" s="72"/>
      <c r="G424" s="72"/>
      <c r="H424" s="72"/>
      <c r="I424" s="72"/>
      <c r="J424" s="72"/>
      <c r="K424" s="73"/>
      <c r="L424" s="74"/>
      <c r="M424" s="72"/>
      <c r="N424" s="72"/>
      <c r="O424" s="72"/>
      <c r="P424" s="72"/>
      <c r="Q424" s="72"/>
      <c r="R424" s="72"/>
      <c r="S424" s="72"/>
      <c r="T424" s="72"/>
      <c r="U424" s="72"/>
      <c r="V424" s="72"/>
      <c r="W424" s="72"/>
      <c r="X424" s="72"/>
      <c r="Y424" s="72"/>
      <c r="Z424" s="72"/>
    </row>
    <row r="425" spans="1:26" ht="15.75" customHeight="1">
      <c r="A425" s="72"/>
      <c r="B425" s="72"/>
      <c r="C425" s="72"/>
      <c r="D425" s="72"/>
      <c r="E425" s="72"/>
      <c r="F425" s="72"/>
      <c r="G425" s="72"/>
      <c r="H425" s="72"/>
      <c r="I425" s="72"/>
      <c r="J425" s="72"/>
      <c r="K425" s="73"/>
      <c r="L425" s="74"/>
      <c r="M425" s="72"/>
      <c r="N425" s="72"/>
      <c r="O425" s="72"/>
      <c r="P425" s="72"/>
      <c r="Q425" s="72"/>
      <c r="R425" s="72"/>
      <c r="S425" s="72"/>
      <c r="T425" s="72"/>
      <c r="U425" s="72"/>
      <c r="V425" s="72"/>
      <c r="W425" s="72"/>
      <c r="X425" s="72"/>
      <c r="Y425" s="72"/>
      <c r="Z425" s="72"/>
    </row>
    <row r="426" spans="1:26" ht="15.75" customHeight="1">
      <c r="A426" s="72"/>
      <c r="B426" s="72"/>
      <c r="C426" s="72"/>
      <c r="D426" s="72"/>
      <c r="E426" s="72"/>
      <c r="F426" s="72"/>
      <c r="G426" s="72"/>
      <c r="H426" s="72"/>
      <c r="I426" s="72"/>
      <c r="J426" s="72"/>
      <c r="K426" s="73"/>
      <c r="L426" s="74"/>
      <c r="M426" s="72"/>
      <c r="N426" s="72"/>
      <c r="O426" s="72"/>
      <c r="P426" s="72"/>
      <c r="Q426" s="72"/>
      <c r="R426" s="72"/>
      <c r="S426" s="72"/>
      <c r="T426" s="72"/>
      <c r="U426" s="72"/>
      <c r="V426" s="72"/>
      <c r="W426" s="72"/>
      <c r="X426" s="72"/>
      <c r="Y426" s="72"/>
      <c r="Z426" s="72"/>
    </row>
    <row r="427" spans="1:26" ht="15.75" customHeight="1">
      <c r="A427" s="72"/>
      <c r="B427" s="72"/>
      <c r="C427" s="72"/>
      <c r="D427" s="72"/>
      <c r="E427" s="72"/>
      <c r="F427" s="72"/>
      <c r="G427" s="72"/>
      <c r="H427" s="72"/>
      <c r="I427" s="72"/>
      <c r="J427" s="72"/>
      <c r="K427" s="73"/>
      <c r="L427" s="74"/>
      <c r="M427" s="72"/>
      <c r="N427" s="72"/>
      <c r="O427" s="72"/>
      <c r="P427" s="72"/>
      <c r="Q427" s="72"/>
      <c r="R427" s="72"/>
      <c r="S427" s="72"/>
      <c r="T427" s="72"/>
      <c r="U427" s="72"/>
      <c r="V427" s="72"/>
      <c r="W427" s="72"/>
      <c r="X427" s="72"/>
      <c r="Y427" s="72"/>
      <c r="Z427" s="72"/>
    </row>
    <row r="428" spans="1:26" ht="15.75" customHeight="1">
      <c r="A428" s="72"/>
      <c r="B428" s="72"/>
      <c r="C428" s="72"/>
      <c r="D428" s="72"/>
      <c r="E428" s="72"/>
      <c r="F428" s="72"/>
      <c r="G428" s="72"/>
      <c r="H428" s="72"/>
      <c r="I428" s="72"/>
      <c r="J428" s="72"/>
      <c r="K428" s="73"/>
      <c r="L428" s="74"/>
      <c r="M428" s="72"/>
      <c r="N428" s="72"/>
      <c r="O428" s="72"/>
      <c r="P428" s="72"/>
      <c r="Q428" s="72"/>
      <c r="R428" s="72"/>
      <c r="S428" s="72"/>
      <c r="T428" s="72"/>
      <c r="U428" s="72"/>
      <c r="V428" s="72"/>
      <c r="W428" s="72"/>
      <c r="X428" s="72"/>
      <c r="Y428" s="72"/>
      <c r="Z428" s="72"/>
    </row>
    <row r="429" spans="1:26" ht="15.75" customHeight="1">
      <c r="A429" s="72"/>
      <c r="B429" s="72"/>
      <c r="C429" s="72"/>
      <c r="D429" s="72"/>
      <c r="E429" s="72"/>
      <c r="F429" s="72"/>
      <c r="G429" s="72"/>
      <c r="H429" s="72"/>
      <c r="I429" s="72"/>
      <c r="J429" s="72"/>
      <c r="K429" s="73"/>
      <c r="L429" s="74"/>
      <c r="M429" s="72"/>
      <c r="N429" s="72"/>
      <c r="O429" s="72"/>
      <c r="P429" s="72"/>
      <c r="Q429" s="72"/>
      <c r="R429" s="72"/>
      <c r="S429" s="72"/>
      <c r="T429" s="72"/>
      <c r="U429" s="72"/>
      <c r="V429" s="72"/>
      <c r="W429" s="72"/>
      <c r="X429" s="72"/>
      <c r="Y429" s="72"/>
      <c r="Z429" s="72"/>
    </row>
    <row r="430" spans="1:26" ht="15.75" customHeight="1">
      <c r="A430" s="72"/>
      <c r="B430" s="72"/>
      <c r="C430" s="72"/>
      <c r="D430" s="72"/>
      <c r="E430" s="72"/>
      <c r="F430" s="72"/>
      <c r="G430" s="72"/>
      <c r="H430" s="72"/>
      <c r="I430" s="72"/>
      <c r="J430" s="72"/>
      <c r="K430" s="73"/>
      <c r="L430" s="74"/>
      <c r="M430" s="72"/>
      <c r="N430" s="72"/>
      <c r="O430" s="72"/>
      <c r="P430" s="72"/>
      <c r="Q430" s="72"/>
      <c r="R430" s="72"/>
      <c r="S430" s="72"/>
      <c r="T430" s="72"/>
      <c r="U430" s="72"/>
      <c r="V430" s="72"/>
      <c r="W430" s="72"/>
      <c r="X430" s="72"/>
      <c r="Y430" s="72"/>
      <c r="Z430" s="72"/>
    </row>
    <row r="431" spans="1:26" ht="15.75" customHeight="1">
      <c r="A431" s="72"/>
      <c r="B431" s="72"/>
      <c r="C431" s="72"/>
      <c r="D431" s="72"/>
      <c r="E431" s="72"/>
      <c r="F431" s="72"/>
      <c r="G431" s="72"/>
      <c r="H431" s="72"/>
      <c r="I431" s="72"/>
      <c r="J431" s="72"/>
      <c r="K431" s="73"/>
      <c r="L431" s="74"/>
      <c r="M431" s="72"/>
      <c r="N431" s="72"/>
      <c r="O431" s="72"/>
      <c r="P431" s="72"/>
      <c r="Q431" s="72"/>
      <c r="R431" s="72"/>
      <c r="S431" s="72"/>
      <c r="T431" s="72"/>
      <c r="U431" s="72"/>
      <c r="V431" s="72"/>
      <c r="W431" s="72"/>
      <c r="X431" s="72"/>
      <c r="Y431" s="72"/>
      <c r="Z431" s="72"/>
    </row>
    <row r="432" spans="1:26" ht="15.75" customHeight="1">
      <c r="A432" s="72"/>
      <c r="B432" s="72"/>
      <c r="C432" s="72"/>
      <c r="D432" s="72"/>
      <c r="E432" s="72"/>
      <c r="F432" s="72"/>
      <c r="G432" s="72"/>
      <c r="H432" s="72"/>
      <c r="I432" s="72"/>
      <c r="J432" s="72"/>
      <c r="K432" s="73"/>
      <c r="L432" s="74"/>
      <c r="M432" s="72"/>
      <c r="N432" s="72"/>
      <c r="O432" s="72"/>
      <c r="P432" s="72"/>
      <c r="Q432" s="72"/>
      <c r="R432" s="72"/>
      <c r="S432" s="72"/>
      <c r="T432" s="72"/>
      <c r="U432" s="72"/>
      <c r="V432" s="72"/>
      <c r="W432" s="72"/>
      <c r="X432" s="72"/>
      <c r="Y432" s="72"/>
      <c r="Z432" s="72"/>
    </row>
    <row r="433" spans="1:26" ht="15.75" customHeight="1">
      <c r="A433" s="72"/>
      <c r="B433" s="72"/>
      <c r="C433" s="72"/>
      <c r="D433" s="72"/>
      <c r="E433" s="72"/>
      <c r="F433" s="72"/>
      <c r="G433" s="72"/>
      <c r="H433" s="72"/>
      <c r="I433" s="72"/>
      <c r="J433" s="72"/>
      <c r="K433" s="73"/>
      <c r="L433" s="74"/>
      <c r="M433" s="72"/>
      <c r="N433" s="72"/>
      <c r="O433" s="72"/>
      <c r="P433" s="72"/>
      <c r="Q433" s="72"/>
      <c r="R433" s="72"/>
      <c r="S433" s="72"/>
      <c r="T433" s="72"/>
      <c r="U433" s="72"/>
      <c r="V433" s="72"/>
      <c r="W433" s="72"/>
      <c r="X433" s="72"/>
      <c r="Y433" s="72"/>
      <c r="Z433" s="72"/>
    </row>
    <row r="434" spans="1:26" ht="15.75" customHeight="1">
      <c r="A434" s="72"/>
      <c r="B434" s="72"/>
      <c r="C434" s="72"/>
      <c r="D434" s="72"/>
      <c r="E434" s="72"/>
      <c r="F434" s="72"/>
      <c r="G434" s="72"/>
      <c r="H434" s="72"/>
      <c r="I434" s="72"/>
      <c r="J434" s="72"/>
      <c r="K434" s="73"/>
      <c r="L434" s="74"/>
      <c r="M434" s="72"/>
      <c r="N434" s="72"/>
      <c r="O434" s="72"/>
      <c r="P434" s="72"/>
      <c r="Q434" s="72"/>
      <c r="R434" s="72"/>
      <c r="S434" s="72"/>
      <c r="T434" s="72"/>
      <c r="U434" s="72"/>
      <c r="V434" s="72"/>
      <c r="W434" s="72"/>
      <c r="X434" s="72"/>
      <c r="Y434" s="72"/>
      <c r="Z434" s="72"/>
    </row>
    <row r="435" spans="1:26" ht="15.75" customHeight="1">
      <c r="A435" s="72"/>
      <c r="B435" s="72"/>
      <c r="C435" s="72"/>
      <c r="D435" s="72"/>
      <c r="E435" s="72"/>
      <c r="F435" s="72"/>
      <c r="G435" s="72"/>
      <c r="H435" s="72"/>
      <c r="I435" s="72"/>
      <c r="J435" s="72"/>
      <c r="K435" s="73"/>
      <c r="L435" s="74"/>
      <c r="M435" s="72"/>
      <c r="N435" s="72"/>
      <c r="O435" s="72"/>
      <c r="P435" s="72"/>
      <c r="Q435" s="72"/>
      <c r="R435" s="72"/>
      <c r="S435" s="72"/>
      <c r="T435" s="72"/>
      <c r="U435" s="72"/>
      <c r="V435" s="72"/>
      <c r="W435" s="72"/>
      <c r="X435" s="72"/>
      <c r="Y435" s="72"/>
      <c r="Z435" s="72"/>
    </row>
    <row r="436" spans="1:26" ht="15.75" customHeight="1">
      <c r="A436" s="72"/>
      <c r="B436" s="72"/>
      <c r="C436" s="72"/>
      <c r="D436" s="72"/>
      <c r="E436" s="72"/>
      <c r="F436" s="72"/>
      <c r="G436" s="72"/>
      <c r="H436" s="72"/>
      <c r="I436" s="72"/>
      <c r="J436" s="72"/>
      <c r="K436" s="73"/>
      <c r="L436" s="74"/>
      <c r="M436" s="72"/>
      <c r="N436" s="72"/>
      <c r="O436" s="72"/>
      <c r="P436" s="72"/>
      <c r="Q436" s="72"/>
      <c r="R436" s="72"/>
      <c r="S436" s="72"/>
      <c r="T436" s="72"/>
      <c r="U436" s="72"/>
      <c r="V436" s="72"/>
      <c r="W436" s="72"/>
      <c r="X436" s="72"/>
      <c r="Y436" s="72"/>
      <c r="Z436" s="72"/>
    </row>
    <row r="437" spans="1:26" ht="15.75" customHeight="1">
      <c r="A437" s="72"/>
      <c r="B437" s="72"/>
      <c r="C437" s="72"/>
      <c r="D437" s="72"/>
      <c r="E437" s="72"/>
      <c r="F437" s="72"/>
      <c r="G437" s="72"/>
      <c r="H437" s="72"/>
      <c r="I437" s="72"/>
      <c r="J437" s="72"/>
      <c r="K437" s="73"/>
      <c r="L437" s="74"/>
      <c r="M437" s="72"/>
      <c r="N437" s="72"/>
      <c r="O437" s="72"/>
      <c r="P437" s="72"/>
      <c r="Q437" s="72"/>
      <c r="R437" s="72"/>
      <c r="S437" s="72"/>
      <c r="T437" s="72"/>
      <c r="U437" s="72"/>
      <c r="V437" s="72"/>
      <c r="W437" s="72"/>
      <c r="X437" s="72"/>
      <c r="Y437" s="72"/>
      <c r="Z437" s="72"/>
    </row>
    <row r="438" spans="1:26" ht="15.75" customHeight="1">
      <c r="A438" s="72"/>
      <c r="B438" s="72"/>
      <c r="C438" s="72"/>
      <c r="D438" s="72"/>
      <c r="E438" s="72"/>
      <c r="F438" s="72"/>
      <c r="G438" s="72"/>
      <c r="H438" s="72"/>
      <c r="I438" s="72"/>
      <c r="J438" s="72"/>
      <c r="K438" s="73"/>
      <c r="L438" s="74"/>
      <c r="M438" s="72"/>
      <c r="N438" s="72"/>
      <c r="O438" s="72"/>
      <c r="P438" s="72"/>
      <c r="Q438" s="72"/>
      <c r="R438" s="72"/>
      <c r="S438" s="72"/>
      <c r="T438" s="72"/>
      <c r="U438" s="72"/>
      <c r="V438" s="72"/>
      <c r="W438" s="72"/>
      <c r="X438" s="72"/>
      <c r="Y438" s="72"/>
      <c r="Z438" s="72"/>
    </row>
    <row r="439" spans="1:26" ht="15.75" customHeight="1">
      <c r="A439" s="72"/>
      <c r="B439" s="72"/>
      <c r="C439" s="72"/>
      <c r="D439" s="72"/>
      <c r="E439" s="72"/>
      <c r="F439" s="72"/>
      <c r="G439" s="72"/>
      <c r="H439" s="72"/>
      <c r="I439" s="72"/>
      <c r="J439" s="72"/>
      <c r="K439" s="73"/>
      <c r="L439" s="74"/>
      <c r="M439" s="72"/>
      <c r="N439" s="72"/>
      <c r="O439" s="72"/>
      <c r="P439" s="72"/>
      <c r="Q439" s="72"/>
      <c r="R439" s="72"/>
      <c r="S439" s="72"/>
      <c r="T439" s="72"/>
      <c r="U439" s="72"/>
      <c r="V439" s="72"/>
      <c r="W439" s="72"/>
      <c r="X439" s="72"/>
      <c r="Y439" s="72"/>
      <c r="Z439" s="72"/>
    </row>
    <row r="440" spans="1:26" ht="15.75" customHeight="1">
      <c r="A440" s="72"/>
      <c r="B440" s="72"/>
      <c r="C440" s="72"/>
      <c r="D440" s="72"/>
      <c r="E440" s="72"/>
      <c r="F440" s="72"/>
      <c r="G440" s="72"/>
      <c r="H440" s="72"/>
      <c r="I440" s="72"/>
      <c r="J440" s="72"/>
      <c r="K440" s="73"/>
      <c r="L440" s="74"/>
      <c r="M440" s="72"/>
      <c r="N440" s="72"/>
      <c r="O440" s="72"/>
      <c r="P440" s="72"/>
      <c r="Q440" s="72"/>
      <c r="R440" s="72"/>
      <c r="S440" s="72"/>
      <c r="T440" s="72"/>
      <c r="U440" s="72"/>
      <c r="V440" s="72"/>
      <c r="W440" s="72"/>
      <c r="X440" s="72"/>
      <c r="Y440" s="72"/>
      <c r="Z440" s="72"/>
    </row>
    <row r="441" spans="1:26" ht="15.75" customHeight="1">
      <c r="A441" s="72"/>
      <c r="B441" s="72"/>
      <c r="C441" s="72"/>
      <c r="D441" s="72"/>
      <c r="E441" s="72"/>
      <c r="F441" s="72"/>
      <c r="G441" s="72"/>
      <c r="H441" s="72"/>
      <c r="I441" s="72"/>
      <c r="J441" s="72"/>
      <c r="K441" s="73"/>
      <c r="L441" s="74"/>
      <c r="M441" s="72"/>
      <c r="N441" s="72"/>
      <c r="O441" s="72"/>
      <c r="P441" s="72"/>
      <c r="Q441" s="72"/>
      <c r="R441" s="72"/>
      <c r="S441" s="72"/>
      <c r="T441" s="72"/>
      <c r="U441" s="72"/>
      <c r="V441" s="72"/>
      <c r="W441" s="72"/>
      <c r="X441" s="72"/>
      <c r="Y441" s="72"/>
      <c r="Z441" s="72"/>
    </row>
    <row r="442" spans="1:26" ht="15.75" customHeight="1">
      <c r="A442" s="72"/>
      <c r="B442" s="72"/>
      <c r="C442" s="72"/>
      <c r="D442" s="72"/>
      <c r="E442" s="72"/>
      <c r="F442" s="72"/>
      <c r="G442" s="72"/>
      <c r="H442" s="72"/>
      <c r="I442" s="72"/>
      <c r="J442" s="72"/>
      <c r="K442" s="73"/>
      <c r="L442" s="74"/>
      <c r="M442" s="72"/>
      <c r="N442" s="72"/>
      <c r="O442" s="72"/>
      <c r="P442" s="72"/>
      <c r="Q442" s="72"/>
      <c r="R442" s="72"/>
      <c r="S442" s="72"/>
      <c r="T442" s="72"/>
      <c r="U442" s="72"/>
      <c r="V442" s="72"/>
      <c r="W442" s="72"/>
      <c r="X442" s="72"/>
      <c r="Y442" s="72"/>
      <c r="Z442" s="72"/>
    </row>
    <row r="443" spans="1:26" ht="15.75" customHeight="1">
      <c r="A443" s="72"/>
      <c r="B443" s="72"/>
      <c r="C443" s="72"/>
      <c r="D443" s="72"/>
      <c r="E443" s="72"/>
      <c r="F443" s="72"/>
      <c r="G443" s="72"/>
      <c r="H443" s="72"/>
      <c r="I443" s="72"/>
      <c r="J443" s="72"/>
      <c r="K443" s="73"/>
      <c r="L443" s="74"/>
      <c r="M443" s="72"/>
      <c r="N443" s="72"/>
      <c r="O443" s="72"/>
      <c r="P443" s="72"/>
      <c r="Q443" s="72"/>
      <c r="R443" s="72"/>
      <c r="S443" s="72"/>
      <c r="T443" s="72"/>
      <c r="U443" s="72"/>
      <c r="V443" s="72"/>
      <c r="W443" s="72"/>
      <c r="X443" s="72"/>
      <c r="Y443" s="72"/>
      <c r="Z443" s="72"/>
    </row>
    <row r="444" spans="1:26" ht="15.75" customHeight="1">
      <c r="A444" s="72"/>
      <c r="B444" s="72"/>
      <c r="C444" s="72"/>
      <c r="D444" s="72"/>
      <c r="E444" s="72"/>
      <c r="F444" s="72"/>
      <c r="G444" s="72"/>
      <c r="H444" s="72"/>
      <c r="I444" s="72"/>
      <c r="J444" s="72"/>
      <c r="K444" s="73"/>
      <c r="L444" s="74"/>
      <c r="M444" s="72"/>
      <c r="N444" s="72"/>
      <c r="O444" s="72"/>
      <c r="P444" s="72"/>
      <c r="Q444" s="72"/>
      <c r="R444" s="72"/>
      <c r="S444" s="72"/>
      <c r="T444" s="72"/>
      <c r="U444" s="72"/>
      <c r="V444" s="72"/>
      <c r="W444" s="72"/>
      <c r="X444" s="72"/>
      <c r="Y444" s="72"/>
      <c r="Z444" s="72"/>
    </row>
    <row r="445" spans="1:26" ht="15.75" customHeight="1">
      <c r="A445" s="72"/>
      <c r="B445" s="72"/>
      <c r="C445" s="72"/>
      <c r="D445" s="72"/>
      <c r="E445" s="72"/>
      <c r="F445" s="72"/>
      <c r="G445" s="72"/>
      <c r="H445" s="72"/>
      <c r="I445" s="72"/>
      <c r="J445" s="72"/>
      <c r="K445" s="73"/>
      <c r="L445" s="74"/>
      <c r="M445" s="72"/>
      <c r="N445" s="72"/>
      <c r="O445" s="72"/>
      <c r="P445" s="72"/>
      <c r="Q445" s="72"/>
      <c r="R445" s="72"/>
      <c r="S445" s="72"/>
      <c r="T445" s="72"/>
      <c r="U445" s="72"/>
      <c r="V445" s="72"/>
      <c r="W445" s="72"/>
      <c r="X445" s="72"/>
      <c r="Y445" s="72"/>
      <c r="Z445" s="72"/>
    </row>
    <row r="446" spans="1:26" ht="15.75" customHeight="1">
      <c r="A446" s="72"/>
      <c r="B446" s="72"/>
      <c r="C446" s="72"/>
      <c r="D446" s="72"/>
      <c r="E446" s="72"/>
      <c r="F446" s="72"/>
      <c r="G446" s="72"/>
      <c r="H446" s="72"/>
      <c r="I446" s="72"/>
      <c r="J446" s="72"/>
      <c r="K446" s="73"/>
      <c r="L446" s="74"/>
      <c r="M446" s="72"/>
      <c r="N446" s="72"/>
      <c r="O446" s="72"/>
      <c r="P446" s="72"/>
      <c r="Q446" s="72"/>
      <c r="R446" s="72"/>
      <c r="S446" s="72"/>
      <c r="T446" s="72"/>
      <c r="U446" s="72"/>
      <c r="V446" s="72"/>
      <c r="W446" s="72"/>
      <c r="X446" s="72"/>
      <c r="Y446" s="72"/>
      <c r="Z446" s="72"/>
    </row>
    <row r="447" spans="1:26" ht="15.75" customHeight="1">
      <c r="A447" s="72"/>
      <c r="B447" s="72"/>
      <c r="C447" s="72"/>
      <c r="D447" s="72"/>
      <c r="E447" s="72"/>
      <c r="F447" s="72"/>
      <c r="G447" s="72"/>
      <c r="H447" s="72"/>
      <c r="I447" s="72"/>
      <c r="J447" s="72"/>
      <c r="K447" s="73"/>
      <c r="L447" s="74"/>
      <c r="M447" s="72"/>
      <c r="N447" s="72"/>
      <c r="O447" s="72"/>
      <c r="P447" s="72"/>
      <c r="Q447" s="72"/>
      <c r="R447" s="72"/>
      <c r="S447" s="72"/>
      <c r="T447" s="72"/>
      <c r="U447" s="72"/>
      <c r="V447" s="72"/>
      <c r="W447" s="72"/>
      <c r="X447" s="72"/>
      <c r="Y447" s="72"/>
      <c r="Z447" s="72"/>
    </row>
    <row r="448" spans="1:26" ht="15.75" customHeight="1">
      <c r="A448" s="72"/>
      <c r="B448" s="72"/>
      <c r="C448" s="72"/>
      <c r="D448" s="72"/>
      <c r="E448" s="72"/>
      <c r="F448" s="72"/>
      <c r="G448" s="72"/>
      <c r="H448" s="72"/>
      <c r="I448" s="72"/>
      <c r="J448" s="72"/>
      <c r="K448" s="73"/>
      <c r="L448" s="74"/>
      <c r="M448" s="72"/>
      <c r="N448" s="72"/>
      <c r="O448" s="72"/>
      <c r="P448" s="72"/>
      <c r="Q448" s="72"/>
      <c r="R448" s="72"/>
      <c r="S448" s="72"/>
      <c r="T448" s="72"/>
      <c r="U448" s="72"/>
      <c r="V448" s="72"/>
      <c r="W448" s="72"/>
      <c r="X448" s="72"/>
      <c r="Y448" s="72"/>
      <c r="Z448" s="72"/>
    </row>
    <row r="449" spans="1:26" ht="15.75" customHeight="1">
      <c r="A449" s="72"/>
      <c r="B449" s="72"/>
      <c r="C449" s="72"/>
      <c r="D449" s="72"/>
      <c r="E449" s="72"/>
      <c r="F449" s="72"/>
      <c r="G449" s="72"/>
      <c r="H449" s="72"/>
      <c r="I449" s="72"/>
      <c r="J449" s="72"/>
      <c r="K449" s="73"/>
      <c r="L449" s="74"/>
      <c r="M449" s="72"/>
      <c r="N449" s="72"/>
      <c r="O449" s="72"/>
      <c r="P449" s="72"/>
      <c r="Q449" s="72"/>
      <c r="R449" s="72"/>
      <c r="S449" s="72"/>
      <c r="T449" s="72"/>
      <c r="U449" s="72"/>
      <c r="V449" s="72"/>
      <c r="W449" s="72"/>
      <c r="X449" s="72"/>
      <c r="Y449" s="72"/>
      <c r="Z449" s="72"/>
    </row>
    <row r="450" spans="1:26" ht="15.75" customHeight="1">
      <c r="A450" s="72"/>
      <c r="B450" s="72"/>
      <c r="C450" s="72"/>
      <c r="D450" s="72"/>
      <c r="E450" s="72"/>
      <c r="F450" s="72"/>
      <c r="G450" s="72"/>
      <c r="H450" s="72"/>
      <c r="I450" s="72"/>
      <c r="J450" s="72"/>
      <c r="K450" s="73"/>
      <c r="L450" s="74"/>
      <c r="M450" s="72"/>
      <c r="N450" s="72"/>
      <c r="O450" s="72"/>
      <c r="P450" s="72"/>
      <c r="Q450" s="72"/>
      <c r="R450" s="72"/>
      <c r="S450" s="72"/>
      <c r="T450" s="72"/>
      <c r="U450" s="72"/>
      <c r="V450" s="72"/>
      <c r="W450" s="72"/>
      <c r="X450" s="72"/>
      <c r="Y450" s="72"/>
      <c r="Z450" s="72"/>
    </row>
    <row r="451" spans="1:26" ht="15.75" customHeight="1">
      <c r="A451" s="72"/>
      <c r="B451" s="72"/>
      <c r="C451" s="72"/>
      <c r="D451" s="72"/>
      <c r="E451" s="72"/>
      <c r="F451" s="72"/>
      <c r="G451" s="72"/>
      <c r="H451" s="72"/>
      <c r="I451" s="72"/>
      <c r="J451" s="72"/>
      <c r="K451" s="73"/>
      <c r="L451" s="74"/>
      <c r="M451" s="72"/>
      <c r="N451" s="72"/>
      <c r="O451" s="72"/>
      <c r="P451" s="72"/>
      <c r="Q451" s="72"/>
      <c r="R451" s="72"/>
      <c r="S451" s="72"/>
      <c r="T451" s="72"/>
      <c r="U451" s="72"/>
      <c r="V451" s="72"/>
      <c r="W451" s="72"/>
      <c r="X451" s="72"/>
      <c r="Y451" s="72"/>
      <c r="Z451" s="72"/>
    </row>
    <row r="452" spans="1:26" ht="15.75" customHeight="1">
      <c r="A452" s="72"/>
      <c r="B452" s="72"/>
      <c r="C452" s="72"/>
      <c r="D452" s="72"/>
      <c r="E452" s="72"/>
      <c r="F452" s="72"/>
      <c r="G452" s="72"/>
      <c r="H452" s="72"/>
      <c r="I452" s="72"/>
      <c r="J452" s="72"/>
      <c r="K452" s="73"/>
      <c r="L452" s="74"/>
      <c r="M452" s="72"/>
      <c r="N452" s="72"/>
      <c r="O452" s="72"/>
      <c r="P452" s="72"/>
      <c r="Q452" s="72"/>
      <c r="R452" s="72"/>
      <c r="S452" s="72"/>
      <c r="T452" s="72"/>
      <c r="U452" s="72"/>
      <c r="V452" s="72"/>
      <c r="W452" s="72"/>
      <c r="X452" s="72"/>
      <c r="Y452" s="72"/>
      <c r="Z452" s="72"/>
    </row>
    <row r="453" spans="1:26" ht="15.75" customHeight="1">
      <c r="A453" s="72"/>
      <c r="B453" s="72"/>
      <c r="C453" s="72"/>
      <c r="D453" s="72"/>
      <c r="E453" s="72"/>
      <c r="F453" s="72"/>
      <c r="G453" s="72"/>
      <c r="H453" s="72"/>
      <c r="I453" s="72"/>
      <c r="J453" s="72"/>
      <c r="K453" s="73"/>
      <c r="L453" s="74"/>
      <c r="M453" s="72"/>
      <c r="N453" s="72"/>
      <c r="O453" s="72"/>
      <c r="P453" s="72"/>
      <c r="Q453" s="72"/>
      <c r="R453" s="72"/>
      <c r="S453" s="72"/>
      <c r="T453" s="72"/>
      <c r="U453" s="72"/>
      <c r="V453" s="72"/>
      <c r="W453" s="72"/>
      <c r="X453" s="72"/>
      <c r="Y453" s="72"/>
      <c r="Z453" s="72"/>
    </row>
    <row r="454" spans="1:26" ht="15.75" customHeight="1">
      <c r="A454" s="72"/>
      <c r="B454" s="72"/>
      <c r="C454" s="72"/>
      <c r="D454" s="72"/>
      <c r="E454" s="72"/>
      <c r="F454" s="72"/>
      <c r="G454" s="72"/>
      <c r="H454" s="72"/>
      <c r="I454" s="72"/>
      <c r="J454" s="72"/>
      <c r="K454" s="73"/>
      <c r="L454" s="74"/>
      <c r="M454" s="72"/>
      <c r="N454" s="72"/>
      <c r="O454" s="72"/>
      <c r="P454" s="72"/>
      <c r="Q454" s="72"/>
      <c r="R454" s="72"/>
      <c r="S454" s="72"/>
      <c r="T454" s="72"/>
      <c r="U454" s="72"/>
      <c r="V454" s="72"/>
      <c r="W454" s="72"/>
      <c r="X454" s="72"/>
      <c r="Y454" s="72"/>
      <c r="Z454" s="72"/>
    </row>
    <row r="455" spans="1:26" ht="15.75" customHeight="1">
      <c r="A455" s="72"/>
      <c r="B455" s="72"/>
      <c r="C455" s="72"/>
      <c r="D455" s="72"/>
      <c r="E455" s="72"/>
      <c r="F455" s="72"/>
      <c r="G455" s="72"/>
      <c r="H455" s="72"/>
      <c r="I455" s="72"/>
      <c r="J455" s="72"/>
      <c r="K455" s="73"/>
      <c r="L455" s="74"/>
      <c r="M455" s="72"/>
      <c r="N455" s="72"/>
      <c r="O455" s="72"/>
      <c r="P455" s="72"/>
      <c r="Q455" s="72"/>
      <c r="R455" s="72"/>
      <c r="S455" s="72"/>
      <c r="T455" s="72"/>
      <c r="U455" s="72"/>
      <c r="V455" s="72"/>
      <c r="W455" s="72"/>
      <c r="X455" s="72"/>
      <c r="Y455" s="72"/>
      <c r="Z455" s="72"/>
    </row>
    <row r="456" spans="1:26" ht="15.75" customHeight="1">
      <c r="A456" s="72"/>
      <c r="B456" s="72"/>
      <c r="C456" s="72"/>
      <c r="D456" s="72"/>
      <c r="E456" s="72"/>
      <c r="F456" s="72"/>
      <c r="G456" s="72"/>
      <c r="H456" s="72"/>
      <c r="I456" s="72"/>
      <c r="J456" s="72"/>
      <c r="K456" s="73"/>
      <c r="L456" s="74"/>
      <c r="M456" s="72"/>
      <c r="N456" s="72"/>
      <c r="O456" s="72"/>
      <c r="P456" s="72"/>
      <c r="Q456" s="72"/>
      <c r="R456" s="72"/>
      <c r="S456" s="72"/>
      <c r="T456" s="72"/>
      <c r="U456" s="72"/>
      <c r="V456" s="72"/>
      <c r="W456" s="72"/>
      <c r="X456" s="72"/>
      <c r="Y456" s="72"/>
      <c r="Z456" s="72"/>
    </row>
    <row r="457" spans="1:26" ht="15.75" customHeight="1">
      <c r="A457" s="72"/>
      <c r="B457" s="72"/>
      <c r="C457" s="72"/>
      <c r="D457" s="72"/>
      <c r="E457" s="72"/>
      <c r="F457" s="72"/>
      <c r="G457" s="72"/>
      <c r="H457" s="72"/>
      <c r="I457" s="72"/>
      <c r="J457" s="72"/>
      <c r="K457" s="73"/>
      <c r="L457" s="74"/>
      <c r="M457" s="72"/>
      <c r="N457" s="72"/>
      <c r="O457" s="72"/>
      <c r="P457" s="72"/>
      <c r="Q457" s="72"/>
      <c r="R457" s="72"/>
      <c r="S457" s="72"/>
      <c r="T457" s="72"/>
      <c r="U457" s="72"/>
      <c r="V457" s="72"/>
      <c r="W457" s="72"/>
      <c r="X457" s="72"/>
      <c r="Y457" s="72"/>
      <c r="Z457" s="72"/>
    </row>
    <row r="458" spans="1:26" ht="15.75" customHeight="1">
      <c r="A458" s="72"/>
      <c r="B458" s="72"/>
      <c r="C458" s="72"/>
      <c r="D458" s="72"/>
      <c r="E458" s="72"/>
      <c r="F458" s="72"/>
      <c r="G458" s="72"/>
      <c r="H458" s="72"/>
      <c r="I458" s="72"/>
      <c r="J458" s="72"/>
      <c r="K458" s="73"/>
      <c r="L458" s="74"/>
      <c r="M458" s="72"/>
      <c r="N458" s="72"/>
      <c r="O458" s="72"/>
      <c r="P458" s="72"/>
      <c r="Q458" s="72"/>
      <c r="R458" s="72"/>
      <c r="S458" s="72"/>
      <c r="T458" s="72"/>
      <c r="U458" s="72"/>
      <c r="V458" s="72"/>
      <c r="W458" s="72"/>
      <c r="X458" s="72"/>
      <c r="Y458" s="72"/>
      <c r="Z458" s="72"/>
    </row>
    <row r="459" spans="1:26" ht="15.75" customHeight="1">
      <c r="A459" s="72"/>
      <c r="B459" s="72"/>
      <c r="C459" s="72"/>
      <c r="D459" s="72"/>
      <c r="E459" s="72"/>
      <c r="F459" s="72"/>
      <c r="G459" s="72"/>
      <c r="H459" s="72"/>
      <c r="I459" s="72"/>
      <c r="J459" s="72"/>
      <c r="K459" s="73"/>
      <c r="L459" s="74"/>
      <c r="M459" s="72"/>
      <c r="N459" s="72"/>
      <c r="O459" s="72"/>
      <c r="P459" s="72"/>
      <c r="Q459" s="72"/>
      <c r="R459" s="72"/>
      <c r="S459" s="72"/>
      <c r="T459" s="72"/>
      <c r="U459" s="72"/>
      <c r="V459" s="72"/>
      <c r="W459" s="72"/>
      <c r="X459" s="72"/>
      <c r="Y459" s="72"/>
      <c r="Z459" s="72"/>
    </row>
    <row r="460" spans="1:26" ht="15.75" customHeight="1">
      <c r="A460" s="72"/>
      <c r="B460" s="72"/>
      <c r="C460" s="72"/>
      <c r="D460" s="72"/>
      <c r="E460" s="72"/>
      <c r="F460" s="72"/>
      <c r="G460" s="72"/>
      <c r="H460" s="72"/>
      <c r="I460" s="72"/>
      <c r="J460" s="72"/>
      <c r="K460" s="73"/>
      <c r="L460" s="74"/>
      <c r="M460" s="72"/>
      <c r="N460" s="72"/>
      <c r="O460" s="72"/>
      <c r="P460" s="72"/>
      <c r="Q460" s="72"/>
      <c r="R460" s="72"/>
      <c r="S460" s="72"/>
      <c r="T460" s="72"/>
      <c r="U460" s="72"/>
      <c r="V460" s="72"/>
      <c r="W460" s="72"/>
      <c r="X460" s="72"/>
      <c r="Y460" s="72"/>
      <c r="Z460" s="72"/>
    </row>
    <row r="461" spans="1:26" ht="15.75" customHeight="1">
      <c r="A461" s="72"/>
      <c r="B461" s="72"/>
      <c r="C461" s="72"/>
      <c r="D461" s="72"/>
      <c r="E461" s="72"/>
      <c r="F461" s="72"/>
      <c r="G461" s="72"/>
      <c r="H461" s="72"/>
      <c r="I461" s="72"/>
      <c r="J461" s="72"/>
      <c r="K461" s="73"/>
      <c r="L461" s="74"/>
      <c r="M461" s="72"/>
      <c r="N461" s="72"/>
      <c r="O461" s="72"/>
      <c r="P461" s="72"/>
      <c r="Q461" s="72"/>
      <c r="R461" s="72"/>
      <c r="S461" s="72"/>
      <c r="T461" s="72"/>
      <c r="U461" s="72"/>
      <c r="V461" s="72"/>
      <c r="W461" s="72"/>
      <c r="X461" s="72"/>
      <c r="Y461" s="72"/>
      <c r="Z461" s="72"/>
    </row>
    <row r="462" spans="1:26" ht="15.75" customHeight="1">
      <c r="A462" s="72"/>
      <c r="B462" s="72"/>
      <c r="C462" s="72"/>
      <c r="D462" s="72"/>
      <c r="E462" s="72"/>
      <c r="F462" s="72"/>
      <c r="G462" s="72"/>
      <c r="H462" s="72"/>
      <c r="I462" s="72"/>
      <c r="J462" s="72"/>
      <c r="K462" s="73"/>
      <c r="L462" s="74"/>
      <c r="M462" s="72"/>
      <c r="N462" s="72"/>
      <c r="O462" s="72"/>
      <c r="P462" s="72"/>
      <c r="Q462" s="72"/>
      <c r="R462" s="72"/>
      <c r="S462" s="72"/>
      <c r="T462" s="72"/>
      <c r="U462" s="72"/>
      <c r="V462" s="72"/>
      <c r="W462" s="72"/>
      <c r="X462" s="72"/>
      <c r="Y462" s="72"/>
      <c r="Z462" s="72"/>
    </row>
    <row r="463" spans="1:26" ht="15.75" customHeight="1">
      <c r="A463" s="72"/>
      <c r="B463" s="72"/>
      <c r="C463" s="72"/>
      <c r="D463" s="72"/>
      <c r="E463" s="72"/>
      <c r="F463" s="72"/>
      <c r="G463" s="72"/>
      <c r="H463" s="72"/>
      <c r="I463" s="72"/>
      <c r="J463" s="72"/>
      <c r="K463" s="73"/>
      <c r="L463" s="74"/>
      <c r="M463" s="72"/>
      <c r="N463" s="72"/>
      <c r="O463" s="72"/>
      <c r="P463" s="72"/>
      <c r="Q463" s="72"/>
      <c r="R463" s="72"/>
      <c r="S463" s="72"/>
      <c r="T463" s="72"/>
      <c r="U463" s="72"/>
      <c r="V463" s="72"/>
      <c r="W463" s="72"/>
      <c r="X463" s="72"/>
      <c r="Y463" s="72"/>
      <c r="Z463" s="72"/>
    </row>
    <row r="464" spans="1:26" ht="15.75" customHeight="1">
      <c r="A464" s="72"/>
      <c r="B464" s="72"/>
      <c r="C464" s="72"/>
      <c r="D464" s="72"/>
      <c r="E464" s="72"/>
      <c r="F464" s="72"/>
      <c r="G464" s="72"/>
      <c r="H464" s="72"/>
      <c r="I464" s="72"/>
      <c r="J464" s="72"/>
      <c r="K464" s="73"/>
      <c r="L464" s="74"/>
      <c r="M464" s="72"/>
      <c r="N464" s="72"/>
      <c r="O464" s="72"/>
      <c r="P464" s="72"/>
      <c r="Q464" s="72"/>
      <c r="R464" s="72"/>
      <c r="S464" s="72"/>
      <c r="T464" s="72"/>
      <c r="U464" s="72"/>
      <c r="V464" s="72"/>
      <c r="W464" s="72"/>
      <c r="X464" s="72"/>
      <c r="Y464" s="72"/>
      <c r="Z464" s="72"/>
    </row>
    <row r="465" spans="1:26" ht="15.75" customHeight="1">
      <c r="A465" s="72"/>
      <c r="B465" s="72"/>
      <c r="C465" s="72"/>
      <c r="D465" s="72"/>
      <c r="E465" s="72"/>
      <c r="F465" s="72"/>
      <c r="G465" s="72"/>
      <c r="H465" s="72"/>
      <c r="I465" s="72"/>
      <c r="J465" s="72"/>
      <c r="K465" s="73"/>
      <c r="L465" s="74"/>
      <c r="M465" s="72"/>
      <c r="N465" s="72"/>
      <c r="O465" s="72"/>
      <c r="P465" s="72"/>
      <c r="Q465" s="72"/>
      <c r="R465" s="72"/>
      <c r="S465" s="72"/>
      <c r="T465" s="72"/>
      <c r="U465" s="72"/>
      <c r="V465" s="72"/>
      <c r="W465" s="72"/>
      <c r="X465" s="72"/>
      <c r="Y465" s="72"/>
      <c r="Z465" s="72"/>
    </row>
    <row r="466" spans="1:26" ht="15.75" customHeight="1">
      <c r="A466" s="72"/>
      <c r="B466" s="72"/>
      <c r="C466" s="72"/>
      <c r="D466" s="72"/>
      <c r="E466" s="72"/>
      <c r="F466" s="72"/>
      <c r="G466" s="72"/>
      <c r="H466" s="72"/>
      <c r="I466" s="72"/>
      <c r="J466" s="72"/>
      <c r="K466" s="73"/>
      <c r="L466" s="74"/>
      <c r="M466" s="72"/>
      <c r="N466" s="72"/>
      <c r="O466" s="72"/>
      <c r="P466" s="72"/>
      <c r="Q466" s="72"/>
      <c r="R466" s="72"/>
      <c r="S466" s="72"/>
      <c r="T466" s="72"/>
      <c r="U466" s="72"/>
      <c r="V466" s="72"/>
      <c r="W466" s="72"/>
      <c r="X466" s="72"/>
      <c r="Y466" s="72"/>
      <c r="Z466" s="72"/>
    </row>
    <row r="467" spans="1:26" ht="15.75" customHeight="1">
      <c r="A467" s="72"/>
      <c r="B467" s="72"/>
      <c r="C467" s="72"/>
      <c r="D467" s="72"/>
      <c r="E467" s="72"/>
      <c r="F467" s="72"/>
      <c r="G467" s="72"/>
      <c r="H467" s="72"/>
      <c r="I467" s="72"/>
      <c r="J467" s="72"/>
      <c r="K467" s="73"/>
      <c r="L467" s="74"/>
      <c r="M467" s="72"/>
      <c r="N467" s="72"/>
      <c r="O467" s="72"/>
      <c r="P467" s="72"/>
      <c r="Q467" s="72"/>
      <c r="R467" s="72"/>
      <c r="S467" s="72"/>
      <c r="T467" s="72"/>
      <c r="U467" s="72"/>
      <c r="V467" s="72"/>
      <c r="W467" s="72"/>
      <c r="X467" s="72"/>
      <c r="Y467" s="72"/>
      <c r="Z467" s="72"/>
    </row>
    <row r="468" spans="1:26" ht="15.75" customHeight="1">
      <c r="A468" s="72"/>
      <c r="B468" s="72"/>
      <c r="C468" s="72"/>
      <c r="D468" s="72"/>
      <c r="E468" s="72"/>
      <c r="F468" s="72"/>
      <c r="G468" s="72"/>
      <c r="H468" s="72"/>
      <c r="I468" s="72"/>
      <c r="J468" s="72"/>
      <c r="K468" s="73"/>
      <c r="L468" s="74"/>
      <c r="M468" s="72"/>
      <c r="N468" s="72"/>
      <c r="O468" s="72"/>
      <c r="P468" s="72"/>
      <c r="Q468" s="72"/>
      <c r="R468" s="72"/>
      <c r="S468" s="72"/>
      <c r="T468" s="72"/>
      <c r="U468" s="72"/>
      <c r="V468" s="72"/>
      <c r="W468" s="72"/>
      <c r="X468" s="72"/>
      <c r="Y468" s="72"/>
      <c r="Z468" s="72"/>
    </row>
    <row r="469" spans="1:26" ht="15.75" customHeight="1">
      <c r="A469" s="72"/>
      <c r="B469" s="72"/>
      <c r="C469" s="72"/>
      <c r="D469" s="72"/>
      <c r="E469" s="72"/>
      <c r="F469" s="72"/>
      <c r="G469" s="72"/>
      <c r="H469" s="72"/>
      <c r="I469" s="72"/>
      <c r="J469" s="72"/>
      <c r="K469" s="73"/>
      <c r="L469" s="74"/>
      <c r="M469" s="72"/>
      <c r="N469" s="72"/>
      <c r="O469" s="72"/>
      <c r="P469" s="72"/>
      <c r="Q469" s="72"/>
      <c r="R469" s="72"/>
      <c r="S469" s="72"/>
      <c r="T469" s="72"/>
      <c r="U469" s="72"/>
      <c r="V469" s="72"/>
      <c r="W469" s="72"/>
      <c r="X469" s="72"/>
      <c r="Y469" s="72"/>
      <c r="Z469" s="72"/>
    </row>
    <row r="470" spans="1:26" ht="15.75" customHeight="1">
      <c r="A470" s="72"/>
      <c r="B470" s="72"/>
      <c r="C470" s="72"/>
      <c r="D470" s="72"/>
      <c r="E470" s="72"/>
      <c r="F470" s="72"/>
      <c r="G470" s="72"/>
      <c r="H470" s="72"/>
      <c r="I470" s="72"/>
      <c r="J470" s="72"/>
      <c r="K470" s="73"/>
      <c r="L470" s="74"/>
      <c r="M470" s="72"/>
      <c r="N470" s="72"/>
      <c r="O470" s="72"/>
      <c r="P470" s="72"/>
      <c r="Q470" s="72"/>
      <c r="R470" s="72"/>
      <c r="S470" s="72"/>
      <c r="T470" s="72"/>
      <c r="U470" s="72"/>
      <c r="V470" s="72"/>
      <c r="W470" s="72"/>
      <c r="X470" s="72"/>
      <c r="Y470" s="72"/>
      <c r="Z470" s="72"/>
    </row>
    <row r="471" spans="1:26" ht="15.75" customHeight="1">
      <c r="A471" s="72"/>
      <c r="B471" s="72"/>
      <c r="C471" s="72"/>
      <c r="D471" s="72"/>
      <c r="E471" s="72"/>
      <c r="F471" s="72"/>
      <c r="G471" s="72"/>
      <c r="H471" s="72"/>
      <c r="I471" s="72"/>
      <c r="J471" s="72"/>
      <c r="K471" s="73"/>
      <c r="L471" s="74"/>
      <c r="M471" s="72"/>
      <c r="N471" s="72"/>
      <c r="O471" s="72"/>
      <c r="P471" s="72"/>
      <c r="Q471" s="72"/>
      <c r="R471" s="72"/>
      <c r="S471" s="72"/>
      <c r="T471" s="72"/>
      <c r="U471" s="72"/>
      <c r="V471" s="72"/>
      <c r="W471" s="72"/>
      <c r="X471" s="72"/>
      <c r="Y471" s="72"/>
      <c r="Z471" s="72"/>
    </row>
    <row r="472" spans="1:26" ht="15.75" customHeight="1">
      <c r="A472" s="72"/>
      <c r="B472" s="72"/>
      <c r="C472" s="72"/>
      <c r="D472" s="72"/>
      <c r="E472" s="72"/>
      <c r="F472" s="72"/>
      <c r="G472" s="72"/>
      <c r="H472" s="72"/>
      <c r="I472" s="72"/>
      <c r="J472" s="72"/>
      <c r="K472" s="73"/>
      <c r="L472" s="74"/>
      <c r="M472" s="72"/>
      <c r="N472" s="72"/>
      <c r="O472" s="72"/>
      <c r="P472" s="72"/>
      <c r="Q472" s="72"/>
      <c r="R472" s="72"/>
      <c r="S472" s="72"/>
      <c r="T472" s="72"/>
      <c r="U472" s="72"/>
      <c r="V472" s="72"/>
      <c r="W472" s="72"/>
      <c r="X472" s="72"/>
      <c r="Y472" s="72"/>
      <c r="Z472" s="72"/>
    </row>
    <row r="473" spans="1:26" ht="15.75" customHeight="1">
      <c r="A473" s="72"/>
      <c r="B473" s="72"/>
      <c r="C473" s="72"/>
      <c r="D473" s="72"/>
      <c r="E473" s="72"/>
      <c r="F473" s="72"/>
      <c r="G473" s="72"/>
      <c r="H473" s="72"/>
      <c r="I473" s="72"/>
      <c r="J473" s="72"/>
      <c r="K473" s="73"/>
      <c r="L473" s="74"/>
      <c r="M473" s="72"/>
      <c r="N473" s="72"/>
      <c r="O473" s="72"/>
      <c r="P473" s="72"/>
      <c r="Q473" s="72"/>
      <c r="R473" s="72"/>
      <c r="S473" s="72"/>
      <c r="T473" s="72"/>
      <c r="U473" s="72"/>
      <c r="V473" s="72"/>
      <c r="W473" s="72"/>
      <c r="X473" s="72"/>
      <c r="Y473" s="72"/>
      <c r="Z473" s="72"/>
    </row>
    <row r="474" spans="1:26" ht="15.75" customHeight="1">
      <c r="A474" s="72"/>
      <c r="B474" s="72"/>
      <c r="C474" s="72"/>
      <c r="D474" s="72"/>
      <c r="E474" s="72"/>
      <c r="F474" s="72"/>
      <c r="G474" s="72"/>
      <c r="H474" s="72"/>
      <c r="I474" s="72"/>
      <c r="J474" s="72"/>
      <c r="K474" s="73"/>
      <c r="L474" s="74"/>
      <c r="M474" s="72"/>
      <c r="N474" s="72"/>
      <c r="O474" s="72"/>
      <c r="P474" s="72"/>
      <c r="Q474" s="72"/>
      <c r="R474" s="72"/>
      <c r="S474" s="72"/>
      <c r="T474" s="72"/>
      <c r="U474" s="72"/>
      <c r="V474" s="72"/>
      <c r="W474" s="72"/>
      <c r="X474" s="72"/>
      <c r="Y474" s="72"/>
      <c r="Z474" s="72"/>
    </row>
    <row r="475" spans="1:26" ht="15.75" customHeight="1">
      <c r="A475" s="72"/>
      <c r="B475" s="72"/>
      <c r="C475" s="72"/>
      <c r="D475" s="72"/>
      <c r="E475" s="72"/>
      <c r="F475" s="72"/>
      <c r="G475" s="72"/>
      <c r="H475" s="72"/>
      <c r="I475" s="72"/>
      <c r="J475" s="72"/>
      <c r="K475" s="73"/>
      <c r="L475" s="74"/>
      <c r="M475" s="72"/>
      <c r="N475" s="72"/>
      <c r="O475" s="72"/>
      <c r="P475" s="72"/>
      <c r="Q475" s="72"/>
      <c r="R475" s="72"/>
      <c r="S475" s="72"/>
      <c r="T475" s="72"/>
      <c r="U475" s="72"/>
      <c r="V475" s="72"/>
      <c r="W475" s="72"/>
      <c r="X475" s="72"/>
      <c r="Y475" s="72"/>
      <c r="Z475" s="72"/>
    </row>
    <row r="476" spans="1:26" ht="15.75" customHeight="1">
      <c r="A476" s="72"/>
      <c r="B476" s="72"/>
      <c r="C476" s="72"/>
      <c r="D476" s="72"/>
      <c r="E476" s="72"/>
      <c r="F476" s="72"/>
      <c r="G476" s="72"/>
      <c r="H476" s="72"/>
      <c r="I476" s="72"/>
      <c r="J476" s="72"/>
      <c r="K476" s="73"/>
      <c r="L476" s="74"/>
      <c r="M476" s="72"/>
      <c r="N476" s="72"/>
      <c r="O476" s="72"/>
      <c r="P476" s="72"/>
      <c r="Q476" s="72"/>
      <c r="R476" s="72"/>
      <c r="S476" s="72"/>
      <c r="T476" s="72"/>
      <c r="U476" s="72"/>
      <c r="V476" s="72"/>
      <c r="W476" s="72"/>
      <c r="X476" s="72"/>
      <c r="Y476" s="72"/>
      <c r="Z476" s="72"/>
    </row>
    <row r="477" spans="1:26" ht="15.75" customHeight="1">
      <c r="A477" s="72"/>
      <c r="B477" s="72"/>
      <c r="C477" s="72"/>
      <c r="D477" s="72"/>
      <c r="E477" s="72"/>
      <c r="F477" s="72"/>
      <c r="G477" s="72"/>
      <c r="H477" s="72"/>
      <c r="I477" s="72"/>
      <c r="J477" s="72"/>
      <c r="K477" s="73"/>
      <c r="L477" s="74"/>
      <c r="M477" s="72"/>
      <c r="N477" s="72"/>
      <c r="O477" s="72"/>
      <c r="P477" s="72"/>
      <c r="Q477" s="72"/>
      <c r="R477" s="72"/>
      <c r="S477" s="72"/>
      <c r="T477" s="72"/>
      <c r="U477" s="72"/>
      <c r="V477" s="72"/>
      <c r="W477" s="72"/>
      <c r="X477" s="72"/>
      <c r="Y477" s="72"/>
      <c r="Z477" s="72"/>
    </row>
    <row r="478" spans="1:26" ht="15.75" customHeight="1">
      <c r="A478" s="72"/>
      <c r="B478" s="72"/>
      <c r="C478" s="72"/>
      <c r="D478" s="72"/>
      <c r="E478" s="72"/>
      <c r="F478" s="72"/>
      <c r="G478" s="72"/>
      <c r="H478" s="72"/>
      <c r="I478" s="72"/>
      <c r="J478" s="72"/>
      <c r="K478" s="73"/>
      <c r="L478" s="74"/>
      <c r="M478" s="72"/>
      <c r="N478" s="72"/>
      <c r="O478" s="72"/>
      <c r="P478" s="72"/>
      <c r="Q478" s="72"/>
      <c r="R478" s="72"/>
      <c r="S478" s="72"/>
      <c r="T478" s="72"/>
      <c r="U478" s="72"/>
      <c r="V478" s="72"/>
      <c r="W478" s="72"/>
      <c r="X478" s="72"/>
      <c r="Y478" s="72"/>
      <c r="Z478" s="72"/>
    </row>
    <row r="479" spans="1:26" ht="15.75" customHeight="1">
      <c r="A479" s="72"/>
      <c r="B479" s="72"/>
      <c r="C479" s="72"/>
      <c r="D479" s="72"/>
      <c r="E479" s="72"/>
      <c r="F479" s="72"/>
      <c r="G479" s="72"/>
      <c r="H479" s="72"/>
      <c r="I479" s="72"/>
      <c r="J479" s="72"/>
      <c r="K479" s="73"/>
      <c r="L479" s="74"/>
      <c r="M479" s="72"/>
      <c r="N479" s="72"/>
      <c r="O479" s="72"/>
      <c r="P479" s="72"/>
      <c r="Q479" s="72"/>
      <c r="R479" s="72"/>
      <c r="S479" s="72"/>
      <c r="T479" s="72"/>
      <c r="U479" s="72"/>
      <c r="V479" s="72"/>
      <c r="W479" s="72"/>
      <c r="X479" s="72"/>
      <c r="Y479" s="72"/>
      <c r="Z479" s="72"/>
    </row>
    <row r="480" spans="1:26" ht="15.75" customHeight="1">
      <c r="A480" s="72"/>
      <c r="B480" s="72"/>
      <c r="C480" s="72"/>
      <c r="D480" s="72"/>
      <c r="E480" s="72"/>
      <c r="F480" s="72"/>
      <c r="G480" s="72"/>
      <c r="H480" s="72"/>
      <c r="I480" s="72"/>
      <c r="J480" s="72"/>
      <c r="K480" s="73"/>
      <c r="L480" s="74"/>
      <c r="M480" s="72"/>
      <c r="N480" s="72"/>
      <c r="O480" s="72"/>
      <c r="P480" s="72"/>
      <c r="Q480" s="72"/>
      <c r="R480" s="72"/>
      <c r="S480" s="72"/>
      <c r="T480" s="72"/>
      <c r="U480" s="72"/>
      <c r="V480" s="72"/>
      <c r="W480" s="72"/>
      <c r="X480" s="72"/>
      <c r="Y480" s="72"/>
      <c r="Z480" s="72"/>
    </row>
    <row r="481" spans="1:26" ht="15.75" customHeight="1">
      <c r="A481" s="72"/>
      <c r="B481" s="72"/>
      <c r="C481" s="72"/>
      <c r="D481" s="72"/>
      <c r="E481" s="72"/>
      <c r="F481" s="72"/>
      <c r="G481" s="72"/>
      <c r="H481" s="72"/>
      <c r="I481" s="72"/>
      <c r="J481" s="72"/>
      <c r="K481" s="73"/>
      <c r="L481" s="74"/>
      <c r="M481" s="72"/>
      <c r="N481" s="72"/>
      <c r="O481" s="72"/>
      <c r="P481" s="72"/>
      <c r="Q481" s="72"/>
      <c r="R481" s="72"/>
      <c r="S481" s="72"/>
      <c r="T481" s="72"/>
      <c r="U481" s="72"/>
      <c r="V481" s="72"/>
      <c r="W481" s="72"/>
      <c r="X481" s="72"/>
      <c r="Y481" s="72"/>
      <c r="Z481" s="72"/>
    </row>
    <row r="482" spans="1:26" ht="15.75" customHeight="1">
      <c r="A482" s="72"/>
      <c r="B482" s="72"/>
      <c r="C482" s="72"/>
      <c r="D482" s="72"/>
      <c r="E482" s="72"/>
      <c r="F482" s="72"/>
      <c r="G482" s="72"/>
      <c r="H482" s="72"/>
      <c r="I482" s="72"/>
      <c r="J482" s="72"/>
      <c r="K482" s="73"/>
      <c r="L482" s="74"/>
      <c r="M482" s="72"/>
      <c r="N482" s="72"/>
      <c r="O482" s="72"/>
      <c r="P482" s="72"/>
      <c r="Q482" s="72"/>
      <c r="R482" s="72"/>
      <c r="S482" s="72"/>
      <c r="T482" s="72"/>
      <c r="U482" s="72"/>
      <c r="V482" s="72"/>
      <c r="W482" s="72"/>
      <c r="X482" s="72"/>
      <c r="Y482" s="72"/>
      <c r="Z482" s="72"/>
    </row>
    <row r="483" spans="1:26" ht="15.75" customHeight="1">
      <c r="A483" s="72"/>
      <c r="B483" s="72"/>
      <c r="C483" s="72"/>
      <c r="D483" s="72"/>
      <c r="E483" s="72"/>
      <c r="F483" s="72"/>
      <c r="G483" s="72"/>
      <c r="H483" s="72"/>
      <c r="I483" s="72"/>
      <c r="J483" s="72"/>
      <c r="K483" s="73"/>
      <c r="L483" s="74"/>
      <c r="M483" s="72"/>
      <c r="N483" s="72"/>
      <c r="O483" s="72"/>
      <c r="P483" s="72"/>
      <c r="Q483" s="72"/>
      <c r="R483" s="72"/>
      <c r="S483" s="72"/>
      <c r="T483" s="72"/>
      <c r="U483" s="72"/>
      <c r="V483" s="72"/>
      <c r="W483" s="72"/>
      <c r="X483" s="72"/>
      <c r="Y483" s="72"/>
      <c r="Z483" s="72"/>
    </row>
    <row r="484" spans="1:26" ht="15.75" customHeight="1">
      <c r="A484" s="72"/>
      <c r="B484" s="72"/>
      <c r="C484" s="72"/>
      <c r="D484" s="72"/>
      <c r="E484" s="72"/>
      <c r="F484" s="72"/>
      <c r="G484" s="72"/>
      <c r="H484" s="72"/>
      <c r="I484" s="72"/>
      <c r="J484" s="72"/>
      <c r="K484" s="73"/>
      <c r="L484" s="74"/>
      <c r="M484" s="72"/>
      <c r="N484" s="72"/>
      <c r="O484" s="72"/>
      <c r="P484" s="72"/>
      <c r="Q484" s="72"/>
      <c r="R484" s="72"/>
      <c r="S484" s="72"/>
      <c r="T484" s="72"/>
      <c r="U484" s="72"/>
      <c r="V484" s="72"/>
      <c r="W484" s="72"/>
      <c r="X484" s="72"/>
      <c r="Y484" s="72"/>
      <c r="Z484" s="72"/>
    </row>
    <row r="485" spans="1:26" ht="15.75" customHeight="1">
      <c r="A485" s="72"/>
      <c r="B485" s="72"/>
      <c r="C485" s="72"/>
      <c r="D485" s="72"/>
      <c r="E485" s="72"/>
      <c r="F485" s="72"/>
      <c r="G485" s="72"/>
      <c r="H485" s="72"/>
      <c r="I485" s="72"/>
      <c r="J485" s="72"/>
      <c r="K485" s="73"/>
      <c r="L485" s="74"/>
      <c r="M485" s="72"/>
      <c r="N485" s="72"/>
      <c r="O485" s="72"/>
      <c r="P485" s="72"/>
      <c r="Q485" s="72"/>
      <c r="R485" s="72"/>
      <c r="S485" s="72"/>
      <c r="T485" s="72"/>
      <c r="U485" s="72"/>
      <c r="V485" s="72"/>
      <c r="W485" s="72"/>
      <c r="X485" s="72"/>
      <c r="Y485" s="72"/>
      <c r="Z485" s="72"/>
    </row>
    <row r="486" spans="1:26" ht="15.75" customHeight="1">
      <c r="A486" s="72"/>
      <c r="B486" s="72"/>
      <c r="C486" s="72"/>
      <c r="D486" s="72"/>
      <c r="E486" s="72"/>
      <c r="F486" s="72"/>
      <c r="G486" s="72"/>
      <c r="H486" s="72"/>
      <c r="I486" s="72"/>
      <c r="J486" s="72"/>
      <c r="K486" s="73"/>
      <c r="L486" s="74"/>
      <c r="M486" s="72"/>
      <c r="N486" s="72"/>
      <c r="O486" s="72"/>
      <c r="P486" s="72"/>
      <c r="Q486" s="72"/>
      <c r="R486" s="72"/>
      <c r="S486" s="72"/>
      <c r="T486" s="72"/>
      <c r="U486" s="72"/>
      <c r="V486" s="72"/>
      <c r="W486" s="72"/>
      <c r="X486" s="72"/>
      <c r="Y486" s="72"/>
      <c r="Z486" s="72"/>
    </row>
    <row r="487" spans="1:26" ht="15.75" customHeight="1">
      <c r="A487" s="72"/>
      <c r="B487" s="72"/>
      <c r="C487" s="72"/>
      <c r="D487" s="72"/>
      <c r="E487" s="72"/>
      <c r="F487" s="72"/>
      <c r="G487" s="72"/>
      <c r="H487" s="72"/>
      <c r="I487" s="72"/>
      <c r="J487" s="72"/>
      <c r="K487" s="73"/>
      <c r="L487" s="74"/>
      <c r="M487" s="72"/>
      <c r="N487" s="72"/>
      <c r="O487" s="72"/>
      <c r="P487" s="72"/>
      <c r="Q487" s="72"/>
      <c r="R487" s="72"/>
      <c r="S487" s="72"/>
      <c r="T487" s="72"/>
      <c r="U487" s="72"/>
      <c r="V487" s="72"/>
      <c r="W487" s="72"/>
      <c r="X487" s="72"/>
      <c r="Y487" s="72"/>
      <c r="Z487" s="72"/>
    </row>
    <row r="488" spans="1:26" ht="15.75" customHeight="1">
      <c r="A488" s="72"/>
      <c r="B488" s="72"/>
      <c r="C488" s="72"/>
      <c r="D488" s="72"/>
      <c r="E488" s="72"/>
      <c r="F488" s="72"/>
      <c r="G488" s="72"/>
      <c r="H488" s="72"/>
      <c r="I488" s="72"/>
      <c r="J488" s="72"/>
      <c r="K488" s="73"/>
      <c r="L488" s="74"/>
      <c r="M488" s="72"/>
      <c r="N488" s="72"/>
      <c r="O488" s="72"/>
      <c r="P488" s="72"/>
      <c r="Q488" s="72"/>
      <c r="R488" s="72"/>
      <c r="S488" s="72"/>
      <c r="T488" s="72"/>
      <c r="U488" s="72"/>
      <c r="V488" s="72"/>
      <c r="W488" s="72"/>
      <c r="X488" s="72"/>
      <c r="Y488" s="72"/>
      <c r="Z488" s="72"/>
    </row>
    <row r="489" spans="1:26" ht="15.75" customHeight="1">
      <c r="A489" s="72"/>
      <c r="B489" s="72"/>
      <c r="C489" s="72"/>
      <c r="D489" s="72"/>
      <c r="E489" s="72"/>
      <c r="F489" s="72"/>
      <c r="G489" s="72"/>
      <c r="H489" s="72"/>
      <c r="I489" s="72"/>
      <c r="J489" s="72"/>
      <c r="K489" s="73"/>
      <c r="L489" s="74"/>
      <c r="M489" s="72"/>
      <c r="N489" s="72"/>
      <c r="O489" s="72"/>
      <c r="P489" s="72"/>
      <c r="Q489" s="72"/>
      <c r="R489" s="72"/>
      <c r="S489" s="72"/>
      <c r="T489" s="72"/>
      <c r="U489" s="72"/>
      <c r="V489" s="72"/>
      <c r="W489" s="72"/>
      <c r="X489" s="72"/>
      <c r="Y489" s="72"/>
      <c r="Z489" s="72"/>
    </row>
    <row r="490" spans="1:26" ht="15.75" customHeight="1">
      <c r="A490" s="72"/>
      <c r="B490" s="72"/>
      <c r="C490" s="72"/>
      <c r="D490" s="72"/>
      <c r="E490" s="72"/>
      <c r="F490" s="72"/>
      <c r="G490" s="72"/>
      <c r="H490" s="72"/>
      <c r="I490" s="72"/>
      <c r="J490" s="72"/>
      <c r="K490" s="73"/>
      <c r="L490" s="74"/>
      <c r="M490" s="72"/>
      <c r="N490" s="72"/>
      <c r="O490" s="72"/>
      <c r="P490" s="72"/>
      <c r="Q490" s="72"/>
      <c r="R490" s="72"/>
      <c r="S490" s="72"/>
      <c r="T490" s="72"/>
      <c r="U490" s="72"/>
      <c r="V490" s="72"/>
      <c r="W490" s="72"/>
      <c r="X490" s="72"/>
      <c r="Y490" s="72"/>
      <c r="Z490" s="72"/>
    </row>
    <row r="491" spans="1:26" ht="15.75" customHeight="1">
      <c r="A491" s="72"/>
      <c r="B491" s="72"/>
      <c r="C491" s="72"/>
      <c r="D491" s="72"/>
      <c r="E491" s="72"/>
      <c r="F491" s="72"/>
      <c r="G491" s="72"/>
      <c r="H491" s="72"/>
      <c r="I491" s="72"/>
      <c r="J491" s="72"/>
      <c r="K491" s="73"/>
      <c r="L491" s="74"/>
      <c r="M491" s="72"/>
      <c r="N491" s="72"/>
      <c r="O491" s="72"/>
      <c r="P491" s="72"/>
      <c r="Q491" s="72"/>
      <c r="R491" s="72"/>
      <c r="S491" s="72"/>
      <c r="T491" s="72"/>
      <c r="U491" s="72"/>
      <c r="V491" s="72"/>
      <c r="W491" s="72"/>
      <c r="X491" s="72"/>
      <c r="Y491" s="72"/>
      <c r="Z491" s="72"/>
    </row>
    <row r="492" spans="1:26" ht="15.75" customHeight="1">
      <c r="A492" s="72"/>
      <c r="B492" s="72"/>
      <c r="C492" s="72"/>
      <c r="D492" s="72"/>
      <c r="E492" s="72"/>
      <c r="F492" s="72"/>
      <c r="G492" s="72"/>
      <c r="H492" s="72"/>
      <c r="I492" s="72"/>
      <c r="J492" s="72"/>
      <c r="K492" s="73"/>
      <c r="L492" s="74"/>
      <c r="M492" s="72"/>
      <c r="N492" s="72"/>
      <c r="O492" s="72"/>
      <c r="P492" s="72"/>
      <c r="Q492" s="72"/>
      <c r="R492" s="72"/>
      <c r="S492" s="72"/>
      <c r="T492" s="72"/>
      <c r="U492" s="72"/>
      <c r="V492" s="72"/>
      <c r="W492" s="72"/>
      <c r="X492" s="72"/>
      <c r="Y492" s="72"/>
      <c r="Z492" s="72"/>
    </row>
    <row r="493" spans="1:26" ht="15.75" customHeight="1">
      <c r="A493" s="72"/>
      <c r="B493" s="72"/>
      <c r="C493" s="72"/>
      <c r="D493" s="72"/>
      <c r="E493" s="72"/>
      <c r="F493" s="72"/>
      <c r="G493" s="72"/>
      <c r="H493" s="72"/>
      <c r="I493" s="72"/>
      <c r="J493" s="72"/>
      <c r="K493" s="73"/>
      <c r="L493" s="74"/>
      <c r="M493" s="72"/>
      <c r="N493" s="72"/>
      <c r="O493" s="72"/>
      <c r="P493" s="72"/>
      <c r="Q493" s="72"/>
      <c r="R493" s="72"/>
      <c r="S493" s="72"/>
      <c r="T493" s="72"/>
      <c r="U493" s="72"/>
      <c r="V493" s="72"/>
      <c r="W493" s="72"/>
      <c r="X493" s="72"/>
      <c r="Y493" s="72"/>
      <c r="Z493" s="72"/>
    </row>
    <row r="494" spans="1:26" ht="15.75" customHeight="1">
      <c r="A494" s="72"/>
      <c r="B494" s="72"/>
      <c r="C494" s="72"/>
      <c r="D494" s="72"/>
      <c r="E494" s="72"/>
      <c r="F494" s="72"/>
      <c r="G494" s="72"/>
      <c r="H494" s="72"/>
      <c r="I494" s="72"/>
      <c r="J494" s="72"/>
      <c r="K494" s="73"/>
      <c r="L494" s="74"/>
      <c r="M494" s="72"/>
      <c r="N494" s="72"/>
      <c r="O494" s="72"/>
      <c r="P494" s="72"/>
      <c r="Q494" s="72"/>
      <c r="R494" s="72"/>
      <c r="S494" s="72"/>
      <c r="T494" s="72"/>
      <c r="U494" s="72"/>
      <c r="V494" s="72"/>
      <c r="W494" s="72"/>
      <c r="X494" s="72"/>
      <c r="Y494" s="72"/>
      <c r="Z494" s="72"/>
    </row>
    <row r="495" spans="1:26" ht="15.75" customHeight="1">
      <c r="A495" s="72"/>
      <c r="B495" s="72"/>
      <c r="C495" s="72"/>
      <c r="D495" s="72"/>
      <c r="E495" s="72"/>
      <c r="F495" s="72"/>
      <c r="G495" s="72"/>
      <c r="H495" s="72"/>
      <c r="I495" s="72"/>
      <c r="J495" s="72"/>
      <c r="K495" s="73"/>
      <c r="L495" s="74"/>
      <c r="M495" s="72"/>
      <c r="N495" s="72"/>
      <c r="O495" s="72"/>
      <c r="P495" s="72"/>
      <c r="Q495" s="72"/>
      <c r="R495" s="72"/>
      <c r="S495" s="72"/>
      <c r="T495" s="72"/>
      <c r="U495" s="72"/>
      <c r="V495" s="72"/>
      <c r="W495" s="72"/>
      <c r="X495" s="72"/>
      <c r="Y495" s="72"/>
      <c r="Z495" s="72"/>
    </row>
    <row r="496" spans="1:26" ht="15.75" customHeight="1">
      <c r="A496" s="72"/>
      <c r="B496" s="72"/>
      <c r="C496" s="72"/>
      <c r="D496" s="72"/>
      <c r="E496" s="72"/>
      <c r="F496" s="72"/>
      <c r="G496" s="72"/>
      <c r="H496" s="72"/>
      <c r="I496" s="72"/>
      <c r="J496" s="72"/>
      <c r="K496" s="73"/>
      <c r="L496" s="74"/>
      <c r="M496" s="72"/>
      <c r="N496" s="72"/>
      <c r="O496" s="72"/>
      <c r="P496" s="72"/>
      <c r="Q496" s="72"/>
      <c r="R496" s="72"/>
      <c r="S496" s="72"/>
      <c r="T496" s="72"/>
      <c r="U496" s="72"/>
      <c r="V496" s="72"/>
      <c r="W496" s="72"/>
      <c r="X496" s="72"/>
      <c r="Y496" s="72"/>
      <c r="Z496" s="72"/>
    </row>
    <row r="497" spans="1:26" ht="15.75" customHeight="1">
      <c r="A497" s="72"/>
      <c r="B497" s="72"/>
      <c r="C497" s="72"/>
      <c r="D497" s="72"/>
      <c r="E497" s="72"/>
      <c r="F497" s="72"/>
      <c r="G497" s="72"/>
      <c r="H497" s="72"/>
      <c r="I497" s="72"/>
      <c r="J497" s="72"/>
      <c r="K497" s="73"/>
      <c r="L497" s="74"/>
      <c r="M497" s="72"/>
      <c r="N497" s="72"/>
      <c r="O497" s="72"/>
      <c r="P497" s="72"/>
      <c r="Q497" s="72"/>
      <c r="R497" s="72"/>
      <c r="S497" s="72"/>
      <c r="T497" s="72"/>
      <c r="U497" s="72"/>
      <c r="V497" s="72"/>
      <c r="W497" s="72"/>
      <c r="X497" s="72"/>
      <c r="Y497" s="72"/>
      <c r="Z497" s="72"/>
    </row>
    <row r="498" spans="1:26" ht="15.75" customHeight="1">
      <c r="A498" s="72"/>
      <c r="B498" s="72"/>
      <c r="C498" s="72"/>
      <c r="D498" s="72"/>
      <c r="E498" s="72"/>
      <c r="F498" s="72"/>
      <c r="G498" s="72"/>
      <c r="H498" s="72"/>
      <c r="I498" s="72"/>
      <c r="J498" s="72"/>
      <c r="K498" s="73"/>
      <c r="L498" s="74"/>
      <c r="M498" s="72"/>
      <c r="N498" s="72"/>
      <c r="O498" s="72"/>
      <c r="P498" s="72"/>
      <c r="Q498" s="72"/>
      <c r="R498" s="72"/>
      <c r="S498" s="72"/>
      <c r="T498" s="72"/>
      <c r="U498" s="72"/>
      <c r="V498" s="72"/>
      <c r="W498" s="72"/>
      <c r="X498" s="72"/>
      <c r="Y498" s="72"/>
      <c r="Z498" s="72"/>
    </row>
    <row r="499" spans="1:26" ht="15.75" customHeight="1">
      <c r="A499" s="72"/>
      <c r="B499" s="72"/>
      <c r="C499" s="72"/>
      <c r="D499" s="72"/>
      <c r="E499" s="72"/>
      <c r="F499" s="72"/>
      <c r="G499" s="72"/>
      <c r="H499" s="72"/>
      <c r="I499" s="72"/>
      <c r="J499" s="72"/>
      <c r="K499" s="73"/>
      <c r="L499" s="74"/>
      <c r="M499" s="72"/>
      <c r="N499" s="72"/>
      <c r="O499" s="72"/>
      <c r="P499" s="72"/>
      <c r="Q499" s="72"/>
      <c r="R499" s="72"/>
      <c r="S499" s="72"/>
      <c r="T499" s="72"/>
      <c r="U499" s="72"/>
      <c r="V499" s="72"/>
      <c r="W499" s="72"/>
      <c r="X499" s="72"/>
      <c r="Y499" s="72"/>
      <c r="Z499" s="72"/>
    </row>
    <row r="500" spans="1:26" ht="15.75" customHeight="1">
      <c r="A500" s="72"/>
      <c r="B500" s="72"/>
      <c r="C500" s="72"/>
      <c r="D500" s="72"/>
      <c r="E500" s="72"/>
      <c r="F500" s="72"/>
      <c r="G500" s="72"/>
      <c r="H500" s="72"/>
      <c r="I500" s="72"/>
      <c r="J500" s="72"/>
      <c r="K500" s="73"/>
      <c r="L500" s="74"/>
      <c r="M500" s="72"/>
      <c r="N500" s="72"/>
      <c r="O500" s="72"/>
      <c r="P500" s="72"/>
      <c r="Q500" s="72"/>
      <c r="R500" s="72"/>
      <c r="S500" s="72"/>
      <c r="T500" s="72"/>
      <c r="U500" s="72"/>
      <c r="V500" s="72"/>
      <c r="W500" s="72"/>
      <c r="X500" s="72"/>
      <c r="Y500" s="72"/>
      <c r="Z500" s="72"/>
    </row>
    <row r="501" spans="1:26" ht="15.75" customHeight="1">
      <c r="A501" s="72"/>
      <c r="B501" s="72"/>
      <c r="C501" s="72"/>
      <c r="D501" s="72"/>
      <c r="E501" s="72"/>
      <c r="F501" s="72"/>
      <c r="G501" s="72"/>
      <c r="H501" s="72"/>
      <c r="I501" s="72"/>
      <c r="J501" s="72"/>
      <c r="K501" s="73"/>
      <c r="L501" s="74"/>
      <c r="M501" s="72"/>
      <c r="N501" s="72"/>
      <c r="O501" s="72"/>
      <c r="P501" s="72"/>
      <c r="Q501" s="72"/>
      <c r="R501" s="72"/>
      <c r="S501" s="72"/>
      <c r="T501" s="72"/>
      <c r="U501" s="72"/>
      <c r="V501" s="72"/>
      <c r="W501" s="72"/>
      <c r="X501" s="72"/>
      <c r="Y501" s="72"/>
      <c r="Z501" s="72"/>
    </row>
    <row r="502" spans="1:26" ht="15.75" customHeight="1">
      <c r="A502" s="72"/>
      <c r="B502" s="72"/>
      <c r="C502" s="72"/>
      <c r="D502" s="72"/>
      <c r="E502" s="72"/>
      <c r="F502" s="72"/>
      <c r="G502" s="72"/>
      <c r="H502" s="72"/>
      <c r="I502" s="72"/>
      <c r="J502" s="72"/>
      <c r="K502" s="73"/>
      <c r="L502" s="74"/>
      <c r="M502" s="72"/>
      <c r="N502" s="72"/>
      <c r="O502" s="72"/>
      <c r="P502" s="72"/>
      <c r="Q502" s="72"/>
      <c r="R502" s="72"/>
      <c r="S502" s="72"/>
      <c r="T502" s="72"/>
      <c r="U502" s="72"/>
      <c r="V502" s="72"/>
      <c r="W502" s="72"/>
      <c r="X502" s="72"/>
      <c r="Y502" s="72"/>
      <c r="Z502" s="72"/>
    </row>
    <row r="503" spans="1:26" ht="15.75" customHeight="1">
      <c r="A503" s="72"/>
      <c r="B503" s="72"/>
      <c r="C503" s="72"/>
      <c r="D503" s="72"/>
      <c r="E503" s="72"/>
      <c r="F503" s="72"/>
      <c r="G503" s="72"/>
      <c r="H503" s="72"/>
      <c r="I503" s="72"/>
      <c r="J503" s="72"/>
      <c r="K503" s="73"/>
      <c r="L503" s="74"/>
      <c r="M503" s="72"/>
      <c r="N503" s="72"/>
      <c r="O503" s="72"/>
      <c r="P503" s="72"/>
      <c r="Q503" s="72"/>
      <c r="R503" s="72"/>
      <c r="S503" s="72"/>
      <c r="T503" s="72"/>
      <c r="U503" s="72"/>
      <c r="V503" s="72"/>
      <c r="W503" s="72"/>
      <c r="X503" s="72"/>
      <c r="Y503" s="72"/>
      <c r="Z503" s="72"/>
    </row>
    <row r="504" spans="1:26" ht="15.75" customHeight="1">
      <c r="A504" s="72"/>
      <c r="B504" s="72"/>
      <c r="C504" s="72"/>
      <c r="D504" s="72"/>
      <c r="E504" s="72"/>
      <c r="F504" s="72"/>
      <c r="G504" s="72"/>
      <c r="H504" s="72"/>
      <c r="I504" s="72"/>
      <c r="J504" s="72"/>
      <c r="K504" s="73"/>
      <c r="L504" s="74"/>
      <c r="M504" s="72"/>
      <c r="N504" s="72"/>
      <c r="O504" s="72"/>
      <c r="P504" s="72"/>
      <c r="Q504" s="72"/>
      <c r="R504" s="72"/>
      <c r="S504" s="72"/>
      <c r="T504" s="72"/>
      <c r="U504" s="72"/>
      <c r="V504" s="72"/>
      <c r="W504" s="72"/>
      <c r="X504" s="72"/>
      <c r="Y504" s="72"/>
      <c r="Z504" s="72"/>
    </row>
    <row r="505" spans="1:26" ht="15.75" customHeight="1">
      <c r="A505" s="72"/>
      <c r="B505" s="72"/>
      <c r="C505" s="72"/>
      <c r="D505" s="72"/>
      <c r="E505" s="72"/>
      <c r="F505" s="72"/>
      <c r="G505" s="72"/>
      <c r="H505" s="72"/>
      <c r="I505" s="72"/>
      <c r="J505" s="72"/>
      <c r="K505" s="73"/>
      <c r="L505" s="74"/>
      <c r="M505" s="72"/>
      <c r="N505" s="72"/>
      <c r="O505" s="72"/>
      <c r="P505" s="72"/>
      <c r="Q505" s="72"/>
      <c r="R505" s="72"/>
      <c r="S505" s="72"/>
      <c r="T505" s="72"/>
      <c r="U505" s="72"/>
      <c r="V505" s="72"/>
      <c r="W505" s="72"/>
      <c r="X505" s="72"/>
      <c r="Y505" s="72"/>
      <c r="Z505" s="72"/>
    </row>
    <row r="506" spans="1:26" ht="15.75" customHeight="1">
      <c r="A506" s="72"/>
      <c r="B506" s="72"/>
      <c r="C506" s="72"/>
      <c r="D506" s="72"/>
      <c r="E506" s="72"/>
      <c r="F506" s="72"/>
      <c r="G506" s="72"/>
      <c r="H506" s="72"/>
      <c r="I506" s="72"/>
      <c r="J506" s="72"/>
      <c r="K506" s="73"/>
      <c r="L506" s="74"/>
      <c r="M506" s="72"/>
      <c r="N506" s="72"/>
      <c r="O506" s="72"/>
      <c r="P506" s="72"/>
      <c r="Q506" s="72"/>
      <c r="R506" s="72"/>
      <c r="S506" s="72"/>
      <c r="T506" s="72"/>
      <c r="U506" s="72"/>
      <c r="V506" s="72"/>
      <c r="W506" s="72"/>
      <c r="X506" s="72"/>
      <c r="Y506" s="72"/>
      <c r="Z506" s="72"/>
    </row>
    <row r="507" spans="1:26" ht="15.75" customHeight="1">
      <c r="A507" s="72"/>
      <c r="B507" s="72"/>
      <c r="C507" s="72"/>
      <c r="D507" s="72"/>
      <c r="E507" s="72"/>
      <c r="F507" s="72"/>
      <c r="G507" s="72"/>
      <c r="H507" s="72"/>
      <c r="I507" s="72"/>
      <c r="J507" s="72"/>
      <c r="K507" s="73"/>
      <c r="L507" s="74"/>
      <c r="M507" s="72"/>
      <c r="N507" s="72"/>
      <c r="O507" s="72"/>
      <c r="P507" s="72"/>
      <c r="Q507" s="72"/>
      <c r="R507" s="72"/>
      <c r="S507" s="72"/>
      <c r="T507" s="72"/>
      <c r="U507" s="72"/>
      <c r="V507" s="72"/>
      <c r="W507" s="72"/>
      <c r="X507" s="72"/>
      <c r="Y507" s="72"/>
      <c r="Z507" s="72"/>
    </row>
    <row r="508" spans="1:26" ht="15.75" customHeight="1">
      <c r="A508" s="72"/>
      <c r="B508" s="72"/>
      <c r="C508" s="72"/>
      <c r="D508" s="72"/>
      <c r="E508" s="72"/>
      <c r="F508" s="72"/>
      <c r="G508" s="72"/>
      <c r="H508" s="72"/>
      <c r="I508" s="72"/>
      <c r="J508" s="72"/>
      <c r="K508" s="73"/>
      <c r="L508" s="74"/>
      <c r="M508" s="72"/>
      <c r="N508" s="72"/>
      <c r="O508" s="72"/>
      <c r="P508" s="72"/>
      <c r="Q508" s="72"/>
      <c r="R508" s="72"/>
      <c r="S508" s="72"/>
      <c r="T508" s="72"/>
      <c r="U508" s="72"/>
      <c r="V508" s="72"/>
      <c r="W508" s="72"/>
      <c r="X508" s="72"/>
      <c r="Y508" s="72"/>
      <c r="Z508" s="72"/>
    </row>
    <row r="509" spans="1:26" ht="15.75" customHeight="1">
      <c r="A509" s="72"/>
      <c r="B509" s="72"/>
      <c r="C509" s="72"/>
      <c r="D509" s="72"/>
      <c r="E509" s="72"/>
      <c r="F509" s="72"/>
      <c r="G509" s="72"/>
      <c r="H509" s="72"/>
      <c r="I509" s="72"/>
      <c r="J509" s="72"/>
      <c r="K509" s="73"/>
      <c r="L509" s="74"/>
      <c r="M509" s="72"/>
      <c r="N509" s="72"/>
      <c r="O509" s="72"/>
      <c r="P509" s="72"/>
      <c r="Q509" s="72"/>
      <c r="R509" s="72"/>
      <c r="S509" s="72"/>
      <c r="T509" s="72"/>
      <c r="U509" s="72"/>
      <c r="V509" s="72"/>
      <c r="W509" s="72"/>
      <c r="X509" s="72"/>
      <c r="Y509" s="72"/>
      <c r="Z509" s="72"/>
    </row>
    <row r="510" spans="1:26" ht="15.75" customHeight="1">
      <c r="A510" s="72"/>
      <c r="B510" s="72"/>
      <c r="C510" s="72"/>
      <c r="D510" s="72"/>
      <c r="E510" s="72"/>
      <c r="F510" s="72"/>
      <c r="G510" s="72"/>
      <c r="H510" s="72"/>
      <c r="I510" s="72"/>
      <c r="J510" s="72"/>
      <c r="K510" s="73"/>
      <c r="L510" s="74"/>
      <c r="M510" s="72"/>
      <c r="N510" s="72"/>
      <c r="O510" s="72"/>
      <c r="P510" s="72"/>
      <c r="Q510" s="72"/>
      <c r="R510" s="72"/>
      <c r="S510" s="72"/>
      <c r="T510" s="72"/>
      <c r="U510" s="72"/>
      <c r="V510" s="72"/>
      <c r="W510" s="72"/>
      <c r="X510" s="72"/>
      <c r="Y510" s="72"/>
      <c r="Z510" s="72"/>
    </row>
    <row r="511" spans="1:26" ht="15.75" customHeight="1">
      <c r="A511" s="72"/>
      <c r="B511" s="72"/>
      <c r="C511" s="72"/>
      <c r="D511" s="72"/>
      <c r="E511" s="72"/>
      <c r="F511" s="72"/>
      <c r="G511" s="72"/>
      <c r="H511" s="72"/>
      <c r="I511" s="72"/>
      <c r="J511" s="72"/>
      <c r="K511" s="73"/>
      <c r="L511" s="74"/>
      <c r="M511" s="72"/>
      <c r="N511" s="72"/>
      <c r="O511" s="72"/>
      <c r="P511" s="72"/>
      <c r="Q511" s="72"/>
      <c r="R511" s="72"/>
      <c r="S511" s="72"/>
      <c r="T511" s="72"/>
      <c r="U511" s="72"/>
      <c r="V511" s="72"/>
      <c r="W511" s="72"/>
      <c r="X511" s="72"/>
      <c r="Y511" s="72"/>
      <c r="Z511" s="72"/>
    </row>
    <row r="512" spans="1:26" ht="15.75" customHeight="1">
      <c r="A512" s="72"/>
      <c r="B512" s="72"/>
      <c r="C512" s="72"/>
      <c r="D512" s="72"/>
      <c r="E512" s="72"/>
      <c r="F512" s="72"/>
      <c r="G512" s="72"/>
      <c r="H512" s="72"/>
      <c r="I512" s="72"/>
      <c r="J512" s="72"/>
      <c r="K512" s="73"/>
      <c r="L512" s="74"/>
      <c r="M512" s="72"/>
      <c r="N512" s="72"/>
      <c r="O512" s="72"/>
      <c r="P512" s="72"/>
      <c r="Q512" s="72"/>
      <c r="R512" s="72"/>
      <c r="S512" s="72"/>
      <c r="T512" s="72"/>
      <c r="U512" s="72"/>
      <c r="V512" s="72"/>
      <c r="W512" s="72"/>
      <c r="X512" s="72"/>
      <c r="Y512" s="72"/>
      <c r="Z512" s="72"/>
    </row>
    <row r="513" spans="1:26" ht="15.75" customHeight="1">
      <c r="A513" s="72"/>
      <c r="B513" s="72"/>
      <c r="C513" s="72"/>
      <c r="D513" s="72"/>
      <c r="E513" s="72"/>
      <c r="F513" s="72"/>
      <c r="G513" s="72"/>
      <c r="H513" s="72"/>
      <c r="I513" s="72"/>
      <c r="J513" s="72"/>
      <c r="K513" s="73"/>
      <c r="L513" s="74"/>
      <c r="M513" s="72"/>
      <c r="N513" s="72"/>
      <c r="O513" s="72"/>
      <c r="P513" s="72"/>
      <c r="Q513" s="72"/>
      <c r="R513" s="72"/>
      <c r="S513" s="72"/>
      <c r="T513" s="72"/>
      <c r="U513" s="72"/>
      <c r="V513" s="72"/>
      <c r="W513" s="72"/>
      <c r="X513" s="72"/>
      <c r="Y513" s="72"/>
      <c r="Z513" s="72"/>
    </row>
    <row r="514" spans="1:26" ht="15.75" customHeight="1">
      <c r="A514" s="72"/>
      <c r="B514" s="72"/>
      <c r="C514" s="72"/>
      <c r="D514" s="72"/>
      <c r="E514" s="72"/>
      <c r="F514" s="72"/>
      <c r="G514" s="72"/>
      <c r="H514" s="72"/>
      <c r="I514" s="72"/>
      <c r="J514" s="72"/>
      <c r="K514" s="73"/>
      <c r="L514" s="74"/>
      <c r="M514" s="72"/>
      <c r="N514" s="72"/>
      <c r="O514" s="72"/>
      <c r="P514" s="72"/>
      <c r="Q514" s="72"/>
      <c r="R514" s="72"/>
      <c r="S514" s="72"/>
      <c r="T514" s="72"/>
      <c r="U514" s="72"/>
      <c r="V514" s="72"/>
      <c r="W514" s="72"/>
      <c r="X514" s="72"/>
      <c r="Y514" s="72"/>
      <c r="Z514" s="72"/>
    </row>
    <row r="515" spans="1:26" ht="15.75" customHeight="1">
      <c r="A515" s="72"/>
      <c r="B515" s="72"/>
      <c r="C515" s="72"/>
      <c r="D515" s="72"/>
      <c r="E515" s="72"/>
      <c r="F515" s="72"/>
      <c r="G515" s="72"/>
      <c r="H515" s="72"/>
      <c r="I515" s="72"/>
      <c r="J515" s="72"/>
      <c r="K515" s="73"/>
      <c r="L515" s="74"/>
      <c r="M515" s="72"/>
      <c r="N515" s="72"/>
      <c r="O515" s="72"/>
      <c r="P515" s="72"/>
      <c r="Q515" s="72"/>
      <c r="R515" s="72"/>
      <c r="S515" s="72"/>
      <c r="T515" s="72"/>
      <c r="U515" s="72"/>
      <c r="V515" s="72"/>
      <c r="W515" s="72"/>
      <c r="X515" s="72"/>
      <c r="Y515" s="72"/>
      <c r="Z515" s="72"/>
    </row>
    <row r="516" spans="1:26" ht="15.75" customHeight="1">
      <c r="A516" s="72"/>
      <c r="B516" s="72"/>
      <c r="C516" s="72"/>
      <c r="D516" s="72"/>
      <c r="E516" s="72"/>
      <c r="F516" s="72"/>
      <c r="G516" s="72"/>
      <c r="H516" s="72"/>
      <c r="I516" s="72"/>
      <c r="J516" s="72"/>
      <c r="K516" s="73"/>
      <c r="L516" s="74"/>
      <c r="M516" s="72"/>
      <c r="N516" s="72"/>
      <c r="O516" s="72"/>
      <c r="P516" s="72"/>
      <c r="Q516" s="72"/>
      <c r="R516" s="72"/>
      <c r="S516" s="72"/>
      <c r="T516" s="72"/>
      <c r="U516" s="72"/>
      <c r="V516" s="72"/>
      <c r="W516" s="72"/>
      <c r="X516" s="72"/>
      <c r="Y516" s="72"/>
      <c r="Z516" s="72"/>
    </row>
    <row r="517" spans="1:26" ht="15.75" customHeight="1">
      <c r="A517" s="72"/>
      <c r="B517" s="72"/>
      <c r="C517" s="72"/>
      <c r="D517" s="72"/>
      <c r="E517" s="72"/>
      <c r="F517" s="72"/>
      <c r="G517" s="72"/>
      <c r="H517" s="72"/>
      <c r="I517" s="72"/>
      <c r="J517" s="72"/>
      <c r="K517" s="73"/>
      <c r="L517" s="74"/>
      <c r="M517" s="72"/>
      <c r="N517" s="72"/>
      <c r="O517" s="72"/>
      <c r="P517" s="72"/>
      <c r="Q517" s="72"/>
      <c r="R517" s="72"/>
      <c r="S517" s="72"/>
      <c r="T517" s="72"/>
      <c r="U517" s="72"/>
      <c r="V517" s="72"/>
      <c r="W517" s="72"/>
      <c r="X517" s="72"/>
      <c r="Y517" s="72"/>
      <c r="Z517" s="72"/>
    </row>
    <row r="518" spans="1:26" ht="15.75" customHeight="1">
      <c r="A518" s="72"/>
      <c r="B518" s="72"/>
      <c r="C518" s="72"/>
      <c r="D518" s="72"/>
      <c r="E518" s="72"/>
      <c r="F518" s="72"/>
      <c r="G518" s="72"/>
      <c r="H518" s="72"/>
      <c r="I518" s="72"/>
      <c r="J518" s="72"/>
      <c r="K518" s="73"/>
      <c r="L518" s="74"/>
      <c r="M518" s="72"/>
      <c r="N518" s="72"/>
      <c r="O518" s="72"/>
      <c r="P518" s="72"/>
      <c r="Q518" s="72"/>
      <c r="R518" s="72"/>
      <c r="S518" s="72"/>
      <c r="T518" s="72"/>
      <c r="U518" s="72"/>
      <c r="V518" s="72"/>
      <c r="W518" s="72"/>
      <c r="X518" s="72"/>
      <c r="Y518" s="72"/>
      <c r="Z518" s="72"/>
    </row>
    <row r="519" spans="1:26" ht="15.75" customHeight="1">
      <c r="A519" s="72"/>
      <c r="B519" s="72"/>
      <c r="C519" s="72"/>
      <c r="D519" s="72"/>
      <c r="E519" s="72"/>
      <c r="F519" s="72"/>
      <c r="G519" s="72"/>
      <c r="H519" s="72"/>
      <c r="I519" s="72"/>
      <c r="J519" s="72"/>
      <c r="K519" s="73"/>
      <c r="L519" s="74"/>
      <c r="M519" s="72"/>
      <c r="N519" s="72"/>
      <c r="O519" s="72"/>
      <c r="P519" s="72"/>
      <c r="Q519" s="72"/>
      <c r="R519" s="72"/>
      <c r="S519" s="72"/>
      <c r="T519" s="72"/>
      <c r="U519" s="72"/>
      <c r="V519" s="72"/>
      <c r="W519" s="72"/>
      <c r="X519" s="72"/>
      <c r="Y519" s="72"/>
      <c r="Z519" s="72"/>
    </row>
    <row r="520" spans="1:26" ht="15.75" customHeight="1">
      <c r="A520" s="72"/>
      <c r="B520" s="72"/>
      <c r="C520" s="72"/>
      <c r="D520" s="72"/>
      <c r="E520" s="72"/>
      <c r="F520" s="72"/>
      <c r="G520" s="72"/>
      <c r="H520" s="72"/>
      <c r="I520" s="72"/>
      <c r="J520" s="72"/>
      <c r="K520" s="73"/>
      <c r="L520" s="74"/>
      <c r="M520" s="72"/>
      <c r="N520" s="72"/>
      <c r="O520" s="72"/>
      <c r="P520" s="72"/>
      <c r="Q520" s="72"/>
      <c r="R520" s="72"/>
      <c r="S520" s="72"/>
      <c r="T520" s="72"/>
      <c r="U520" s="72"/>
      <c r="V520" s="72"/>
      <c r="W520" s="72"/>
      <c r="X520" s="72"/>
      <c r="Y520" s="72"/>
      <c r="Z520" s="72"/>
    </row>
    <row r="521" spans="1:26" ht="15.75" customHeight="1">
      <c r="A521" s="72"/>
      <c r="B521" s="72"/>
      <c r="C521" s="72"/>
      <c r="D521" s="72"/>
      <c r="E521" s="72"/>
      <c r="F521" s="72"/>
      <c r="G521" s="72"/>
      <c r="H521" s="72"/>
      <c r="I521" s="72"/>
      <c r="J521" s="72"/>
      <c r="K521" s="73"/>
      <c r="L521" s="74"/>
      <c r="M521" s="72"/>
      <c r="N521" s="72"/>
      <c r="O521" s="72"/>
      <c r="P521" s="72"/>
      <c r="Q521" s="72"/>
      <c r="R521" s="72"/>
      <c r="S521" s="72"/>
      <c r="T521" s="72"/>
      <c r="U521" s="72"/>
      <c r="V521" s="72"/>
      <c r="W521" s="72"/>
      <c r="X521" s="72"/>
      <c r="Y521" s="72"/>
      <c r="Z521" s="72"/>
    </row>
    <row r="522" spans="1:26" ht="15.75" customHeight="1">
      <c r="A522" s="72"/>
      <c r="B522" s="72"/>
      <c r="C522" s="72"/>
      <c r="D522" s="72"/>
      <c r="E522" s="72"/>
      <c r="F522" s="72"/>
      <c r="G522" s="72"/>
      <c r="H522" s="72"/>
      <c r="I522" s="72"/>
      <c r="J522" s="72"/>
      <c r="K522" s="73"/>
      <c r="L522" s="74"/>
      <c r="M522" s="72"/>
      <c r="N522" s="72"/>
      <c r="O522" s="72"/>
      <c r="P522" s="72"/>
      <c r="Q522" s="72"/>
      <c r="R522" s="72"/>
      <c r="S522" s="72"/>
      <c r="T522" s="72"/>
      <c r="U522" s="72"/>
      <c r="V522" s="72"/>
      <c r="W522" s="72"/>
      <c r="X522" s="72"/>
      <c r="Y522" s="72"/>
      <c r="Z522" s="72"/>
    </row>
    <row r="523" spans="1:26" ht="15.75" customHeight="1">
      <c r="A523" s="72"/>
      <c r="B523" s="72"/>
      <c r="C523" s="72"/>
      <c r="D523" s="72"/>
      <c r="E523" s="72"/>
      <c r="F523" s="72"/>
      <c r="G523" s="72"/>
      <c r="H523" s="72"/>
      <c r="I523" s="72"/>
      <c r="J523" s="72"/>
      <c r="K523" s="73"/>
      <c r="L523" s="74"/>
      <c r="M523" s="72"/>
      <c r="N523" s="72"/>
      <c r="O523" s="72"/>
      <c r="P523" s="72"/>
      <c r="Q523" s="72"/>
      <c r="R523" s="72"/>
      <c r="S523" s="72"/>
      <c r="T523" s="72"/>
      <c r="U523" s="72"/>
      <c r="V523" s="72"/>
      <c r="W523" s="72"/>
      <c r="X523" s="72"/>
      <c r="Y523" s="72"/>
      <c r="Z523" s="72"/>
    </row>
    <row r="524" spans="1:26" ht="15.75" customHeight="1">
      <c r="A524" s="72"/>
      <c r="B524" s="72"/>
      <c r="C524" s="72"/>
      <c r="D524" s="72"/>
      <c r="E524" s="72"/>
      <c r="F524" s="72"/>
      <c r="G524" s="72"/>
      <c r="H524" s="72"/>
      <c r="I524" s="72"/>
      <c r="J524" s="72"/>
      <c r="K524" s="73"/>
      <c r="L524" s="74"/>
      <c r="M524" s="72"/>
      <c r="N524" s="72"/>
      <c r="O524" s="72"/>
      <c r="P524" s="72"/>
      <c r="Q524" s="72"/>
      <c r="R524" s="72"/>
      <c r="S524" s="72"/>
      <c r="T524" s="72"/>
      <c r="U524" s="72"/>
      <c r="V524" s="72"/>
      <c r="W524" s="72"/>
      <c r="X524" s="72"/>
      <c r="Y524" s="72"/>
      <c r="Z524" s="72"/>
    </row>
    <row r="525" spans="1:26" ht="15.75" customHeight="1">
      <c r="A525" s="72"/>
      <c r="B525" s="72"/>
      <c r="C525" s="72"/>
      <c r="D525" s="72"/>
      <c r="E525" s="72"/>
      <c r="F525" s="72"/>
      <c r="G525" s="72"/>
      <c r="H525" s="72"/>
      <c r="I525" s="72"/>
      <c r="J525" s="72"/>
      <c r="K525" s="73"/>
      <c r="L525" s="74"/>
      <c r="M525" s="72"/>
      <c r="N525" s="72"/>
      <c r="O525" s="72"/>
      <c r="P525" s="72"/>
      <c r="Q525" s="72"/>
      <c r="R525" s="72"/>
      <c r="S525" s="72"/>
      <c r="T525" s="72"/>
      <c r="U525" s="72"/>
      <c r="V525" s="72"/>
      <c r="W525" s="72"/>
      <c r="X525" s="72"/>
      <c r="Y525" s="72"/>
      <c r="Z525" s="72"/>
    </row>
    <row r="526" spans="1:26" ht="15.75" customHeight="1">
      <c r="A526" s="72"/>
      <c r="B526" s="72"/>
      <c r="C526" s="72"/>
      <c r="D526" s="72"/>
      <c r="E526" s="72"/>
      <c r="F526" s="72"/>
      <c r="G526" s="72"/>
      <c r="H526" s="72"/>
      <c r="I526" s="72"/>
      <c r="J526" s="72"/>
      <c r="K526" s="73"/>
      <c r="L526" s="74"/>
      <c r="M526" s="72"/>
      <c r="N526" s="72"/>
      <c r="O526" s="72"/>
      <c r="P526" s="72"/>
      <c r="Q526" s="72"/>
      <c r="R526" s="72"/>
      <c r="S526" s="72"/>
      <c r="T526" s="72"/>
      <c r="U526" s="72"/>
      <c r="V526" s="72"/>
      <c r="W526" s="72"/>
      <c r="X526" s="72"/>
      <c r="Y526" s="72"/>
      <c r="Z526" s="72"/>
    </row>
    <row r="527" spans="1:26" ht="15.75" customHeight="1">
      <c r="A527" s="72"/>
      <c r="B527" s="72"/>
      <c r="C527" s="72"/>
      <c r="D527" s="72"/>
      <c r="E527" s="72"/>
      <c r="F527" s="72"/>
      <c r="G527" s="72"/>
      <c r="H527" s="72"/>
      <c r="I527" s="72"/>
      <c r="J527" s="72"/>
      <c r="K527" s="73"/>
      <c r="L527" s="74"/>
      <c r="M527" s="72"/>
      <c r="N527" s="72"/>
      <c r="O527" s="72"/>
      <c r="P527" s="72"/>
      <c r="Q527" s="72"/>
      <c r="R527" s="72"/>
      <c r="S527" s="72"/>
      <c r="T527" s="72"/>
      <c r="U527" s="72"/>
      <c r="V527" s="72"/>
      <c r="W527" s="72"/>
      <c r="X527" s="72"/>
      <c r="Y527" s="72"/>
      <c r="Z527" s="72"/>
    </row>
    <row r="528" spans="1:26" ht="15.75" customHeight="1">
      <c r="A528" s="72"/>
      <c r="B528" s="72"/>
      <c r="C528" s="72"/>
      <c r="D528" s="72"/>
      <c r="E528" s="72"/>
      <c r="F528" s="72"/>
      <c r="G528" s="72"/>
      <c r="H528" s="72"/>
      <c r="I528" s="72"/>
      <c r="J528" s="72"/>
      <c r="K528" s="73"/>
      <c r="L528" s="74"/>
      <c r="M528" s="72"/>
      <c r="N528" s="72"/>
      <c r="O528" s="72"/>
      <c r="P528" s="72"/>
      <c r="Q528" s="72"/>
      <c r="R528" s="72"/>
      <c r="S528" s="72"/>
      <c r="T528" s="72"/>
      <c r="U528" s="72"/>
      <c r="V528" s="72"/>
      <c r="W528" s="72"/>
      <c r="X528" s="72"/>
      <c r="Y528" s="72"/>
      <c r="Z528" s="72"/>
    </row>
    <row r="529" spans="1:26" ht="15.75" customHeight="1">
      <c r="A529" s="72"/>
      <c r="B529" s="72"/>
      <c r="C529" s="72"/>
      <c r="D529" s="72"/>
      <c r="E529" s="72"/>
      <c r="F529" s="72"/>
      <c r="G529" s="72"/>
      <c r="H529" s="72"/>
      <c r="I529" s="72"/>
      <c r="J529" s="72"/>
      <c r="K529" s="73"/>
      <c r="L529" s="74"/>
      <c r="M529" s="72"/>
      <c r="N529" s="72"/>
      <c r="O529" s="72"/>
      <c r="P529" s="72"/>
      <c r="Q529" s="72"/>
      <c r="R529" s="72"/>
      <c r="S529" s="72"/>
      <c r="T529" s="72"/>
      <c r="U529" s="72"/>
      <c r="V529" s="72"/>
      <c r="W529" s="72"/>
      <c r="X529" s="72"/>
      <c r="Y529" s="72"/>
      <c r="Z529" s="72"/>
    </row>
    <row r="530" spans="1:26" ht="15.75" customHeight="1">
      <c r="A530" s="72"/>
      <c r="B530" s="72"/>
      <c r="C530" s="72"/>
      <c r="D530" s="72"/>
      <c r="E530" s="72"/>
      <c r="F530" s="72"/>
      <c r="G530" s="72"/>
      <c r="H530" s="72"/>
      <c r="I530" s="72"/>
      <c r="J530" s="72"/>
      <c r="K530" s="73"/>
      <c r="L530" s="74"/>
      <c r="M530" s="72"/>
      <c r="N530" s="72"/>
      <c r="O530" s="72"/>
      <c r="P530" s="72"/>
      <c r="Q530" s="72"/>
      <c r="R530" s="72"/>
      <c r="S530" s="72"/>
      <c r="T530" s="72"/>
      <c r="U530" s="72"/>
      <c r="V530" s="72"/>
      <c r="W530" s="72"/>
      <c r="X530" s="72"/>
      <c r="Y530" s="72"/>
      <c r="Z530" s="72"/>
    </row>
    <row r="531" spans="1:26" ht="15.75" customHeight="1">
      <c r="A531" s="72"/>
      <c r="B531" s="72"/>
      <c r="C531" s="72"/>
      <c r="D531" s="72"/>
      <c r="E531" s="72"/>
      <c r="F531" s="72"/>
      <c r="G531" s="72"/>
      <c r="H531" s="72"/>
      <c r="I531" s="72"/>
      <c r="J531" s="72"/>
      <c r="K531" s="73"/>
      <c r="L531" s="74"/>
      <c r="M531" s="72"/>
      <c r="N531" s="72"/>
      <c r="O531" s="72"/>
      <c r="P531" s="72"/>
      <c r="Q531" s="72"/>
      <c r="R531" s="72"/>
      <c r="S531" s="72"/>
      <c r="T531" s="72"/>
      <c r="U531" s="72"/>
      <c r="V531" s="72"/>
      <c r="W531" s="72"/>
      <c r="X531" s="72"/>
      <c r="Y531" s="72"/>
      <c r="Z531" s="72"/>
    </row>
    <row r="532" spans="1:26" ht="15.75" customHeight="1">
      <c r="A532" s="72"/>
      <c r="B532" s="72"/>
      <c r="C532" s="72"/>
      <c r="D532" s="72"/>
      <c r="E532" s="72"/>
      <c r="F532" s="72"/>
      <c r="G532" s="72"/>
      <c r="H532" s="72"/>
      <c r="I532" s="72"/>
      <c r="J532" s="72"/>
      <c r="K532" s="73"/>
      <c r="L532" s="74"/>
      <c r="M532" s="72"/>
      <c r="N532" s="72"/>
      <c r="O532" s="72"/>
      <c r="P532" s="72"/>
      <c r="Q532" s="72"/>
      <c r="R532" s="72"/>
      <c r="S532" s="72"/>
      <c r="T532" s="72"/>
      <c r="U532" s="72"/>
      <c r="V532" s="72"/>
      <c r="W532" s="72"/>
      <c r="X532" s="72"/>
      <c r="Y532" s="72"/>
      <c r="Z532" s="72"/>
    </row>
    <row r="533" spans="1:26" ht="15.75" customHeight="1">
      <c r="A533" s="72"/>
      <c r="B533" s="72"/>
      <c r="C533" s="72"/>
      <c r="D533" s="72"/>
      <c r="E533" s="72"/>
      <c r="F533" s="72"/>
      <c r="G533" s="72"/>
      <c r="H533" s="72"/>
      <c r="I533" s="72"/>
      <c r="J533" s="72"/>
      <c r="K533" s="73"/>
      <c r="L533" s="74"/>
      <c r="M533" s="72"/>
      <c r="N533" s="72"/>
      <c r="O533" s="72"/>
      <c r="P533" s="72"/>
      <c r="Q533" s="72"/>
      <c r="R533" s="72"/>
      <c r="S533" s="72"/>
      <c r="T533" s="72"/>
      <c r="U533" s="72"/>
      <c r="V533" s="72"/>
      <c r="W533" s="72"/>
      <c r="X533" s="72"/>
      <c r="Y533" s="72"/>
      <c r="Z533" s="72"/>
    </row>
    <row r="534" spans="1:26" ht="15.75" customHeight="1">
      <c r="A534" s="72"/>
      <c r="B534" s="72"/>
      <c r="C534" s="72"/>
      <c r="D534" s="72"/>
      <c r="E534" s="72"/>
      <c r="F534" s="72"/>
      <c r="G534" s="72"/>
      <c r="H534" s="72"/>
      <c r="I534" s="72"/>
      <c r="J534" s="72"/>
      <c r="K534" s="73"/>
      <c r="L534" s="74"/>
      <c r="M534" s="72"/>
      <c r="N534" s="72"/>
      <c r="O534" s="72"/>
      <c r="P534" s="72"/>
      <c r="Q534" s="72"/>
      <c r="R534" s="72"/>
      <c r="S534" s="72"/>
      <c r="T534" s="72"/>
      <c r="U534" s="72"/>
      <c r="V534" s="72"/>
      <c r="W534" s="72"/>
      <c r="X534" s="72"/>
      <c r="Y534" s="72"/>
      <c r="Z534" s="72"/>
    </row>
    <row r="535" spans="1:26" ht="15.75" customHeight="1">
      <c r="A535" s="72"/>
      <c r="B535" s="72"/>
      <c r="C535" s="72"/>
      <c r="D535" s="72"/>
      <c r="E535" s="72"/>
      <c r="F535" s="72"/>
      <c r="G535" s="72"/>
      <c r="H535" s="72"/>
      <c r="I535" s="72"/>
      <c r="J535" s="72"/>
      <c r="K535" s="73"/>
      <c r="L535" s="74"/>
      <c r="M535" s="72"/>
      <c r="N535" s="72"/>
      <c r="O535" s="72"/>
      <c r="P535" s="72"/>
      <c r="Q535" s="72"/>
      <c r="R535" s="72"/>
      <c r="S535" s="72"/>
      <c r="T535" s="72"/>
      <c r="U535" s="72"/>
      <c r="V535" s="72"/>
      <c r="W535" s="72"/>
      <c r="X535" s="72"/>
      <c r="Y535" s="72"/>
      <c r="Z535" s="72"/>
    </row>
    <row r="536" spans="1:26" ht="15.75" customHeight="1">
      <c r="A536" s="72"/>
      <c r="B536" s="72"/>
      <c r="C536" s="72"/>
      <c r="D536" s="72"/>
      <c r="E536" s="72"/>
      <c r="F536" s="72"/>
      <c r="G536" s="72"/>
      <c r="H536" s="72"/>
      <c r="I536" s="72"/>
      <c r="J536" s="72"/>
      <c r="K536" s="73"/>
      <c r="L536" s="74"/>
      <c r="M536" s="72"/>
      <c r="N536" s="72"/>
      <c r="O536" s="72"/>
      <c r="P536" s="72"/>
      <c r="Q536" s="72"/>
      <c r="R536" s="72"/>
      <c r="S536" s="72"/>
      <c r="T536" s="72"/>
      <c r="U536" s="72"/>
      <c r="V536" s="72"/>
      <c r="W536" s="72"/>
      <c r="X536" s="72"/>
      <c r="Y536" s="72"/>
      <c r="Z536" s="72"/>
    </row>
    <row r="537" spans="1:26" ht="15.75" customHeight="1">
      <c r="A537" s="72"/>
      <c r="B537" s="72"/>
      <c r="C537" s="72"/>
      <c r="D537" s="72"/>
      <c r="E537" s="72"/>
      <c r="F537" s="72"/>
      <c r="G537" s="72"/>
      <c r="H537" s="72"/>
      <c r="I537" s="72"/>
      <c r="J537" s="72"/>
      <c r="K537" s="73"/>
      <c r="L537" s="74"/>
      <c r="M537" s="72"/>
      <c r="N537" s="72"/>
      <c r="O537" s="72"/>
      <c r="P537" s="72"/>
      <c r="Q537" s="72"/>
      <c r="R537" s="72"/>
      <c r="S537" s="72"/>
      <c r="T537" s="72"/>
      <c r="U537" s="72"/>
      <c r="V537" s="72"/>
      <c r="W537" s="72"/>
      <c r="X537" s="72"/>
      <c r="Y537" s="72"/>
      <c r="Z537" s="72"/>
    </row>
    <row r="538" spans="1:26" ht="15.75" customHeight="1">
      <c r="A538" s="72"/>
      <c r="B538" s="72"/>
      <c r="C538" s="72"/>
      <c r="D538" s="72"/>
      <c r="E538" s="72"/>
      <c r="F538" s="72"/>
      <c r="G538" s="72"/>
      <c r="H538" s="72"/>
      <c r="I538" s="72"/>
      <c r="J538" s="72"/>
      <c r="K538" s="73"/>
      <c r="L538" s="74"/>
      <c r="M538" s="72"/>
      <c r="N538" s="72"/>
      <c r="O538" s="72"/>
      <c r="P538" s="72"/>
      <c r="Q538" s="72"/>
      <c r="R538" s="72"/>
      <c r="S538" s="72"/>
      <c r="T538" s="72"/>
      <c r="U538" s="72"/>
      <c r="V538" s="72"/>
      <c r="W538" s="72"/>
      <c r="X538" s="72"/>
      <c r="Y538" s="72"/>
      <c r="Z538" s="72"/>
    </row>
    <row r="539" spans="1:26" ht="15.75" customHeight="1">
      <c r="A539" s="72"/>
      <c r="B539" s="72"/>
      <c r="C539" s="72"/>
      <c r="D539" s="72"/>
      <c r="E539" s="72"/>
      <c r="F539" s="72"/>
      <c r="G539" s="72"/>
      <c r="H539" s="72"/>
      <c r="I539" s="72"/>
      <c r="J539" s="72"/>
      <c r="K539" s="73"/>
      <c r="L539" s="74"/>
      <c r="M539" s="72"/>
      <c r="N539" s="72"/>
      <c r="O539" s="72"/>
      <c r="P539" s="72"/>
      <c r="Q539" s="72"/>
      <c r="R539" s="72"/>
      <c r="S539" s="72"/>
      <c r="T539" s="72"/>
      <c r="U539" s="72"/>
      <c r="V539" s="72"/>
      <c r="W539" s="72"/>
      <c r="X539" s="72"/>
      <c r="Y539" s="72"/>
      <c r="Z539" s="72"/>
    </row>
    <row r="540" spans="1:26" ht="15.75" customHeight="1">
      <c r="A540" s="72"/>
      <c r="B540" s="72"/>
      <c r="C540" s="72"/>
      <c r="D540" s="72"/>
      <c r="E540" s="72"/>
      <c r="F540" s="72"/>
      <c r="G540" s="72"/>
      <c r="H540" s="72"/>
      <c r="I540" s="72"/>
      <c r="J540" s="72"/>
      <c r="K540" s="73"/>
      <c r="L540" s="74"/>
      <c r="M540" s="72"/>
      <c r="N540" s="72"/>
      <c r="O540" s="72"/>
      <c r="P540" s="72"/>
      <c r="Q540" s="72"/>
      <c r="R540" s="72"/>
      <c r="S540" s="72"/>
      <c r="T540" s="72"/>
      <c r="U540" s="72"/>
      <c r="V540" s="72"/>
      <c r="W540" s="72"/>
      <c r="X540" s="72"/>
      <c r="Y540" s="72"/>
      <c r="Z540" s="72"/>
    </row>
    <row r="541" spans="1:26" ht="15.75" customHeight="1">
      <c r="A541" s="72"/>
      <c r="B541" s="72"/>
      <c r="C541" s="72"/>
      <c r="D541" s="72"/>
      <c r="E541" s="72"/>
      <c r="F541" s="72"/>
      <c r="G541" s="72"/>
      <c r="H541" s="72"/>
      <c r="I541" s="72"/>
      <c r="J541" s="72"/>
      <c r="K541" s="73"/>
      <c r="L541" s="74"/>
      <c r="M541" s="72"/>
      <c r="N541" s="72"/>
      <c r="O541" s="72"/>
      <c r="P541" s="72"/>
      <c r="Q541" s="72"/>
      <c r="R541" s="72"/>
      <c r="S541" s="72"/>
      <c r="T541" s="72"/>
      <c r="U541" s="72"/>
      <c r="V541" s="72"/>
      <c r="W541" s="72"/>
      <c r="X541" s="72"/>
      <c r="Y541" s="72"/>
      <c r="Z541" s="72"/>
    </row>
    <row r="542" spans="1:26" ht="15.75" customHeight="1">
      <c r="A542" s="72"/>
      <c r="B542" s="72"/>
      <c r="C542" s="72"/>
      <c r="D542" s="72"/>
      <c r="E542" s="72"/>
      <c r="F542" s="72"/>
      <c r="G542" s="72"/>
      <c r="H542" s="72"/>
      <c r="I542" s="72"/>
      <c r="J542" s="72"/>
      <c r="K542" s="73"/>
      <c r="L542" s="74"/>
      <c r="M542" s="72"/>
      <c r="N542" s="72"/>
      <c r="O542" s="72"/>
      <c r="P542" s="72"/>
      <c r="Q542" s="72"/>
      <c r="R542" s="72"/>
      <c r="S542" s="72"/>
      <c r="T542" s="72"/>
      <c r="U542" s="72"/>
      <c r="V542" s="72"/>
      <c r="W542" s="72"/>
      <c r="X542" s="72"/>
      <c r="Y542" s="72"/>
      <c r="Z542" s="72"/>
    </row>
    <row r="543" spans="1:26" ht="15.75" customHeight="1">
      <c r="A543" s="72"/>
      <c r="B543" s="72"/>
      <c r="C543" s="72"/>
      <c r="D543" s="72"/>
      <c r="E543" s="72"/>
      <c r="F543" s="72"/>
      <c r="G543" s="72"/>
      <c r="H543" s="72"/>
      <c r="I543" s="72"/>
      <c r="J543" s="72"/>
      <c r="K543" s="73"/>
      <c r="L543" s="74"/>
      <c r="M543" s="72"/>
      <c r="N543" s="72"/>
      <c r="O543" s="72"/>
      <c r="P543" s="72"/>
      <c r="Q543" s="72"/>
      <c r="R543" s="72"/>
      <c r="S543" s="72"/>
      <c r="T543" s="72"/>
      <c r="U543" s="72"/>
      <c r="V543" s="72"/>
      <c r="W543" s="72"/>
      <c r="X543" s="72"/>
      <c r="Y543" s="72"/>
      <c r="Z543" s="72"/>
    </row>
    <row r="544" spans="1:26" ht="15.75" customHeight="1">
      <c r="A544" s="72"/>
      <c r="B544" s="72"/>
      <c r="C544" s="72"/>
      <c r="D544" s="72"/>
      <c r="E544" s="72"/>
      <c r="F544" s="72"/>
      <c r="G544" s="72"/>
      <c r="H544" s="72"/>
      <c r="I544" s="72"/>
      <c r="J544" s="72"/>
      <c r="K544" s="73"/>
      <c r="L544" s="74"/>
      <c r="M544" s="72"/>
      <c r="N544" s="72"/>
      <c r="O544" s="72"/>
      <c r="P544" s="72"/>
      <c r="Q544" s="72"/>
      <c r="R544" s="72"/>
      <c r="S544" s="72"/>
      <c r="T544" s="72"/>
      <c r="U544" s="72"/>
      <c r="V544" s="72"/>
      <c r="W544" s="72"/>
      <c r="X544" s="72"/>
      <c r="Y544" s="72"/>
      <c r="Z544" s="72"/>
    </row>
    <row r="545" spans="1:26" ht="15.75" customHeight="1">
      <c r="A545" s="72"/>
      <c r="B545" s="72"/>
      <c r="C545" s="72"/>
      <c r="D545" s="72"/>
      <c r="E545" s="72"/>
      <c r="F545" s="72"/>
      <c r="G545" s="72"/>
      <c r="H545" s="72"/>
      <c r="I545" s="72"/>
      <c r="J545" s="72"/>
      <c r="K545" s="73"/>
      <c r="L545" s="74"/>
      <c r="M545" s="72"/>
      <c r="N545" s="72"/>
      <c r="O545" s="72"/>
      <c r="P545" s="72"/>
      <c r="Q545" s="72"/>
      <c r="R545" s="72"/>
      <c r="S545" s="72"/>
      <c r="T545" s="72"/>
      <c r="U545" s="72"/>
      <c r="V545" s="72"/>
      <c r="W545" s="72"/>
      <c r="X545" s="72"/>
      <c r="Y545" s="72"/>
      <c r="Z545" s="72"/>
    </row>
    <row r="546" spans="1:26" ht="15.75" customHeight="1">
      <c r="A546" s="72"/>
      <c r="B546" s="72"/>
      <c r="C546" s="72"/>
      <c r="D546" s="72"/>
      <c r="E546" s="72"/>
      <c r="F546" s="72"/>
      <c r="G546" s="72"/>
      <c r="H546" s="72"/>
      <c r="I546" s="72"/>
      <c r="J546" s="72"/>
      <c r="K546" s="73"/>
      <c r="L546" s="74"/>
      <c r="M546" s="72"/>
      <c r="N546" s="72"/>
      <c r="O546" s="72"/>
      <c r="P546" s="72"/>
      <c r="Q546" s="72"/>
      <c r="R546" s="72"/>
      <c r="S546" s="72"/>
      <c r="T546" s="72"/>
      <c r="U546" s="72"/>
      <c r="V546" s="72"/>
      <c r="W546" s="72"/>
      <c r="X546" s="72"/>
      <c r="Y546" s="72"/>
      <c r="Z546" s="72"/>
    </row>
    <row r="547" spans="1:26" ht="15.75" customHeight="1">
      <c r="A547" s="72"/>
      <c r="B547" s="72"/>
      <c r="C547" s="72"/>
      <c r="D547" s="72"/>
      <c r="E547" s="72"/>
      <c r="F547" s="72"/>
      <c r="G547" s="72"/>
      <c r="H547" s="72"/>
      <c r="I547" s="72"/>
      <c r="J547" s="72"/>
      <c r="K547" s="73"/>
      <c r="L547" s="74"/>
      <c r="M547" s="72"/>
      <c r="N547" s="72"/>
      <c r="O547" s="72"/>
      <c r="P547" s="72"/>
      <c r="Q547" s="72"/>
      <c r="R547" s="72"/>
      <c r="S547" s="72"/>
      <c r="T547" s="72"/>
      <c r="U547" s="72"/>
      <c r="V547" s="72"/>
      <c r="W547" s="72"/>
      <c r="X547" s="72"/>
      <c r="Y547" s="72"/>
      <c r="Z547" s="72"/>
    </row>
    <row r="548" spans="1:26" ht="15.75" customHeight="1">
      <c r="A548" s="72"/>
      <c r="B548" s="72"/>
      <c r="C548" s="72"/>
      <c r="D548" s="72"/>
      <c r="E548" s="72"/>
      <c r="F548" s="72"/>
      <c r="G548" s="72"/>
      <c r="H548" s="72"/>
      <c r="I548" s="72"/>
      <c r="J548" s="72"/>
      <c r="K548" s="73"/>
      <c r="L548" s="74"/>
      <c r="M548" s="72"/>
      <c r="N548" s="72"/>
      <c r="O548" s="72"/>
      <c r="P548" s="72"/>
      <c r="Q548" s="72"/>
      <c r="R548" s="72"/>
      <c r="S548" s="72"/>
      <c r="T548" s="72"/>
      <c r="U548" s="72"/>
      <c r="V548" s="72"/>
      <c r="W548" s="72"/>
      <c r="X548" s="72"/>
      <c r="Y548" s="72"/>
      <c r="Z548" s="72"/>
    </row>
    <row r="549" spans="1:26" ht="15.75" customHeight="1">
      <c r="A549" s="72"/>
      <c r="B549" s="72"/>
      <c r="C549" s="72"/>
      <c r="D549" s="72"/>
      <c r="E549" s="72"/>
      <c r="F549" s="72"/>
      <c r="G549" s="72"/>
      <c r="H549" s="72"/>
      <c r="I549" s="72"/>
      <c r="J549" s="72"/>
      <c r="K549" s="73"/>
      <c r="L549" s="74"/>
      <c r="M549" s="72"/>
      <c r="N549" s="72"/>
      <c r="O549" s="72"/>
      <c r="P549" s="72"/>
      <c r="Q549" s="72"/>
      <c r="R549" s="72"/>
      <c r="S549" s="72"/>
      <c r="T549" s="72"/>
      <c r="U549" s="72"/>
      <c r="V549" s="72"/>
      <c r="W549" s="72"/>
      <c r="X549" s="72"/>
      <c r="Y549" s="72"/>
      <c r="Z549" s="72"/>
    </row>
    <row r="550" spans="1:26" ht="15.75" customHeight="1">
      <c r="A550" s="72"/>
      <c r="B550" s="72"/>
      <c r="C550" s="72"/>
      <c r="D550" s="72"/>
      <c r="E550" s="72"/>
      <c r="F550" s="72"/>
      <c r="G550" s="72"/>
      <c r="H550" s="72"/>
      <c r="I550" s="72"/>
      <c r="J550" s="72"/>
      <c r="K550" s="73"/>
      <c r="L550" s="74"/>
      <c r="M550" s="72"/>
      <c r="N550" s="72"/>
      <c r="O550" s="72"/>
      <c r="P550" s="72"/>
      <c r="Q550" s="72"/>
      <c r="R550" s="72"/>
      <c r="S550" s="72"/>
      <c r="T550" s="72"/>
      <c r="U550" s="72"/>
      <c r="V550" s="72"/>
      <c r="W550" s="72"/>
      <c r="X550" s="72"/>
      <c r="Y550" s="72"/>
      <c r="Z550" s="72"/>
    </row>
    <row r="551" spans="1:26" ht="15.75" customHeight="1">
      <c r="A551" s="72"/>
      <c r="B551" s="72"/>
      <c r="C551" s="72"/>
      <c r="D551" s="72"/>
      <c r="E551" s="72"/>
      <c r="F551" s="72"/>
      <c r="G551" s="72"/>
      <c r="H551" s="72"/>
      <c r="I551" s="72"/>
      <c r="J551" s="72"/>
      <c r="K551" s="73"/>
      <c r="L551" s="74"/>
      <c r="M551" s="72"/>
      <c r="N551" s="72"/>
      <c r="O551" s="72"/>
      <c r="P551" s="72"/>
      <c r="Q551" s="72"/>
      <c r="R551" s="72"/>
      <c r="S551" s="72"/>
      <c r="T551" s="72"/>
      <c r="U551" s="72"/>
      <c r="V551" s="72"/>
      <c r="W551" s="72"/>
      <c r="X551" s="72"/>
      <c r="Y551" s="72"/>
      <c r="Z551" s="72"/>
    </row>
    <row r="552" spans="1:26" ht="15.75" customHeight="1">
      <c r="A552" s="72"/>
      <c r="B552" s="72"/>
      <c r="C552" s="72"/>
      <c r="D552" s="72"/>
      <c r="E552" s="72"/>
      <c r="F552" s="72"/>
      <c r="G552" s="72"/>
      <c r="H552" s="72"/>
      <c r="I552" s="72"/>
      <c r="J552" s="72"/>
      <c r="K552" s="73"/>
      <c r="L552" s="74"/>
      <c r="M552" s="72"/>
      <c r="N552" s="72"/>
      <c r="O552" s="72"/>
      <c r="P552" s="72"/>
      <c r="Q552" s="72"/>
      <c r="R552" s="72"/>
      <c r="S552" s="72"/>
      <c r="T552" s="72"/>
      <c r="U552" s="72"/>
      <c r="V552" s="72"/>
      <c r="W552" s="72"/>
      <c r="X552" s="72"/>
      <c r="Y552" s="72"/>
      <c r="Z552" s="72"/>
    </row>
    <row r="553" spans="1:26" ht="15.75" customHeight="1">
      <c r="A553" s="72"/>
      <c r="B553" s="72"/>
      <c r="C553" s="72"/>
      <c r="D553" s="72"/>
      <c r="E553" s="72"/>
      <c r="F553" s="72"/>
      <c r="G553" s="72"/>
      <c r="H553" s="72"/>
      <c r="I553" s="72"/>
      <c r="J553" s="72"/>
      <c r="K553" s="73"/>
      <c r="L553" s="74"/>
      <c r="M553" s="72"/>
      <c r="N553" s="72"/>
      <c r="O553" s="72"/>
      <c r="P553" s="72"/>
      <c r="Q553" s="72"/>
      <c r="R553" s="72"/>
      <c r="S553" s="72"/>
      <c r="T553" s="72"/>
      <c r="U553" s="72"/>
      <c r="V553" s="72"/>
      <c r="W553" s="72"/>
      <c r="X553" s="72"/>
      <c r="Y553" s="72"/>
      <c r="Z553" s="72"/>
    </row>
    <row r="554" spans="1:26" ht="15.75" customHeight="1">
      <c r="A554" s="72"/>
      <c r="B554" s="72"/>
      <c r="C554" s="72"/>
      <c r="D554" s="72"/>
      <c r="E554" s="72"/>
      <c r="F554" s="72"/>
      <c r="G554" s="72"/>
      <c r="H554" s="72"/>
      <c r="I554" s="72"/>
      <c r="J554" s="72"/>
      <c r="K554" s="73"/>
      <c r="L554" s="74"/>
      <c r="M554" s="72"/>
      <c r="N554" s="72"/>
      <c r="O554" s="72"/>
      <c r="P554" s="72"/>
      <c r="Q554" s="72"/>
      <c r="R554" s="72"/>
      <c r="S554" s="72"/>
      <c r="T554" s="72"/>
      <c r="U554" s="72"/>
      <c r="V554" s="72"/>
      <c r="W554" s="72"/>
      <c r="X554" s="72"/>
      <c r="Y554" s="72"/>
      <c r="Z554" s="72"/>
    </row>
    <row r="555" spans="1:26" ht="15.75" customHeight="1">
      <c r="A555" s="72"/>
      <c r="B555" s="72"/>
      <c r="C555" s="72"/>
      <c r="D555" s="72"/>
      <c r="E555" s="72"/>
      <c r="F555" s="72"/>
      <c r="G555" s="72"/>
      <c r="H555" s="72"/>
      <c r="I555" s="72"/>
      <c r="J555" s="72"/>
      <c r="K555" s="73"/>
      <c r="L555" s="74"/>
      <c r="M555" s="72"/>
      <c r="N555" s="72"/>
      <c r="O555" s="72"/>
      <c r="P555" s="72"/>
      <c r="Q555" s="72"/>
      <c r="R555" s="72"/>
      <c r="S555" s="72"/>
      <c r="T555" s="72"/>
      <c r="U555" s="72"/>
      <c r="V555" s="72"/>
      <c r="W555" s="72"/>
      <c r="X555" s="72"/>
      <c r="Y555" s="72"/>
      <c r="Z555" s="72"/>
    </row>
    <row r="556" spans="1:26" ht="15.75" customHeight="1">
      <c r="A556" s="72"/>
      <c r="B556" s="72"/>
      <c r="C556" s="72"/>
      <c r="D556" s="72"/>
      <c r="E556" s="72"/>
      <c r="F556" s="72"/>
      <c r="G556" s="72"/>
      <c r="H556" s="72"/>
      <c r="I556" s="72"/>
      <c r="J556" s="72"/>
      <c r="K556" s="73"/>
      <c r="L556" s="74"/>
      <c r="M556" s="72"/>
      <c r="N556" s="72"/>
      <c r="O556" s="72"/>
      <c r="P556" s="72"/>
      <c r="Q556" s="72"/>
      <c r="R556" s="72"/>
      <c r="S556" s="72"/>
      <c r="T556" s="72"/>
      <c r="U556" s="72"/>
      <c r="V556" s="72"/>
      <c r="W556" s="72"/>
      <c r="X556" s="72"/>
      <c r="Y556" s="72"/>
      <c r="Z556" s="72"/>
    </row>
    <row r="557" spans="1:26" ht="15.75" customHeight="1">
      <c r="A557" s="72"/>
      <c r="B557" s="72"/>
      <c r="C557" s="72"/>
      <c r="D557" s="72"/>
      <c r="E557" s="72"/>
      <c r="F557" s="72"/>
      <c r="G557" s="72"/>
      <c r="H557" s="72"/>
      <c r="I557" s="72"/>
      <c r="J557" s="72"/>
      <c r="K557" s="73"/>
      <c r="L557" s="74"/>
      <c r="M557" s="72"/>
      <c r="N557" s="72"/>
      <c r="O557" s="72"/>
      <c r="P557" s="72"/>
      <c r="Q557" s="72"/>
      <c r="R557" s="72"/>
      <c r="S557" s="72"/>
      <c r="T557" s="72"/>
      <c r="U557" s="72"/>
      <c r="V557" s="72"/>
      <c r="W557" s="72"/>
      <c r="X557" s="72"/>
      <c r="Y557" s="72"/>
      <c r="Z557" s="72"/>
    </row>
    <row r="558" spans="1:26" ht="15.75" customHeight="1">
      <c r="A558" s="72"/>
      <c r="B558" s="72"/>
      <c r="C558" s="72"/>
      <c r="D558" s="72"/>
      <c r="E558" s="72"/>
      <c r="F558" s="72"/>
      <c r="G558" s="72"/>
      <c r="H558" s="72"/>
      <c r="I558" s="72"/>
      <c r="J558" s="72"/>
      <c r="K558" s="73"/>
      <c r="L558" s="74"/>
      <c r="M558" s="72"/>
      <c r="N558" s="72"/>
      <c r="O558" s="72"/>
      <c r="P558" s="72"/>
      <c r="Q558" s="72"/>
      <c r="R558" s="72"/>
      <c r="S558" s="72"/>
      <c r="T558" s="72"/>
      <c r="U558" s="72"/>
      <c r="V558" s="72"/>
      <c r="W558" s="72"/>
      <c r="X558" s="72"/>
      <c r="Y558" s="72"/>
      <c r="Z558" s="72"/>
    </row>
    <row r="559" spans="1:26" ht="15.75" customHeight="1">
      <c r="A559" s="72"/>
      <c r="B559" s="72"/>
      <c r="C559" s="72"/>
      <c r="D559" s="72"/>
      <c r="E559" s="72"/>
      <c r="F559" s="72"/>
      <c r="G559" s="72"/>
      <c r="H559" s="72"/>
      <c r="I559" s="72"/>
      <c r="J559" s="72"/>
      <c r="K559" s="73"/>
      <c r="L559" s="74"/>
      <c r="M559" s="72"/>
      <c r="N559" s="72"/>
      <c r="O559" s="72"/>
      <c r="P559" s="72"/>
      <c r="Q559" s="72"/>
      <c r="R559" s="72"/>
      <c r="S559" s="72"/>
      <c r="T559" s="72"/>
      <c r="U559" s="72"/>
      <c r="V559" s="72"/>
      <c r="W559" s="72"/>
      <c r="X559" s="72"/>
      <c r="Y559" s="72"/>
      <c r="Z559" s="72"/>
    </row>
    <row r="560" spans="1:26" ht="15.75" customHeight="1">
      <c r="A560" s="72"/>
      <c r="B560" s="72"/>
      <c r="C560" s="72"/>
      <c r="D560" s="72"/>
      <c r="E560" s="72"/>
      <c r="F560" s="72"/>
      <c r="G560" s="72"/>
      <c r="H560" s="72"/>
      <c r="I560" s="72"/>
      <c r="J560" s="72"/>
      <c r="K560" s="73"/>
      <c r="L560" s="74"/>
      <c r="M560" s="72"/>
      <c r="N560" s="72"/>
      <c r="O560" s="72"/>
      <c r="P560" s="72"/>
      <c r="Q560" s="72"/>
      <c r="R560" s="72"/>
      <c r="S560" s="72"/>
      <c r="T560" s="72"/>
      <c r="U560" s="72"/>
      <c r="V560" s="72"/>
      <c r="W560" s="72"/>
      <c r="X560" s="72"/>
      <c r="Y560" s="72"/>
      <c r="Z560" s="72"/>
    </row>
    <row r="561" spans="1:26" ht="15.75" customHeight="1">
      <c r="A561" s="72"/>
      <c r="B561" s="72"/>
      <c r="C561" s="72"/>
      <c r="D561" s="72"/>
      <c r="E561" s="72"/>
      <c r="F561" s="72"/>
      <c r="G561" s="72"/>
      <c r="H561" s="72"/>
      <c r="I561" s="72"/>
      <c r="J561" s="72"/>
      <c r="K561" s="73"/>
      <c r="L561" s="74"/>
      <c r="M561" s="72"/>
      <c r="N561" s="72"/>
      <c r="O561" s="72"/>
      <c r="P561" s="72"/>
      <c r="Q561" s="72"/>
      <c r="R561" s="72"/>
      <c r="S561" s="72"/>
      <c r="T561" s="72"/>
      <c r="U561" s="72"/>
      <c r="V561" s="72"/>
      <c r="W561" s="72"/>
      <c r="X561" s="72"/>
      <c r="Y561" s="72"/>
      <c r="Z561" s="72"/>
    </row>
    <row r="562" spans="1:26" ht="15.75" customHeight="1">
      <c r="A562" s="72"/>
      <c r="B562" s="72"/>
      <c r="C562" s="72"/>
      <c r="D562" s="72"/>
      <c r="E562" s="72"/>
      <c r="F562" s="72"/>
      <c r="G562" s="72"/>
      <c r="H562" s="72"/>
      <c r="I562" s="72"/>
      <c r="J562" s="72"/>
      <c r="K562" s="73"/>
      <c r="L562" s="74"/>
      <c r="M562" s="72"/>
      <c r="N562" s="72"/>
      <c r="O562" s="72"/>
      <c r="P562" s="72"/>
      <c r="Q562" s="72"/>
      <c r="R562" s="72"/>
      <c r="S562" s="72"/>
      <c r="T562" s="72"/>
      <c r="U562" s="72"/>
      <c r="V562" s="72"/>
      <c r="W562" s="72"/>
      <c r="X562" s="72"/>
      <c r="Y562" s="72"/>
      <c r="Z562" s="72"/>
    </row>
    <row r="563" spans="1:26" ht="15.75" customHeight="1">
      <c r="A563" s="72"/>
      <c r="B563" s="72"/>
      <c r="C563" s="72"/>
      <c r="D563" s="72"/>
      <c r="E563" s="72"/>
      <c r="F563" s="72"/>
      <c r="G563" s="72"/>
      <c r="H563" s="72"/>
      <c r="I563" s="72"/>
      <c r="J563" s="72"/>
      <c r="K563" s="73"/>
      <c r="L563" s="74"/>
      <c r="M563" s="72"/>
      <c r="N563" s="72"/>
      <c r="O563" s="72"/>
      <c r="P563" s="72"/>
      <c r="Q563" s="72"/>
      <c r="R563" s="72"/>
      <c r="S563" s="72"/>
      <c r="T563" s="72"/>
      <c r="U563" s="72"/>
      <c r="V563" s="72"/>
      <c r="W563" s="72"/>
      <c r="X563" s="72"/>
      <c r="Y563" s="72"/>
      <c r="Z563" s="72"/>
    </row>
    <row r="564" spans="1:26" ht="15.75" customHeight="1">
      <c r="A564" s="72"/>
      <c r="B564" s="72"/>
      <c r="C564" s="72"/>
      <c r="D564" s="72"/>
      <c r="E564" s="72"/>
      <c r="F564" s="72"/>
      <c r="G564" s="72"/>
      <c r="H564" s="72"/>
      <c r="I564" s="72"/>
      <c r="J564" s="72"/>
      <c r="K564" s="73"/>
      <c r="L564" s="74"/>
      <c r="M564" s="72"/>
      <c r="N564" s="72"/>
      <c r="O564" s="72"/>
      <c r="P564" s="72"/>
      <c r="Q564" s="72"/>
      <c r="R564" s="72"/>
      <c r="S564" s="72"/>
      <c r="T564" s="72"/>
      <c r="U564" s="72"/>
      <c r="V564" s="72"/>
      <c r="W564" s="72"/>
      <c r="X564" s="72"/>
      <c r="Y564" s="72"/>
      <c r="Z564" s="72"/>
    </row>
    <row r="565" spans="1:26" ht="15.75" customHeight="1">
      <c r="A565" s="72"/>
      <c r="B565" s="72"/>
      <c r="C565" s="72"/>
      <c r="D565" s="72"/>
      <c r="E565" s="72"/>
      <c r="F565" s="72"/>
      <c r="G565" s="72"/>
      <c r="H565" s="72"/>
      <c r="I565" s="72"/>
      <c r="J565" s="72"/>
      <c r="K565" s="73"/>
      <c r="L565" s="74"/>
      <c r="M565" s="72"/>
      <c r="N565" s="72"/>
      <c r="O565" s="72"/>
      <c r="P565" s="72"/>
      <c r="Q565" s="72"/>
      <c r="R565" s="72"/>
      <c r="S565" s="72"/>
      <c r="T565" s="72"/>
      <c r="U565" s="72"/>
      <c r="V565" s="72"/>
      <c r="W565" s="72"/>
      <c r="X565" s="72"/>
      <c r="Y565" s="72"/>
      <c r="Z565" s="72"/>
    </row>
    <row r="566" spans="1:26" ht="15.75" customHeight="1">
      <c r="A566" s="72"/>
      <c r="B566" s="72"/>
      <c r="C566" s="72"/>
      <c r="D566" s="72"/>
      <c r="E566" s="72"/>
      <c r="F566" s="72"/>
      <c r="G566" s="72"/>
      <c r="H566" s="72"/>
      <c r="I566" s="72"/>
      <c r="J566" s="72"/>
      <c r="K566" s="73"/>
      <c r="L566" s="74"/>
      <c r="M566" s="72"/>
      <c r="N566" s="72"/>
      <c r="O566" s="72"/>
      <c r="P566" s="72"/>
      <c r="Q566" s="72"/>
      <c r="R566" s="72"/>
      <c r="S566" s="72"/>
      <c r="T566" s="72"/>
      <c r="U566" s="72"/>
      <c r="V566" s="72"/>
      <c r="W566" s="72"/>
      <c r="X566" s="72"/>
      <c r="Y566" s="72"/>
      <c r="Z566" s="72"/>
    </row>
    <row r="567" spans="1:26" ht="15.75" customHeight="1">
      <c r="A567" s="72"/>
      <c r="B567" s="72"/>
      <c r="C567" s="72"/>
      <c r="D567" s="72"/>
      <c r="E567" s="72"/>
      <c r="F567" s="72"/>
      <c r="G567" s="72"/>
      <c r="H567" s="72"/>
      <c r="I567" s="72"/>
      <c r="J567" s="72"/>
      <c r="K567" s="73"/>
      <c r="L567" s="74"/>
      <c r="M567" s="72"/>
      <c r="N567" s="72"/>
      <c r="O567" s="72"/>
      <c r="P567" s="72"/>
      <c r="Q567" s="72"/>
      <c r="R567" s="72"/>
      <c r="S567" s="72"/>
      <c r="T567" s="72"/>
      <c r="U567" s="72"/>
      <c r="V567" s="72"/>
      <c r="W567" s="72"/>
      <c r="X567" s="72"/>
      <c r="Y567" s="72"/>
      <c r="Z567" s="72"/>
    </row>
    <row r="568" spans="1:26" ht="15.75" customHeight="1">
      <c r="A568" s="72"/>
      <c r="B568" s="72"/>
      <c r="C568" s="72"/>
      <c r="D568" s="72"/>
      <c r="E568" s="72"/>
      <c r="F568" s="72"/>
      <c r="G568" s="72"/>
      <c r="H568" s="72"/>
      <c r="I568" s="72"/>
      <c r="J568" s="72"/>
      <c r="K568" s="73"/>
      <c r="L568" s="74"/>
      <c r="M568" s="72"/>
      <c r="N568" s="72"/>
      <c r="O568" s="72"/>
      <c r="P568" s="72"/>
      <c r="Q568" s="72"/>
      <c r="R568" s="72"/>
      <c r="S568" s="72"/>
      <c r="T568" s="72"/>
      <c r="U568" s="72"/>
      <c r="V568" s="72"/>
      <c r="W568" s="72"/>
      <c r="X568" s="72"/>
      <c r="Y568" s="72"/>
      <c r="Z568" s="72"/>
    </row>
    <row r="569" spans="1:26" ht="15.75" customHeight="1">
      <c r="A569" s="72"/>
      <c r="B569" s="72"/>
      <c r="C569" s="72"/>
      <c r="D569" s="72"/>
      <c r="E569" s="72"/>
      <c r="F569" s="72"/>
      <c r="G569" s="72"/>
      <c r="H569" s="72"/>
      <c r="I569" s="72"/>
      <c r="J569" s="72"/>
      <c r="K569" s="73"/>
      <c r="L569" s="74"/>
      <c r="M569" s="72"/>
      <c r="N569" s="72"/>
      <c r="O569" s="72"/>
      <c r="P569" s="72"/>
      <c r="Q569" s="72"/>
      <c r="R569" s="72"/>
      <c r="S569" s="72"/>
      <c r="T569" s="72"/>
      <c r="U569" s="72"/>
      <c r="V569" s="72"/>
      <c r="W569" s="72"/>
      <c r="X569" s="72"/>
      <c r="Y569" s="72"/>
      <c r="Z569" s="72"/>
    </row>
    <row r="570" spans="1:26" ht="15.75" customHeight="1">
      <c r="A570" s="72"/>
      <c r="B570" s="72"/>
      <c r="C570" s="72"/>
      <c r="D570" s="72"/>
      <c r="E570" s="72"/>
      <c r="F570" s="72"/>
      <c r="G570" s="72"/>
      <c r="H570" s="72"/>
      <c r="I570" s="72"/>
      <c r="J570" s="72"/>
      <c r="K570" s="73"/>
      <c r="L570" s="74"/>
      <c r="M570" s="72"/>
      <c r="N570" s="72"/>
      <c r="O570" s="72"/>
      <c r="P570" s="72"/>
      <c r="Q570" s="72"/>
      <c r="R570" s="72"/>
      <c r="S570" s="72"/>
      <c r="T570" s="72"/>
      <c r="U570" s="72"/>
      <c r="V570" s="72"/>
      <c r="W570" s="72"/>
      <c r="X570" s="72"/>
      <c r="Y570" s="72"/>
      <c r="Z570" s="72"/>
    </row>
    <row r="571" spans="1:26" ht="15.75" customHeight="1">
      <c r="A571" s="72"/>
      <c r="B571" s="72"/>
      <c r="C571" s="72"/>
      <c r="D571" s="72"/>
      <c r="E571" s="72"/>
      <c r="F571" s="72"/>
      <c r="G571" s="72"/>
      <c r="H571" s="72"/>
      <c r="I571" s="72"/>
      <c r="J571" s="72"/>
      <c r="K571" s="73"/>
      <c r="L571" s="74"/>
      <c r="M571" s="72"/>
      <c r="N571" s="72"/>
      <c r="O571" s="72"/>
      <c r="P571" s="72"/>
      <c r="Q571" s="72"/>
      <c r="R571" s="72"/>
      <c r="S571" s="72"/>
      <c r="T571" s="72"/>
      <c r="U571" s="72"/>
      <c r="V571" s="72"/>
      <c r="W571" s="72"/>
      <c r="X571" s="72"/>
      <c r="Y571" s="72"/>
      <c r="Z571" s="72"/>
    </row>
    <row r="572" spans="1:26" ht="15.75" customHeight="1">
      <c r="A572" s="72"/>
      <c r="B572" s="72"/>
      <c r="C572" s="72"/>
      <c r="D572" s="72"/>
      <c r="E572" s="72"/>
      <c r="F572" s="72"/>
      <c r="G572" s="72"/>
      <c r="H572" s="72"/>
      <c r="I572" s="72"/>
      <c r="J572" s="72"/>
      <c r="K572" s="73"/>
      <c r="L572" s="74"/>
      <c r="M572" s="72"/>
      <c r="N572" s="72"/>
      <c r="O572" s="72"/>
      <c r="P572" s="72"/>
      <c r="Q572" s="72"/>
      <c r="R572" s="72"/>
      <c r="S572" s="72"/>
      <c r="T572" s="72"/>
      <c r="U572" s="72"/>
      <c r="V572" s="72"/>
      <c r="W572" s="72"/>
      <c r="X572" s="72"/>
      <c r="Y572" s="72"/>
      <c r="Z572" s="72"/>
    </row>
    <row r="573" spans="1:26" ht="15.75" customHeight="1">
      <c r="A573" s="72"/>
      <c r="B573" s="72"/>
      <c r="C573" s="72"/>
      <c r="D573" s="72"/>
      <c r="E573" s="72"/>
      <c r="F573" s="72"/>
      <c r="G573" s="72"/>
      <c r="H573" s="72"/>
      <c r="I573" s="72"/>
      <c r="J573" s="72"/>
      <c r="K573" s="73"/>
      <c r="L573" s="74"/>
      <c r="M573" s="72"/>
      <c r="N573" s="72"/>
      <c r="O573" s="72"/>
      <c r="P573" s="72"/>
      <c r="Q573" s="72"/>
      <c r="R573" s="72"/>
      <c r="S573" s="72"/>
      <c r="T573" s="72"/>
      <c r="U573" s="72"/>
      <c r="V573" s="72"/>
      <c r="W573" s="72"/>
      <c r="X573" s="72"/>
      <c r="Y573" s="72"/>
      <c r="Z573" s="72"/>
    </row>
    <row r="574" spans="1:26" ht="15.75" customHeight="1">
      <c r="A574" s="72"/>
      <c r="B574" s="72"/>
      <c r="C574" s="72"/>
      <c r="D574" s="72"/>
      <c r="E574" s="72"/>
      <c r="F574" s="72"/>
      <c r="G574" s="72"/>
      <c r="H574" s="72"/>
      <c r="I574" s="72"/>
      <c r="J574" s="72"/>
      <c r="K574" s="73"/>
      <c r="L574" s="74"/>
      <c r="M574" s="72"/>
      <c r="N574" s="72"/>
      <c r="O574" s="72"/>
      <c r="P574" s="72"/>
      <c r="Q574" s="72"/>
      <c r="R574" s="72"/>
      <c r="S574" s="72"/>
      <c r="T574" s="72"/>
      <c r="U574" s="72"/>
      <c r="V574" s="72"/>
      <c r="W574" s="72"/>
      <c r="X574" s="72"/>
      <c r="Y574" s="72"/>
      <c r="Z574" s="72"/>
    </row>
    <row r="575" spans="1:26" ht="15.75" customHeight="1">
      <c r="A575" s="72"/>
      <c r="B575" s="72"/>
      <c r="C575" s="72"/>
      <c r="D575" s="72"/>
      <c r="E575" s="72"/>
      <c r="F575" s="72"/>
      <c r="G575" s="72"/>
      <c r="H575" s="72"/>
      <c r="I575" s="72"/>
      <c r="J575" s="72"/>
      <c r="K575" s="73"/>
      <c r="L575" s="74"/>
      <c r="M575" s="72"/>
      <c r="N575" s="72"/>
      <c r="O575" s="72"/>
      <c r="P575" s="72"/>
      <c r="Q575" s="72"/>
      <c r="R575" s="72"/>
      <c r="S575" s="72"/>
      <c r="T575" s="72"/>
      <c r="U575" s="72"/>
      <c r="V575" s="72"/>
      <c r="W575" s="72"/>
      <c r="X575" s="72"/>
      <c r="Y575" s="72"/>
      <c r="Z575" s="72"/>
    </row>
    <row r="576" spans="1:26" ht="15.75" customHeight="1">
      <c r="A576" s="72"/>
      <c r="B576" s="72"/>
      <c r="C576" s="72"/>
      <c r="D576" s="72"/>
      <c r="E576" s="72"/>
      <c r="F576" s="72"/>
      <c r="G576" s="72"/>
      <c r="H576" s="72"/>
      <c r="I576" s="72"/>
      <c r="J576" s="72"/>
      <c r="K576" s="73"/>
      <c r="L576" s="74"/>
      <c r="M576" s="72"/>
      <c r="N576" s="72"/>
      <c r="O576" s="72"/>
      <c r="P576" s="72"/>
      <c r="Q576" s="72"/>
      <c r="R576" s="72"/>
      <c r="S576" s="72"/>
      <c r="T576" s="72"/>
      <c r="U576" s="72"/>
      <c r="V576" s="72"/>
      <c r="W576" s="72"/>
      <c r="X576" s="72"/>
      <c r="Y576" s="72"/>
      <c r="Z576" s="72"/>
    </row>
    <row r="577" spans="1:26" ht="15.75" customHeight="1">
      <c r="A577" s="72"/>
      <c r="B577" s="72"/>
      <c r="C577" s="72"/>
      <c r="D577" s="72"/>
      <c r="E577" s="72"/>
      <c r="F577" s="72"/>
      <c r="G577" s="72"/>
      <c r="H577" s="72"/>
      <c r="I577" s="72"/>
      <c r="J577" s="72"/>
      <c r="K577" s="73"/>
      <c r="L577" s="74"/>
      <c r="M577" s="72"/>
      <c r="N577" s="72"/>
      <c r="O577" s="72"/>
      <c r="P577" s="72"/>
      <c r="Q577" s="72"/>
      <c r="R577" s="72"/>
      <c r="S577" s="72"/>
      <c r="T577" s="72"/>
      <c r="U577" s="72"/>
      <c r="V577" s="72"/>
      <c r="W577" s="72"/>
      <c r="X577" s="72"/>
      <c r="Y577" s="72"/>
      <c r="Z577" s="72"/>
    </row>
    <row r="578" spans="1:26" ht="15.75" customHeight="1">
      <c r="A578" s="72"/>
      <c r="B578" s="72"/>
      <c r="C578" s="72"/>
      <c r="D578" s="72"/>
      <c r="E578" s="72"/>
      <c r="F578" s="72"/>
      <c r="G578" s="72"/>
      <c r="H578" s="72"/>
      <c r="I578" s="72"/>
      <c r="J578" s="72"/>
      <c r="K578" s="73"/>
      <c r="L578" s="74"/>
      <c r="M578" s="72"/>
      <c r="N578" s="72"/>
      <c r="O578" s="72"/>
      <c r="P578" s="72"/>
      <c r="Q578" s="72"/>
      <c r="R578" s="72"/>
      <c r="S578" s="72"/>
      <c r="T578" s="72"/>
      <c r="U578" s="72"/>
      <c r="V578" s="72"/>
      <c r="W578" s="72"/>
      <c r="X578" s="72"/>
      <c r="Y578" s="72"/>
      <c r="Z578" s="72"/>
    </row>
    <row r="579" spans="1:26" ht="15.75" customHeight="1">
      <c r="A579" s="72"/>
      <c r="B579" s="72"/>
      <c r="C579" s="72"/>
      <c r="D579" s="72"/>
      <c r="E579" s="72"/>
      <c r="F579" s="72"/>
      <c r="G579" s="72"/>
      <c r="H579" s="72"/>
      <c r="I579" s="72"/>
      <c r="J579" s="72"/>
      <c r="K579" s="73"/>
      <c r="L579" s="74"/>
      <c r="M579" s="72"/>
      <c r="N579" s="72"/>
      <c r="O579" s="72"/>
      <c r="P579" s="72"/>
      <c r="Q579" s="72"/>
      <c r="R579" s="72"/>
      <c r="S579" s="72"/>
      <c r="T579" s="72"/>
      <c r="U579" s="72"/>
      <c r="V579" s="72"/>
      <c r="W579" s="72"/>
      <c r="X579" s="72"/>
      <c r="Y579" s="72"/>
      <c r="Z579" s="72"/>
    </row>
    <row r="580" spans="1:26" ht="15.75" customHeight="1">
      <c r="A580" s="72"/>
      <c r="B580" s="72"/>
      <c r="C580" s="72"/>
      <c r="D580" s="72"/>
      <c r="E580" s="72"/>
      <c r="F580" s="72"/>
      <c r="G580" s="72"/>
      <c r="H580" s="72"/>
      <c r="I580" s="72"/>
      <c r="J580" s="72"/>
      <c r="K580" s="73"/>
      <c r="L580" s="74"/>
      <c r="M580" s="72"/>
      <c r="N580" s="72"/>
      <c r="O580" s="72"/>
      <c r="P580" s="72"/>
      <c r="Q580" s="72"/>
      <c r="R580" s="72"/>
      <c r="S580" s="72"/>
      <c r="T580" s="72"/>
      <c r="U580" s="72"/>
      <c r="V580" s="72"/>
      <c r="W580" s="72"/>
      <c r="X580" s="72"/>
      <c r="Y580" s="72"/>
      <c r="Z580" s="72"/>
    </row>
    <row r="581" spans="1:26" ht="15.75" customHeight="1">
      <c r="A581" s="72"/>
      <c r="B581" s="72"/>
      <c r="C581" s="72"/>
      <c r="D581" s="72"/>
      <c r="E581" s="72"/>
      <c r="F581" s="72"/>
      <c r="G581" s="72"/>
      <c r="H581" s="72"/>
      <c r="I581" s="72"/>
      <c r="J581" s="72"/>
      <c r="K581" s="73"/>
      <c r="L581" s="74"/>
      <c r="M581" s="72"/>
      <c r="N581" s="72"/>
      <c r="O581" s="72"/>
      <c r="P581" s="72"/>
      <c r="Q581" s="72"/>
      <c r="R581" s="72"/>
      <c r="S581" s="72"/>
      <c r="T581" s="72"/>
      <c r="U581" s="72"/>
      <c r="V581" s="72"/>
      <c r="W581" s="72"/>
      <c r="X581" s="72"/>
      <c r="Y581" s="72"/>
      <c r="Z581" s="72"/>
    </row>
    <row r="582" spans="1:26" ht="15.75" customHeight="1">
      <c r="A582" s="72"/>
      <c r="B582" s="72"/>
      <c r="C582" s="72"/>
      <c r="D582" s="72"/>
      <c r="E582" s="72"/>
      <c r="F582" s="72"/>
      <c r="G582" s="72"/>
      <c r="H582" s="72"/>
      <c r="I582" s="72"/>
      <c r="J582" s="72"/>
      <c r="K582" s="73"/>
      <c r="L582" s="74"/>
      <c r="M582" s="72"/>
      <c r="N582" s="72"/>
      <c r="O582" s="72"/>
      <c r="P582" s="72"/>
      <c r="Q582" s="72"/>
      <c r="R582" s="72"/>
      <c r="S582" s="72"/>
      <c r="T582" s="72"/>
      <c r="U582" s="72"/>
      <c r="V582" s="72"/>
      <c r="W582" s="72"/>
      <c r="X582" s="72"/>
      <c r="Y582" s="72"/>
      <c r="Z582" s="72"/>
    </row>
    <row r="583" spans="1:26" ht="15.75" customHeight="1">
      <c r="A583" s="72"/>
      <c r="B583" s="72"/>
      <c r="C583" s="72"/>
      <c r="D583" s="72"/>
      <c r="E583" s="72"/>
      <c r="F583" s="72"/>
      <c r="G583" s="72"/>
      <c r="H583" s="72"/>
      <c r="I583" s="72"/>
      <c r="J583" s="72"/>
      <c r="K583" s="73"/>
      <c r="L583" s="74"/>
      <c r="M583" s="72"/>
      <c r="N583" s="72"/>
      <c r="O583" s="72"/>
      <c r="P583" s="72"/>
      <c r="Q583" s="72"/>
      <c r="R583" s="72"/>
      <c r="S583" s="72"/>
      <c r="T583" s="72"/>
      <c r="U583" s="72"/>
      <c r="V583" s="72"/>
      <c r="W583" s="72"/>
      <c r="X583" s="72"/>
      <c r="Y583" s="72"/>
      <c r="Z583" s="72"/>
    </row>
    <row r="584" spans="1:26" ht="15.75" customHeight="1">
      <c r="A584" s="72"/>
      <c r="B584" s="72"/>
      <c r="C584" s="72"/>
      <c r="D584" s="72"/>
      <c r="E584" s="72"/>
      <c r="F584" s="72"/>
      <c r="G584" s="72"/>
      <c r="H584" s="72"/>
      <c r="I584" s="72"/>
      <c r="J584" s="72"/>
      <c r="K584" s="73"/>
      <c r="L584" s="74"/>
      <c r="M584" s="72"/>
      <c r="N584" s="72"/>
      <c r="O584" s="72"/>
      <c r="P584" s="72"/>
      <c r="Q584" s="72"/>
      <c r="R584" s="72"/>
      <c r="S584" s="72"/>
      <c r="T584" s="72"/>
      <c r="U584" s="72"/>
      <c r="V584" s="72"/>
      <c r="W584" s="72"/>
      <c r="X584" s="72"/>
      <c r="Y584" s="72"/>
      <c r="Z584" s="72"/>
    </row>
    <row r="585" spans="1:26" ht="15.75" customHeight="1">
      <c r="A585" s="72"/>
      <c r="B585" s="72"/>
      <c r="C585" s="72"/>
      <c r="D585" s="72"/>
      <c r="E585" s="72"/>
      <c r="F585" s="72"/>
      <c r="G585" s="72"/>
      <c r="H585" s="72"/>
      <c r="I585" s="72"/>
      <c r="J585" s="72"/>
      <c r="K585" s="73"/>
      <c r="L585" s="74"/>
      <c r="M585" s="72"/>
      <c r="N585" s="72"/>
      <c r="O585" s="72"/>
      <c r="P585" s="72"/>
      <c r="Q585" s="72"/>
      <c r="R585" s="72"/>
      <c r="S585" s="72"/>
      <c r="T585" s="72"/>
      <c r="U585" s="72"/>
      <c r="V585" s="72"/>
      <c r="W585" s="72"/>
      <c r="X585" s="72"/>
      <c r="Y585" s="72"/>
      <c r="Z585" s="72"/>
    </row>
    <row r="586" spans="1:26" ht="15.75" customHeight="1">
      <c r="A586" s="72"/>
      <c r="B586" s="72"/>
      <c r="C586" s="72"/>
      <c r="D586" s="72"/>
      <c r="E586" s="72"/>
      <c r="F586" s="72"/>
      <c r="G586" s="72"/>
      <c r="H586" s="72"/>
      <c r="I586" s="72"/>
      <c r="J586" s="72"/>
      <c r="K586" s="73"/>
      <c r="L586" s="74"/>
      <c r="M586" s="72"/>
      <c r="N586" s="72"/>
      <c r="O586" s="72"/>
      <c r="P586" s="72"/>
      <c r="Q586" s="72"/>
      <c r="R586" s="72"/>
      <c r="S586" s="72"/>
      <c r="T586" s="72"/>
      <c r="U586" s="72"/>
      <c r="V586" s="72"/>
      <c r="W586" s="72"/>
      <c r="X586" s="72"/>
      <c r="Y586" s="72"/>
      <c r="Z586" s="72"/>
    </row>
    <row r="587" spans="1:26" ht="15.75" customHeight="1">
      <c r="A587" s="72"/>
      <c r="B587" s="72"/>
      <c r="C587" s="72"/>
      <c r="D587" s="72"/>
      <c r="E587" s="72"/>
      <c r="F587" s="72"/>
      <c r="G587" s="72"/>
      <c r="H587" s="72"/>
      <c r="I587" s="72"/>
      <c r="J587" s="72"/>
      <c r="K587" s="73"/>
      <c r="L587" s="74"/>
      <c r="M587" s="72"/>
      <c r="N587" s="72"/>
      <c r="O587" s="72"/>
      <c r="P587" s="72"/>
      <c r="Q587" s="72"/>
      <c r="R587" s="72"/>
      <c r="S587" s="72"/>
      <c r="T587" s="72"/>
      <c r="U587" s="72"/>
      <c r="V587" s="72"/>
      <c r="W587" s="72"/>
      <c r="X587" s="72"/>
      <c r="Y587" s="72"/>
      <c r="Z587" s="72"/>
    </row>
    <row r="588" spans="1:26" ht="15.75" customHeight="1">
      <c r="A588" s="72"/>
      <c r="B588" s="72"/>
      <c r="C588" s="72"/>
      <c r="D588" s="72"/>
      <c r="E588" s="72"/>
      <c r="F588" s="72"/>
      <c r="G588" s="72"/>
      <c r="H588" s="72"/>
      <c r="I588" s="72"/>
      <c r="J588" s="72"/>
      <c r="K588" s="73"/>
      <c r="L588" s="74"/>
      <c r="M588" s="72"/>
      <c r="N588" s="72"/>
      <c r="O588" s="72"/>
      <c r="P588" s="72"/>
      <c r="Q588" s="72"/>
      <c r="R588" s="72"/>
      <c r="S588" s="72"/>
      <c r="T588" s="72"/>
      <c r="U588" s="72"/>
      <c r="V588" s="72"/>
      <c r="W588" s="72"/>
      <c r="X588" s="72"/>
      <c r="Y588" s="72"/>
      <c r="Z588" s="72"/>
    </row>
    <row r="589" spans="1:26" ht="15.75" customHeight="1">
      <c r="A589" s="72"/>
      <c r="B589" s="72"/>
      <c r="C589" s="72"/>
      <c r="D589" s="72"/>
      <c r="E589" s="72"/>
      <c r="F589" s="72"/>
      <c r="G589" s="72"/>
      <c r="H589" s="72"/>
      <c r="I589" s="72"/>
      <c r="J589" s="72"/>
      <c r="K589" s="73"/>
      <c r="L589" s="74"/>
      <c r="M589" s="72"/>
      <c r="N589" s="72"/>
      <c r="O589" s="72"/>
      <c r="P589" s="72"/>
      <c r="Q589" s="72"/>
      <c r="R589" s="72"/>
      <c r="S589" s="72"/>
      <c r="T589" s="72"/>
      <c r="U589" s="72"/>
      <c r="V589" s="72"/>
      <c r="W589" s="72"/>
      <c r="X589" s="72"/>
      <c r="Y589" s="72"/>
      <c r="Z589" s="72"/>
    </row>
    <row r="590" spans="1:26" ht="15.75" customHeight="1">
      <c r="A590" s="72"/>
      <c r="B590" s="72"/>
      <c r="C590" s="72"/>
      <c r="D590" s="72"/>
      <c r="E590" s="72"/>
      <c r="F590" s="72"/>
      <c r="G590" s="72"/>
      <c r="H590" s="72"/>
      <c r="I590" s="72"/>
      <c r="J590" s="72"/>
      <c r="K590" s="73"/>
      <c r="L590" s="74"/>
      <c r="M590" s="72"/>
      <c r="N590" s="72"/>
      <c r="O590" s="72"/>
      <c r="P590" s="72"/>
      <c r="Q590" s="72"/>
      <c r="R590" s="72"/>
      <c r="S590" s="72"/>
      <c r="T590" s="72"/>
      <c r="U590" s="72"/>
      <c r="V590" s="72"/>
      <c r="W590" s="72"/>
      <c r="X590" s="72"/>
      <c r="Y590" s="72"/>
      <c r="Z590" s="72"/>
    </row>
    <row r="591" spans="1:26" ht="15.75" customHeight="1">
      <c r="A591" s="72"/>
      <c r="B591" s="72"/>
      <c r="C591" s="72"/>
      <c r="D591" s="72"/>
      <c r="E591" s="72"/>
      <c r="F591" s="72"/>
      <c r="G591" s="72"/>
      <c r="H591" s="72"/>
      <c r="I591" s="72"/>
      <c r="J591" s="72"/>
      <c r="K591" s="73"/>
      <c r="L591" s="74"/>
      <c r="M591" s="72"/>
      <c r="N591" s="72"/>
      <c r="O591" s="72"/>
      <c r="P591" s="72"/>
      <c r="Q591" s="72"/>
      <c r="R591" s="72"/>
      <c r="S591" s="72"/>
      <c r="T591" s="72"/>
      <c r="U591" s="72"/>
      <c r="V591" s="72"/>
      <c r="W591" s="72"/>
      <c r="X591" s="72"/>
      <c r="Y591" s="72"/>
      <c r="Z591" s="72"/>
    </row>
    <row r="592" spans="1:26" ht="15.75" customHeight="1">
      <c r="A592" s="72"/>
      <c r="B592" s="72"/>
      <c r="C592" s="72"/>
      <c r="D592" s="72"/>
      <c r="E592" s="72"/>
      <c r="F592" s="72"/>
      <c r="G592" s="72"/>
      <c r="H592" s="72"/>
      <c r="I592" s="72"/>
      <c r="J592" s="72"/>
      <c r="K592" s="73"/>
      <c r="L592" s="74"/>
      <c r="M592" s="72"/>
      <c r="N592" s="72"/>
      <c r="O592" s="72"/>
      <c r="P592" s="72"/>
      <c r="Q592" s="72"/>
      <c r="R592" s="72"/>
      <c r="S592" s="72"/>
      <c r="T592" s="72"/>
      <c r="U592" s="72"/>
      <c r="V592" s="72"/>
      <c r="W592" s="72"/>
      <c r="X592" s="72"/>
      <c r="Y592" s="72"/>
      <c r="Z592" s="72"/>
    </row>
    <row r="593" spans="1:26" ht="15.75" customHeight="1">
      <c r="A593" s="72"/>
      <c r="B593" s="72"/>
      <c r="C593" s="72"/>
      <c r="D593" s="72"/>
      <c r="E593" s="72"/>
      <c r="F593" s="72"/>
      <c r="G593" s="72"/>
      <c r="H593" s="72"/>
      <c r="I593" s="72"/>
      <c r="J593" s="72"/>
      <c r="K593" s="73"/>
      <c r="L593" s="74"/>
      <c r="M593" s="72"/>
      <c r="N593" s="72"/>
      <c r="O593" s="72"/>
      <c r="P593" s="72"/>
      <c r="Q593" s="72"/>
      <c r="R593" s="72"/>
      <c r="S593" s="72"/>
      <c r="T593" s="72"/>
      <c r="U593" s="72"/>
      <c r="V593" s="72"/>
      <c r="W593" s="72"/>
      <c r="X593" s="72"/>
      <c r="Y593" s="72"/>
      <c r="Z593" s="72"/>
    </row>
    <row r="594" spans="1:26" ht="15.75" customHeight="1">
      <c r="A594" s="72"/>
      <c r="B594" s="72"/>
      <c r="C594" s="72"/>
      <c r="D594" s="72"/>
      <c r="E594" s="72"/>
      <c r="F594" s="72"/>
      <c r="G594" s="72"/>
      <c r="H594" s="72"/>
      <c r="I594" s="72"/>
      <c r="J594" s="72"/>
      <c r="K594" s="73"/>
      <c r="L594" s="74"/>
      <c r="M594" s="72"/>
      <c r="N594" s="72"/>
      <c r="O594" s="72"/>
      <c r="P594" s="72"/>
      <c r="Q594" s="72"/>
      <c r="R594" s="72"/>
      <c r="S594" s="72"/>
      <c r="T594" s="72"/>
      <c r="U594" s="72"/>
      <c r="V594" s="72"/>
      <c r="W594" s="72"/>
      <c r="X594" s="72"/>
      <c r="Y594" s="72"/>
      <c r="Z594" s="72"/>
    </row>
    <row r="595" spans="1:26" ht="15.75" customHeight="1">
      <c r="A595" s="72"/>
      <c r="B595" s="72"/>
      <c r="C595" s="72"/>
      <c r="D595" s="72"/>
      <c r="E595" s="72"/>
      <c r="F595" s="72"/>
      <c r="G595" s="72"/>
      <c r="H595" s="72"/>
      <c r="I595" s="72"/>
      <c r="J595" s="72"/>
      <c r="K595" s="73"/>
      <c r="L595" s="74"/>
      <c r="M595" s="72"/>
      <c r="N595" s="72"/>
      <c r="O595" s="72"/>
      <c r="P595" s="72"/>
      <c r="Q595" s="72"/>
      <c r="R595" s="72"/>
      <c r="S595" s="72"/>
      <c r="T595" s="72"/>
      <c r="U595" s="72"/>
      <c r="V595" s="72"/>
      <c r="W595" s="72"/>
      <c r="X595" s="72"/>
      <c r="Y595" s="72"/>
      <c r="Z595" s="72"/>
    </row>
    <row r="596" spans="1:26" ht="15.75" customHeight="1">
      <c r="A596" s="72"/>
      <c r="B596" s="72"/>
      <c r="C596" s="72"/>
      <c r="D596" s="72"/>
      <c r="E596" s="72"/>
      <c r="F596" s="72"/>
      <c r="G596" s="72"/>
      <c r="H596" s="72"/>
      <c r="I596" s="72"/>
      <c r="J596" s="72"/>
      <c r="K596" s="73"/>
      <c r="L596" s="74"/>
      <c r="M596" s="72"/>
      <c r="N596" s="72"/>
      <c r="O596" s="72"/>
      <c r="P596" s="72"/>
      <c r="Q596" s="72"/>
      <c r="R596" s="72"/>
      <c r="S596" s="72"/>
      <c r="T596" s="72"/>
      <c r="U596" s="72"/>
      <c r="V596" s="72"/>
      <c r="W596" s="72"/>
      <c r="X596" s="72"/>
      <c r="Y596" s="72"/>
      <c r="Z596" s="72"/>
    </row>
    <row r="597" spans="1:26" ht="15.75" customHeight="1">
      <c r="A597" s="72"/>
      <c r="B597" s="72"/>
      <c r="C597" s="72"/>
      <c r="D597" s="72"/>
      <c r="E597" s="72"/>
      <c r="F597" s="72"/>
      <c r="G597" s="72"/>
      <c r="H597" s="72"/>
      <c r="I597" s="72"/>
      <c r="J597" s="72"/>
      <c r="K597" s="73"/>
      <c r="L597" s="74"/>
      <c r="M597" s="72"/>
      <c r="N597" s="72"/>
      <c r="O597" s="72"/>
      <c r="P597" s="72"/>
      <c r="Q597" s="72"/>
      <c r="R597" s="72"/>
      <c r="S597" s="72"/>
      <c r="T597" s="72"/>
      <c r="U597" s="72"/>
      <c r="V597" s="72"/>
      <c r="W597" s="72"/>
      <c r="X597" s="72"/>
      <c r="Y597" s="72"/>
      <c r="Z597" s="72"/>
    </row>
    <row r="598" spans="1:26" ht="15.75" customHeight="1">
      <c r="A598" s="72"/>
      <c r="B598" s="72"/>
      <c r="C598" s="72"/>
      <c r="D598" s="72"/>
      <c r="E598" s="72"/>
      <c r="F598" s="72"/>
      <c r="G598" s="72"/>
      <c r="H598" s="72"/>
      <c r="I598" s="72"/>
      <c r="J598" s="72"/>
      <c r="K598" s="73"/>
      <c r="L598" s="74"/>
      <c r="M598" s="72"/>
      <c r="N598" s="72"/>
      <c r="O598" s="72"/>
      <c r="P598" s="72"/>
      <c r="Q598" s="72"/>
      <c r="R598" s="72"/>
      <c r="S598" s="72"/>
      <c r="T598" s="72"/>
      <c r="U598" s="72"/>
      <c r="V598" s="72"/>
      <c r="W598" s="72"/>
      <c r="X598" s="72"/>
      <c r="Y598" s="72"/>
      <c r="Z598" s="72"/>
    </row>
    <row r="599" spans="1:26" ht="15.75" customHeight="1">
      <c r="A599" s="72"/>
      <c r="B599" s="72"/>
      <c r="C599" s="72"/>
      <c r="D599" s="72"/>
      <c r="E599" s="72"/>
      <c r="F599" s="72"/>
      <c r="G599" s="72"/>
      <c r="H599" s="72"/>
      <c r="I599" s="72"/>
      <c r="J599" s="72"/>
      <c r="K599" s="73"/>
      <c r="L599" s="74"/>
      <c r="M599" s="72"/>
      <c r="N599" s="72"/>
      <c r="O599" s="72"/>
      <c r="P599" s="72"/>
      <c r="Q599" s="72"/>
      <c r="R599" s="72"/>
      <c r="S599" s="72"/>
      <c r="T599" s="72"/>
      <c r="U599" s="72"/>
      <c r="V599" s="72"/>
      <c r="W599" s="72"/>
      <c r="X599" s="72"/>
      <c r="Y599" s="72"/>
      <c r="Z599" s="72"/>
    </row>
    <row r="600" spans="1:26" ht="15.75" customHeight="1">
      <c r="A600" s="72"/>
      <c r="B600" s="72"/>
      <c r="C600" s="72"/>
      <c r="D600" s="72"/>
      <c r="E600" s="72"/>
      <c r="F600" s="72"/>
      <c r="G600" s="72"/>
      <c r="H600" s="72"/>
      <c r="I600" s="72"/>
      <c r="J600" s="72"/>
      <c r="K600" s="73"/>
      <c r="L600" s="74"/>
      <c r="M600" s="72"/>
      <c r="N600" s="72"/>
      <c r="O600" s="72"/>
      <c r="P600" s="72"/>
      <c r="Q600" s="72"/>
      <c r="R600" s="72"/>
      <c r="S600" s="72"/>
      <c r="T600" s="72"/>
      <c r="U600" s="72"/>
      <c r="V600" s="72"/>
      <c r="W600" s="72"/>
      <c r="X600" s="72"/>
      <c r="Y600" s="72"/>
      <c r="Z600" s="72"/>
    </row>
    <row r="601" spans="1:26" ht="15.75" customHeight="1">
      <c r="A601" s="72"/>
      <c r="B601" s="72"/>
      <c r="C601" s="72"/>
      <c r="D601" s="72"/>
      <c r="E601" s="72"/>
      <c r="F601" s="72"/>
      <c r="G601" s="72"/>
      <c r="H601" s="72"/>
      <c r="I601" s="72"/>
      <c r="J601" s="72"/>
      <c r="K601" s="73"/>
      <c r="L601" s="74"/>
      <c r="M601" s="72"/>
      <c r="N601" s="72"/>
      <c r="O601" s="72"/>
      <c r="P601" s="72"/>
      <c r="Q601" s="72"/>
      <c r="R601" s="72"/>
      <c r="S601" s="72"/>
      <c r="T601" s="72"/>
      <c r="U601" s="72"/>
      <c r="V601" s="72"/>
      <c r="W601" s="72"/>
      <c r="X601" s="72"/>
      <c r="Y601" s="72"/>
      <c r="Z601" s="72"/>
    </row>
    <row r="602" spans="1:26" ht="15.75" customHeight="1">
      <c r="A602" s="72"/>
      <c r="B602" s="72"/>
      <c r="C602" s="72"/>
      <c r="D602" s="72"/>
      <c r="E602" s="72"/>
      <c r="F602" s="72"/>
      <c r="G602" s="72"/>
      <c r="H602" s="72"/>
      <c r="I602" s="72"/>
      <c r="J602" s="72"/>
      <c r="K602" s="73"/>
      <c r="L602" s="74"/>
      <c r="M602" s="72"/>
      <c r="N602" s="72"/>
      <c r="O602" s="72"/>
      <c r="P602" s="72"/>
      <c r="Q602" s="72"/>
      <c r="R602" s="72"/>
      <c r="S602" s="72"/>
      <c r="T602" s="72"/>
      <c r="U602" s="72"/>
      <c r="V602" s="72"/>
      <c r="W602" s="72"/>
      <c r="X602" s="72"/>
      <c r="Y602" s="72"/>
      <c r="Z602" s="72"/>
    </row>
    <row r="603" spans="1:26" ht="15.75" customHeight="1">
      <c r="A603" s="72"/>
      <c r="B603" s="72"/>
      <c r="C603" s="72"/>
      <c r="D603" s="72"/>
      <c r="E603" s="72"/>
      <c r="F603" s="72"/>
      <c r="G603" s="72"/>
      <c r="H603" s="72"/>
      <c r="I603" s="72"/>
      <c r="J603" s="72"/>
      <c r="K603" s="73"/>
      <c r="L603" s="74"/>
      <c r="M603" s="72"/>
      <c r="N603" s="72"/>
      <c r="O603" s="72"/>
      <c r="P603" s="72"/>
      <c r="Q603" s="72"/>
      <c r="R603" s="72"/>
      <c r="S603" s="72"/>
      <c r="T603" s="72"/>
      <c r="U603" s="72"/>
      <c r="V603" s="72"/>
      <c r="W603" s="72"/>
      <c r="X603" s="72"/>
      <c r="Y603" s="72"/>
      <c r="Z603" s="72"/>
    </row>
    <row r="604" spans="1:26" ht="15.75" customHeight="1">
      <c r="A604" s="72"/>
      <c r="B604" s="72"/>
      <c r="C604" s="72"/>
      <c r="D604" s="72"/>
      <c r="E604" s="72"/>
      <c r="F604" s="72"/>
      <c r="G604" s="72"/>
      <c r="H604" s="72"/>
      <c r="I604" s="72"/>
      <c r="J604" s="72"/>
      <c r="K604" s="73"/>
      <c r="L604" s="74"/>
      <c r="M604" s="72"/>
      <c r="N604" s="72"/>
      <c r="O604" s="72"/>
      <c r="P604" s="72"/>
      <c r="Q604" s="72"/>
      <c r="R604" s="72"/>
      <c r="S604" s="72"/>
      <c r="T604" s="72"/>
      <c r="U604" s="72"/>
      <c r="V604" s="72"/>
      <c r="W604" s="72"/>
      <c r="X604" s="72"/>
      <c r="Y604" s="72"/>
      <c r="Z604" s="72"/>
    </row>
    <row r="605" spans="1:26" ht="15.75" customHeight="1">
      <c r="A605" s="72"/>
      <c r="B605" s="72"/>
      <c r="C605" s="72"/>
      <c r="D605" s="72"/>
      <c r="E605" s="72"/>
      <c r="F605" s="72"/>
      <c r="G605" s="72"/>
      <c r="H605" s="72"/>
      <c r="I605" s="72"/>
      <c r="J605" s="72"/>
      <c r="K605" s="73"/>
      <c r="L605" s="74"/>
      <c r="M605" s="72"/>
      <c r="N605" s="72"/>
      <c r="O605" s="72"/>
      <c r="P605" s="72"/>
      <c r="Q605" s="72"/>
      <c r="R605" s="72"/>
      <c r="S605" s="72"/>
      <c r="T605" s="72"/>
      <c r="U605" s="72"/>
      <c r="V605" s="72"/>
      <c r="W605" s="72"/>
      <c r="X605" s="72"/>
      <c r="Y605" s="72"/>
      <c r="Z605" s="72"/>
    </row>
    <row r="606" spans="1:26" ht="15.75" customHeight="1">
      <c r="A606" s="72"/>
      <c r="B606" s="72"/>
      <c r="C606" s="72"/>
      <c r="D606" s="72"/>
      <c r="E606" s="72"/>
      <c r="F606" s="72"/>
      <c r="G606" s="72"/>
      <c r="H606" s="72"/>
      <c r="I606" s="72"/>
      <c r="J606" s="72"/>
      <c r="K606" s="73"/>
      <c r="L606" s="74"/>
      <c r="M606" s="72"/>
      <c r="N606" s="72"/>
      <c r="O606" s="72"/>
      <c r="P606" s="72"/>
      <c r="Q606" s="72"/>
      <c r="R606" s="72"/>
      <c r="S606" s="72"/>
      <c r="T606" s="72"/>
      <c r="U606" s="72"/>
      <c r="V606" s="72"/>
      <c r="W606" s="72"/>
      <c r="X606" s="72"/>
      <c r="Y606" s="72"/>
      <c r="Z606" s="72"/>
    </row>
    <row r="607" spans="1:26" ht="15.75" customHeight="1">
      <c r="A607" s="72"/>
      <c r="B607" s="72"/>
      <c r="C607" s="72"/>
      <c r="D607" s="72"/>
      <c r="E607" s="72"/>
      <c r="F607" s="72"/>
      <c r="G607" s="72"/>
      <c r="H607" s="72"/>
      <c r="I607" s="72"/>
      <c r="J607" s="72"/>
      <c r="K607" s="73"/>
      <c r="L607" s="74"/>
      <c r="M607" s="72"/>
      <c r="N607" s="72"/>
      <c r="O607" s="72"/>
      <c r="P607" s="72"/>
      <c r="Q607" s="72"/>
      <c r="R607" s="72"/>
      <c r="S607" s="72"/>
      <c r="T607" s="72"/>
      <c r="U607" s="72"/>
      <c r="V607" s="72"/>
      <c r="W607" s="72"/>
      <c r="X607" s="72"/>
      <c r="Y607" s="72"/>
      <c r="Z607" s="72"/>
    </row>
    <row r="608" spans="1:26" ht="15.75" customHeight="1">
      <c r="A608" s="72"/>
      <c r="B608" s="72"/>
      <c r="C608" s="72"/>
      <c r="D608" s="72"/>
      <c r="E608" s="72"/>
      <c r="F608" s="72"/>
      <c r="G608" s="72"/>
      <c r="H608" s="72"/>
      <c r="I608" s="72"/>
      <c r="J608" s="72"/>
      <c r="K608" s="73"/>
      <c r="L608" s="74"/>
      <c r="M608" s="72"/>
      <c r="N608" s="72"/>
      <c r="O608" s="72"/>
      <c r="P608" s="72"/>
      <c r="Q608" s="72"/>
      <c r="R608" s="72"/>
      <c r="S608" s="72"/>
      <c r="T608" s="72"/>
      <c r="U608" s="72"/>
      <c r="V608" s="72"/>
      <c r="W608" s="72"/>
      <c r="X608" s="72"/>
      <c r="Y608" s="72"/>
      <c r="Z608" s="72"/>
    </row>
    <row r="609" spans="1:26" ht="15.75" customHeight="1">
      <c r="A609" s="72"/>
      <c r="B609" s="72"/>
      <c r="C609" s="72"/>
      <c r="D609" s="72"/>
      <c r="E609" s="72"/>
      <c r="F609" s="72"/>
      <c r="G609" s="72"/>
      <c r="H609" s="72"/>
      <c r="I609" s="72"/>
      <c r="J609" s="72"/>
      <c r="K609" s="73"/>
      <c r="L609" s="74"/>
      <c r="M609" s="72"/>
      <c r="N609" s="72"/>
      <c r="O609" s="72"/>
      <c r="P609" s="72"/>
      <c r="Q609" s="72"/>
      <c r="R609" s="72"/>
      <c r="S609" s="72"/>
      <c r="T609" s="72"/>
      <c r="U609" s="72"/>
      <c r="V609" s="72"/>
      <c r="W609" s="72"/>
      <c r="X609" s="72"/>
      <c r="Y609" s="72"/>
      <c r="Z609" s="72"/>
    </row>
    <row r="610" spans="1:26" ht="15.75" customHeight="1">
      <c r="A610" s="72"/>
      <c r="B610" s="72"/>
      <c r="C610" s="72"/>
      <c r="D610" s="72"/>
      <c r="E610" s="72"/>
      <c r="F610" s="72"/>
      <c r="G610" s="72"/>
      <c r="H610" s="72"/>
      <c r="I610" s="72"/>
      <c r="J610" s="72"/>
      <c r="K610" s="73"/>
      <c r="L610" s="74"/>
      <c r="M610" s="72"/>
      <c r="N610" s="72"/>
      <c r="O610" s="72"/>
      <c r="P610" s="72"/>
      <c r="Q610" s="72"/>
      <c r="R610" s="72"/>
      <c r="S610" s="72"/>
      <c r="T610" s="72"/>
      <c r="U610" s="72"/>
      <c r="V610" s="72"/>
      <c r="W610" s="72"/>
      <c r="X610" s="72"/>
      <c r="Y610" s="72"/>
      <c r="Z610" s="72"/>
    </row>
    <row r="611" spans="1:26" ht="15.75" customHeight="1">
      <c r="A611" s="72"/>
      <c r="B611" s="72"/>
      <c r="C611" s="72"/>
      <c r="D611" s="72"/>
      <c r="E611" s="72"/>
      <c r="F611" s="72"/>
      <c r="G611" s="72"/>
      <c r="H611" s="72"/>
      <c r="I611" s="72"/>
      <c r="J611" s="72"/>
      <c r="K611" s="73"/>
      <c r="L611" s="74"/>
      <c r="M611" s="72"/>
      <c r="N611" s="72"/>
      <c r="O611" s="72"/>
      <c r="P611" s="72"/>
      <c r="Q611" s="72"/>
      <c r="R611" s="72"/>
      <c r="S611" s="72"/>
      <c r="T611" s="72"/>
      <c r="U611" s="72"/>
      <c r="V611" s="72"/>
      <c r="W611" s="72"/>
      <c r="X611" s="72"/>
      <c r="Y611" s="72"/>
      <c r="Z611" s="72"/>
    </row>
    <row r="612" spans="1:26" ht="15.75" customHeight="1">
      <c r="A612" s="72"/>
      <c r="B612" s="72"/>
      <c r="C612" s="72"/>
      <c r="D612" s="72"/>
      <c r="E612" s="72"/>
      <c r="F612" s="72"/>
      <c r="G612" s="72"/>
      <c r="H612" s="72"/>
      <c r="I612" s="72"/>
      <c r="J612" s="72"/>
      <c r="K612" s="73"/>
      <c r="L612" s="74"/>
      <c r="M612" s="72"/>
      <c r="N612" s="72"/>
      <c r="O612" s="72"/>
      <c r="P612" s="72"/>
      <c r="Q612" s="72"/>
      <c r="R612" s="72"/>
      <c r="S612" s="72"/>
      <c r="T612" s="72"/>
      <c r="U612" s="72"/>
      <c r="V612" s="72"/>
      <c r="W612" s="72"/>
      <c r="X612" s="72"/>
      <c r="Y612" s="72"/>
      <c r="Z612" s="72"/>
    </row>
    <row r="613" spans="1:26" ht="15.75" customHeight="1">
      <c r="A613" s="72"/>
      <c r="B613" s="72"/>
      <c r="C613" s="72"/>
      <c r="D613" s="72"/>
      <c r="E613" s="72"/>
      <c r="F613" s="72"/>
      <c r="G613" s="72"/>
      <c r="H613" s="72"/>
      <c r="I613" s="72"/>
      <c r="J613" s="72"/>
      <c r="K613" s="73"/>
      <c r="L613" s="74"/>
      <c r="M613" s="72"/>
      <c r="N613" s="72"/>
      <c r="O613" s="72"/>
      <c r="P613" s="72"/>
      <c r="Q613" s="72"/>
      <c r="R613" s="72"/>
      <c r="S613" s="72"/>
      <c r="T613" s="72"/>
      <c r="U613" s="72"/>
      <c r="V613" s="72"/>
      <c r="W613" s="72"/>
      <c r="X613" s="72"/>
      <c r="Y613" s="72"/>
      <c r="Z613" s="72"/>
    </row>
    <row r="614" spans="1:26" ht="15.75" customHeight="1">
      <c r="A614" s="72"/>
      <c r="B614" s="72"/>
      <c r="C614" s="72"/>
      <c r="D614" s="72"/>
      <c r="E614" s="72"/>
      <c r="F614" s="72"/>
      <c r="G614" s="72"/>
      <c r="H614" s="72"/>
      <c r="I614" s="72"/>
      <c r="J614" s="72"/>
      <c r="K614" s="73"/>
      <c r="L614" s="74"/>
      <c r="M614" s="72"/>
      <c r="N614" s="72"/>
      <c r="O614" s="72"/>
      <c r="P614" s="72"/>
      <c r="Q614" s="72"/>
      <c r="R614" s="72"/>
      <c r="S614" s="72"/>
      <c r="T614" s="72"/>
      <c r="U614" s="72"/>
      <c r="V614" s="72"/>
      <c r="W614" s="72"/>
      <c r="X614" s="72"/>
      <c r="Y614" s="72"/>
      <c r="Z614" s="72"/>
    </row>
    <row r="615" spans="1:26" ht="15.75" customHeight="1">
      <c r="A615" s="72"/>
      <c r="B615" s="72"/>
      <c r="C615" s="72"/>
      <c r="D615" s="72"/>
      <c r="E615" s="72"/>
      <c r="F615" s="72"/>
      <c r="G615" s="72"/>
      <c r="H615" s="72"/>
      <c r="I615" s="72"/>
      <c r="J615" s="72"/>
      <c r="K615" s="73"/>
      <c r="L615" s="74"/>
      <c r="M615" s="72"/>
      <c r="N615" s="72"/>
      <c r="O615" s="72"/>
      <c r="P615" s="72"/>
      <c r="Q615" s="72"/>
      <c r="R615" s="72"/>
      <c r="S615" s="72"/>
      <c r="T615" s="72"/>
      <c r="U615" s="72"/>
      <c r="V615" s="72"/>
      <c r="W615" s="72"/>
      <c r="X615" s="72"/>
      <c r="Y615" s="72"/>
      <c r="Z615" s="72"/>
    </row>
    <row r="616" spans="1:26" ht="15.75" customHeight="1">
      <c r="A616" s="72"/>
      <c r="B616" s="72"/>
      <c r="C616" s="72"/>
      <c r="D616" s="72"/>
      <c r="E616" s="72"/>
      <c r="F616" s="72"/>
      <c r="G616" s="72"/>
      <c r="H616" s="72"/>
      <c r="I616" s="72"/>
      <c r="J616" s="72"/>
      <c r="K616" s="73"/>
      <c r="L616" s="74"/>
      <c r="M616" s="72"/>
      <c r="N616" s="72"/>
      <c r="O616" s="72"/>
      <c r="P616" s="72"/>
      <c r="Q616" s="72"/>
      <c r="R616" s="72"/>
      <c r="S616" s="72"/>
      <c r="T616" s="72"/>
      <c r="U616" s="72"/>
      <c r="V616" s="72"/>
      <c r="W616" s="72"/>
      <c r="X616" s="72"/>
      <c r="Y616" s="72"/>
      <c r="Z616" s="72"/>
    </row>
    <row r="617" spans="1:26" ht="15.75" customHeight="1">
      <c r="A617" s="72"/>
      <c r="B617" s="72"/>
      <c r="C617" s="72"/>
      <c r="D617" s="72"/>
      <c r="E617" s="72"/>
      <c r="F617" s="72"/>
      <c r="G617" s="72"/>
      <c r="H617" s="72"/>
      <c r="I617" s="72"/>
      <c r="J617" s="72"/>
      <c r="K617" s="73"/>
      <c r="L617" s="74"/>
      <c r="M617" s="72"/>
      <c r="N617" s="72"/>
      <c r="O617" s="72"/>
      <c r="P617" s="72"/>
      <c r="Q617" s="72"/>
      <c r="R617" s="72"/>
      <c r="S617" s="72"/>
      <c r="T617" s="72"/>
      <c r="U617" s="72"/>
      <c r="V617" s="72"/>
      <c r="W617" s="72"/>
      <c r="X617" s="72"/>
      <c r="Y617" s="72"/>
      <c r="Z617" s="72"/>
    </row>
    <row r="618" spans="1:26" ht="15.75" customHeight="1">
      <c r="A618" s="72"/>
      <c r="B618" s="72"/>
      <c r="C618" s="72"/>
      <c r="D618" s="72"/>
      <c r="E618" s="72"/>
      <c r="F618" s="72"/>
      <c r="G618" s="72"/>
      <c r="H618" s="72"/>
      <c r="I618" s="72"/>
      <c r="J618" s="72"/>
      <c r="K618" s="73"/>
      <c r="L618" s="74"/>
      <c r="M618" s="72"/>
      <c r="N618" s="72"/>
      <c r="O618" s="72"/>
      <c r="P618" s="72"/>
      <c r="Q618" s="72"/>
      <c r="R618" s="72"/>
      <c r="S618" s="72"/>
      <c r="T618" s="72"/>
      <c r="U618" s="72"/>
      <c r="V618" s="72"/>
      <c r="W618" s="72"/>
      <c r="X618" s="72"/>
      <c r="Y618" s="72"/>
      <c r="Z618" s="72"/>
    </row>
    <row r="619" spans="1:26" ht="15.75" customHeight="1">
      <c r="A619" s="72"/>
      <c r="B619" s="72"/>
      <c r="C619" s="72"/>
      <c r="D619" s="72"/>
      <c r="E619" s="72"/>
      <c r="F619" s="72"/>
      <c r="G619" s="72"/>
      <c r="H619" s="72"/>
      <c r="I619" s="72"/>
      <c r="J619" s="72"/>
      <c r="K619" s="73"/>
      <c r="L619" s="74"/>
      <c r="M619" s="72"/>
      <c r="N619" s="72"/>
      <c r="O619" s="72"/>
      <c r="P619" s="72"/>
      <c r="Q619" s="72"/>
      <c r="R619" s="72"/>
      <c r="S619" s="72"/>
      <c r="T619" s="72"/>
      <c r="U619" s="72"/>
      <c r="V619" s="72"/>
      <c r="W619" s="72"/>
      <c r="X619" s="72"/>
      <c r="Y619" s="72"/>
      <c r="Z619" s="72"/>
    </row>
    <row r="620" spans="1:26" ht="15.75" customHeight="1">
      <c r="A620" s="72"/>
      <c r="B620" s="72"/>
      <c r="C620" s="72"/>
      <c r="D620" s="72"/>
      <c r="E620" s="72"/>
      <c r="F620" s="72"/>
      <c r="G620" s="72"/>
      <c r="H620" s="72"/>
      <c r="I620" s="72"/>
      <c r="J620" s="72"/>
      <c r="K620" s="73"/>
      <c r="L620" s="74"/>
      <c r="M620" s="72"/>
      <c r="N620" s="72"/>
      <c r="O620" s="72"/>
      <c r="P620" s="72"/>
      <c r="Q620" s="72"/>
      <c r="R620" s="72"/>
      <c r="S620" s="72"/>
      <c r="T620" s="72"/>
      <c r="U620" s="72"/>
      <c r="V620" s="72"/>
      <c r="W620" s="72"/>
      <c r="X620" s="72"/>
      <c r="Y620" s="72"/>
      <c r="Z620" s="72"/>
    </row>
    <row r="621" spans="1:26" ht="15.75" customHeight="1">
      <c r="A621" s="72"/>
      <c r="B621" s="72"/>
      <c r="C621" s="72"/>
      <c r="D621" s="72"/>
      <c r="E621" s="72"/>
      <c r="F621" s="72"/>
      <c r="G621" s="72"/>
      <c r="H621" s="72"/>
      <c r="I621" s="72"/>
      <c r="J621" s="72"/>
      <c r="K621" s="73"/>
      <c r="L621" s="74"/>
      <c r="M621" s="72"/>
      <c r="N621" s="72"/>
      <c r="O621" s="72"/>
      <c r="P621" s="72"/>
      <c r="Q621" s="72"/>
      <c r="R621" s="72"/>
      <c r="S621" s="72"/>
      <c r="T621" s="72"/>
      <c r="U621" s="72"/>
      <c r="V621" s="72"/>
      <c r="W621" s="72"/>
      <c r="X621" s="72"/>
      <c r="Y621" s="72"/>
      <c r="Z621" s="72"/>
    </row>
    <row r="622" spans="1:26" ht="15.75" customHeight="1">
      <c r="A622" s="72"/>
      <c r="B622" s="72"/>
      <c r="C622" s="72"/>
      <c r="D622" s="72"/>
      <c r="E622" s="72"/>
      <c r="F622" s="72"/>
      <c r="G622" s="72"/>
      <c r="H622" s="72"/>
      <c r="I622" s="72"/>
      <c r="J622" s="72"/>
      <c r="K622" s="73"/>
      <c r="L622" s="74"/>
      <c r="M622" s="72"/>
      <c r="N622" s="72"/>
      <c r="O622" s="72"/>
      <c r="P622" s="72"/>
      <c r="Q622" s="72"/>
      <c r="R622" s="72"/>
      <c r="S622" s="72"/>
      <c r="T622" s="72"/>
      <c r="U622" s="72"/>
      <c r="V622" s="72"/>
      <c r="W622" s="72"/>
      <c r="X622" s="72"/>
      <c r="Y622" s="72"/>
      <c r="Z622" s="72"/>
    </row>
    <row r="623" spans="1:26" ht="15.75" customHeight="1">
      <c r="A623" s="72"/>
      <c r="B623" s="72"/>
      <c r="C623" s="72"/>
      <c r="D623" s="72"/>
      <c r="E623" s="72"/>
      <c r="F623" s="72"/>
      <c r="G623" s="72"/>
      <c r="H623" s="72"/>
      <c r="I623" s="72"/>
      <c r="J623" s="72"/>
      <c r="K623" s="73"/>
      <c r="L623" s="74"/>
      <c r="M623" s="72"/>
      <c r="N623" s="72"/>
      <c r="O623" s="72"/>
      <c r="P623" s="72"/>
      <c r="Q623" s="72"/>
      <c r="R623" s="72"/>
      <c r="S623" s="72"/>
      <c r="T623" s="72"/>
      <c r="U623" s="72"/>
      <c r="V623" s="72"/>
      <c r="W623" s="72"/>
      <c r="X623" s="72"/>
      <c r="Y623" s="72"/>
      <c r="Z623" s="72"/>
    </row>
    <row r="624" spans="1:26" ht="15.75" customHeight="1">
      <c r="A624" s="72"/>
      <c r="B624" s="72"/>
      <c r="C624" s="72"/>
      <c r="D624" s="72"/>
      <c r="E624" s="72"/>
      <c r="F624" s="72"/>
      <c r="G624" s="72"/>
      <c r="H624" s="72"/>
      <c r="I624" s="72"/>
      <c r="J624" s="72"/>
      <c r="K624" s="73"/>
      <c r="L624" s="74"/>
      <c r="M624" s="72"/>
      <c r="N624" s="72"/>
      <c r="O624" s="72"/>
      <c r="P624" s="72"/>
      <c r="Q624" s="72"/>
      <c r="R624" s="72"/>
      <c r="S624" s="72"/>
      <c r="T624" s="72"/>
      <c r="U624" s="72"/>
      <c r="V624" s="72"/>
      <c r="W624" s="72"/>
      <c r="X624" s="72"/>
      <c r="Y624" s="72"/>
      <c r="Z624" s="72"/>
    </row>
    <row r="625" spans="1:26" ht="15.75" customHeight="1">
      <c r="A625" s="72"/>
      <c r="B625" s="72"/>
      <c r="C625" s="72"/>
      <c r="D625" s="72"/>
      <c r="E625" s="72"/>
      <c r="F625" s="72"/>
      <c r="G625" s="72"/>
      <c r="H625" s="72"/>
      <c r="I625" s="72"/>
      <c r="J625" s="72"/>
      <c r="K625" s="73"/>
      <c r="L625" s="74"/>
      <c r="M625" s="72"/>
      <c r="N625" s="72"/>
      <c r="O625" s="72"/>
      <c r="P625" s="72"/>
      <c r="Q625" s="72"/>
      <c r="R625" s="72"/>
      <c r="S625" s="72"/>
      <c r="T625" s="72"/>
      <c r="U625" s="72"/>
      <c r="V625" s="72"/>
      <c r="W625" s="72"/>
      <c r="X625" s="72"/>
      <c r="Y625" s="72"/>
      <c r="Z625" s="72"/>
    </row>
    <row r="626" spans="1:26" ht="15.75" customHeight="1">
      <c r="A626" s="72"/>
      <c r="B626" s="72"/>
      <c r="C626" s="72"/>
      <c r="D626" s="72"/>
      <c r="E626" s="72"/>
      <c r="F626" s="72"/>
      <c r="G626" s="72"/>
      <c r="H626" s="72"/>
      <c r="I626" s="72"/>
      <c r="J626" s="72"/>
      <c r="K626" s="73"/>
      <c r="L626" s="74"/>
      <c r="M626" s="72"/>
      <c r="N626" s="72"/>
      <c r="O626" s="72"/>
      <c r="P626" s="72"/>
      <c r="Q626" s="72"/>
      <c r="R626" s="72"/>
      <c r="S626" s="72"/>
      <c r="T626" s="72"/>
      <c r="U626" s="72"/>
      <c r="V626" s="72"/>
      <c r="W626" s="72"/>
      <c r="X626" s="72"/>
      <c r="Y626" s="72"/>
      <c r="Z626" s="72"/>
    </row>
    <row r="627" spans="1:26" ht="15.75" customHeight="1">
      <c r="A627" s="72"/>
      <c r="B627" s="72"/>
      <c r="C627" s="72"/>
      <c r="D627" s="72"/>
      <c r="E627" s="72"/>
      <c r="F627" s="72"/>
      <c r="G627" s="72"/>
      <c r="H627" s="72"/>
      <c r="I627" s="72"/>
      <c r="J627" s="72"/>
      <c r="K627" s="73"/>
      <c r="L627" s="74"/>
      <c r="M627" s="72"/>
      <c r="N627" s="72"/>
      <c r="O627" s="72"/>
      <c r="P627" s="72"/>
      <c r="Q627" s="72"/>
      <c r="R627" s="72"/>
      <c r="S627" s="72"/>
      <c r="T627" s="72"/>
      <c r="U627" s="72"/>
      <c r="V627" s="72"/>
      <c r="W627" s="72"/>
      <c r="X627" s="72"/>
      <c r="Y627" s="72"/>
      <c r="Z627" s="72"/>
    </row>
    <row r="628" spans="1:26" ht="15.75" customHeight="1">
      <c r="A628" s="72"/>
      <c r="B628" s="72"/>
      <c r="C628" s="72"/>
      <c r="D628" s="72"/>
      <c r="E628" s="72"/>
      <c r="F628" s="72"/>
      <c r="G628" s="72"/>
      <c r="H628" s="72"/>
      <c r="I628" s="72"/>
      <c r="J628" s="72"/>
      <c r="K628" s="73"/>
      <c r="L628" s="74"/>
      <c r="M628" s="72"/>
      <c r="N628" s="72"/>
      <c r="O628" s="72"/>
      <c r="P628" s="72"/>
      <c r="Q628" s="72"/>
      <c r="R628" s="72"/>
      <c r="S628" s="72"/>
      <c r="T628" s="72"/>
      <c r="U628" s="72"/>
      <c r="V628" s="72"/>
      <c r="W628" s="72"/>
      <c r="X628" s="72"/>
      <c r="Y628" s="72"/>
      <c r="Z628" s="72"/>
    </row>
    <row r="629" spans="1:26" ht="15.75" customHeight="1">
      <c r="A629" s="72"/>
      <c r="B629" s="72"/>
      <c r="C629" s="72"/>
      <c r="D629" s="72"/>
      <c r="E629" s="72"/>
      <c r="F629" s="72"/>
      <c r="G629" s="72"/>
      <c r="H629" s="72"/>
      <c r="I629" s="72"/>
      <c r="J629" s="72"/>
      <c r="K629" s="73"/>
      <c r="L629" s="74"/>
      <c r="M629" s="72"/>
      <c r="N629" s="72"/>
      <c r="O629" s="72"/>
      <c r="P629" s="72"/>
      <c r="Q629" s="72"/>
      <c r="R629" s="72"/>
      <c r="S629" s="72"/>
      <c r="T629" s="72"/>
      <c r="U629" s="72"/>
      <c r="V629" s="72"/>
      <c r="W629" s="72"/>
      <c r="X629" s="72"/>
      <c r="Y629" s="72"/>
      <c r="Z629" s="72"/>
    </row>
    <row r="630" spans="1:26" ht="15.75" customHeight="1">
      <c r="A630" s="72"/>
      <c r="B630" s="72"/>
      <c r="C630" s="72"/>
      <c r="D630" s="72"/>
      <c r="E630" s="72"/>
      <c r="F630" s="72"/>
      <c r="G630" s="72"/>
      <c r="H630" s="72"/>
      <c r="I630" s="72"/>
      <c r="J630" s="72"/>
      <c r="K630" s="73"/>
      <c r="L630" s="74"/>
      <c r="M630" s="72"/>
      <c r="N630" s="72"/>
      <c r="O630" s="72"/>
      <c r="P630" s="72"/>
      <c r="Q630" s="72"/>
      <c r="R630" s="72"/>
      <c r="S630" s="72"/>
      <c r="T630" s="72"/>
      <c r="U630" s="72"/>
      <c r="V630" s="72"/>
      <c r="W630" s="72"/>
      <c r="X630" s="72"/>
      <c r="Y630" s="72"/>
      <c r="Z630" s="72"/>
    </row>
    <row r="631" spans="1:26" ht="15.75" customHeight="1">
      <c r="A631" s="72"/>
      <c r="B631" s="72"/>
      <c r="C631" s="72"/>
      <c r="D631" s="72"/>
      <c r="E631" s="72"/>
      <c r="F631" s="72"/>
      <c r="G631" s="72"/>
      <c r="H631" s="72"/>
      <c r="I631" s="72"/>
      <c r="J631" s="72"/>
      <c r="K631" s="73"/>
      <c r="L631" s="74"/>
      <c r="M631" s="72"/>
      <c r="N631" s="72"/>
      <c r="O631" s="72"/>
      <c r="P631" s="72"/>
      <c r="Q631" s="72"/>
      <c r="R631" s="72"/>
      <c r="S631" s="72"/>
      <c r="T631" s="72"/>
      <c r="U631" s="72"/>
      <c r="V631" s="72"/>
      <c r="W631" s="72"/>
      <c r="X631" s="72"/>
      <c r="Y631" s="72"/>
      <c r="Z631" s="72"/>
    </row>
    <row r="632" spans="1:26" ht="15.75" customHeight="1">
      <c r="A632" s="72"/>
      <c r="B632" s="72"/>
      <c r="C632" s="72"/>
      <c r="D632" s="72"/>
      <c r="E632" s="72"/>
      <c r="F632" s="72"/>
      <c r="G632" s="72"/>
      <c r="H632" s="72"/>
      <c r="I632" s="72"/>
      <c r="J632" s="72"/>
      <c r="K632" s="73"/>
      <c r="L632" s="74"/>
      <c r="M632" s="72"/>
      <c r="N632" s="72"/>
      <c r="O632" s="72"/>
      <c r="P632" s="72"/>
      <c r="Q632" s="72"/>
      <c r="R632" s="72"/>
      <c r="S632" s="72"/>
      <c r="T632" s="72"/>
      <c r="U632" s="72"/>
      <c r="V632" s="72"/>
      <c r="W632" s="72"/>
      <c r="X632" s="72"/>
      <c r="Y632" s="72"/>
      <c r="Z632" s="72"/>
    </row>
    <row r="633" spans="1:26" ht="15.75" customHeight="1">
      <c r="A633" s="72"/>
      <c r="B633" s="72"/>
      <c r="C633" s="72"/>
      <c r="D633" s="72"/>
      <c r="E633" s="72"/>
      <c r="F633" s="72"/>
      <c r="G633" s="72"/>
      <c r="H633" s="72"/>
      <c r="I633" s="72"/>
      <c r="J633" s="72"/>
      <c r="K633" s="73"/>
      <c r="L633" s="74"/>
      <c r="M633" s="72"/>
      <c r="N633" s="72"/>
      <c r="O633" s="72"/>
      <c r="P633" s="72"/>
      <c r="Q633" s="72"/>
      <c r="R633" s="72"/>
      <c r="S633" s="72"/>
      <c r="T633" s="72"/>
      <c r="U633" s="72"/>
      <c r="V633" s="72"/>
      <c r="W633" s="72"/>
      <c r="X633" s="72"/>
      <c r="Y633" s="72"/>
      <c r="Z633" s="72"/>
    </row>
    <row r="634" spans="1:26" ht="15.75" customHeight="1">
      <c r="A634" s="72"/>
      <c r="B634" s="72"/>
      <c r="C634" s="72"/>
      <c r="D634" s="72"/>
      <c r="E634" s="72"/>
      <c r="F634" s="72"/>
      <c r="G634" s="72"/>
      <c r="H634" s="72"/>
      <c r="I634" s="72"/>
      <c r="J634" s="72"/>
      <c r="K634" s="73"/>
      <c r="L634" s="74"/>
      <c r="M634" s="72"/>
      <c r="N634" s="72"/>
      <c r="O634" s="72"/>
      <c r="P634" s="72"/>
      <c r="Q634" s="72"/>
      <c r="R634" s="72"/>
      <c r="S634" s="72"/>
      <c r="T634" s="72"/>
      <c r="U634" s="72"/>
      <c r="V634" s="72"/>
      <c r="W634" s="72"/>
      <c r="X634" s="72"/>
      <c r="Y634" s="72"/>
      <c r="Z634" s="72"/>
    </row>
    <row r="635" spans="1:26" ht="15.75" customHeight="1">
      <c r="A635" s="72"/>
      <c r="B635" s="72"/>
      <c r="C635" s="72"/>
      <c r="D635" s="72"/>
      <c r="E635" s="72"/>
      <c r="F635" s="72"/>
      <c r="G635" s="72"/>
      <c r="H635" s="72"/>
      <c r="I635" s="72"/>
      <c r="J635" s="72"/>
      <c r="K635" s="73"/>
      <c r="L635" s="74"/>
      <c r="M635" s="72"/>
      <c r="N635" s="72"/>
      <c r="O635" s="72"/>
      <c r="P635" s="72"/>
      <c r="Q635" s="72"/>
      <c r="R635" s="72"/>
      <c r="S635" s="72"/>
      <c r="T635" s="72"/>
      <c r="U635" s="72"/>
      <c r="V635" s="72"/>
      <c r="W635" s="72"/>
      <c r="X635" s="72"/>
      <c r="Y635" s="72"/>
      <c r="Z635" s="72"/>
    </row>
    <row r="636" spans="1:26" ht="15.75" customHeight="1">
      <c r="A636" s="72"/>
      <c r="B636" s="72"/>
      <c r="C636" s="72"/>
      <c r="D636" s="72"/>
      <c r="E636" s="72"/>
      <c r="F636" s="72"/>
      <c r="G636" s="72"/>
      <c r="H636" s="72"/>
      <c r="I636" s="72"/>
      <c r="J636" s="72"/>
      <c r="K636" s="73"/>
      <c r="L636" s="74"/>
      <c r="M636" s="72"/>
      <c r="N636" s="72"/>
      <c r="O636" s="72"/>
      <c r="P636" s="72"/>
      <c r="Q636" s="72"/>
      <c r="R636" s="72"/>
      <c r="S636" s="72"/>
      <c r="T636" s="72"/>
      <c r="U636" s="72"/>
      <c r="V636" s="72"/>
      <c r="W636" s="72"/>
      <c r="X636" s="72"/>
      <c r="Y636" s="72"/>
      <c r="Z636" s="72"/>
    </row>
    <row r="637" spans="1:26" ht="15.75" customHeight="1">
      <c r="A637" s="72"/>
      <c r="B637" s="72"/>
      <c r="C637" s="72"/>
      <c r="D637" s="72"/>
      <c r="E637" s="72"/>
      <c r="F637" s="72"/>
      <c r="G637" s="72"/>
      <c r="H637" s="72"/>
      <c r="I637" s="72"/>
      <c r="J637" s="72"/>
      <c r="K637" s="73"/>
      <c r="L637" s="74"/>
      <c r="M637" s="72"/>
      <c r="N637" s="72"/>
      <c r="O637" s="72"/>
      <c r="P637" s="72"/>
      <c r="Q637" s="72"/>
      <c r="R637" s="72"/>
      <c r="S637" s="72"/>
      <c r="T637" s="72"/>
      <c r="U637" s="72"/>
      <c r="V637" s="72"/>
      <c r="W637" s="72"/>
      <c r="X637" s="72"/>
      <c r="Y637" s="72"/>
      <c r="Z637" s="72"/>
    </row>
    <row r="638" spans="1:26" ht="15.75" customHeight="1">
      <c r="A638" s="72"/>
      <c r="B638" s="72"/>
      <c r="C638" s="72"/>
      <c r="D638" s="72"/>
      <c r="E638" s="72"/>
      <c r="F638" s="72"/>
      <c r="G638" s="72"/>
      <c r="H638" s="72"/>
      <c r="I638" s="72"/>
      <c r="J638" s="72"/>
      <c r="K638" s="73"/>
      <c r="L638" s="74"/>
      <c r="M638" s="72"/>
      <c r="N638" s="72"/>
      <c r="O638" s="72"/>
      <c r="P638" s="72"/>
      <c r="Q638" s="72"/>
      <c r="R638" s="72"/>
      <c r="S638" s="72"/>
      <c r="T638" s="72"/>
      <c r="U638" s="72"/>
      <c r="V638" s="72"/>
      <c r="W638" s="72"/>
      <c r="X638" s="72"/>
      <c r="Y638" s="72"/>
      <c r="Z638" s="72"/>
    </row>
    <row r="639" spans="1:26" ht="15.75" customHeight="1">
      <c r="A639" s="72"/>
      <c r="B639" s="72"/>
      <c r="C639" s="72"/>
      <c r="D639" s="72"/>
      <c r="E639" s="72"/>
      <c r="F639" s="72"/>
      <c r="G639" s="72"/>
      <c r="H639" s="72"/>
      <c r="I639" s="72"/>
      <c r="J639" s="72"/>
      <c r="K639" s="73"/>
      <c r="L639" s="74"/>
      <c r="M639" s="72"/>
      <c r="N639" s="72"/>
      <c r="O639" s="72"/>
      <c r="P639" s="72"/>
      <c r="Q639" s="72"/>
      <c r="R639" s="72"/>
      <c r="S639" s="72"/>
      <c r="T639" s="72"/>
      <c r="U639" s="72"/>
      <c r="V639" s="72"/>
      <c r="W639" s="72"/>
      <c r="X639" s="72"/>
      <c r="Y639" s="72"/>
      <c r="Z639" s="72"/>
    </row>
    <row r="640" spans="1:26" ht="15.75" customHeight="1">
      <c r="A640" s="72"/>
      <c r="B640" s="72"/>
      <c r="C640" s="72"/>
      <c r="D640" s="72"/>
      <c r="E640" s="72"/>
      <c r="F640" s="72"/>
      <c r="G640" s="72"/>
      <c r="H640" s="72"/>
      <c r="I640" s="72"/>
      <c r="J640" s="72"/>
      <c r="K640" s="73"/>
      <c r="L640" s="74"/>
      <c r="M640" s="72"/>
      <c r="N640" s="72"/>
      <c r="O640" s="72"/>
      <c r="P640" s="72"/>
      <c r="Q640" s="72"/>
      <c r="R640" s="72"/>
      <c r="S640" s="72"/>
      <c r="T640" s="72"/>
      <c r="U640" s="72"/>
      <c r="V640" s="72"/>
      <c r="W640" s="72"/>
      <c r="X640" s="72"/>
      <c r="Y640" s="72"/>
      <c r="Z640" s="72"/>
    </row>
    <row r="641" spans="1:26" ht="15.75" customHeight="1">
      <c r="A641" s="72"/>
      <c r="B641" s="72"/>
      <c r="C641" s="72"/>
      <c r="D641" s="72"/>
      <c r="E641" s="72"/>
      <c r="F641" s="72"/>
      <c r="G641" s="72"/>
      <c r="H641" s="72"/>
      <c r="I641" s="72"/>
      <c r="J641" s="72"/>
      <c r="K641" s="73"/>
      <c r="L641" s="74"/>
      <c r="M641" s="72"/>
      <c r="N641" s="72"/>
      <c r="O641" s="72"/>
      <c r="P641" s="72"/>
      <c r="Q641" s="72"/>
      <c r="R641" s="72"/>
      <c r="S641" s="72"/>
      <c r="T641" s="72"/>
      <c r="U641" s="72"/>
      <c r="V641" s="72"/>
      <c r="W641" s="72"/>
      <c r="X641" s="72"/>
      <c r="Y641" s="72"/>
      <c r="Z641" s="72"/>
    </row>
    <row r="642" spans="1:26" ht="15.75" customHeight="1">
      <c r="A642" s="72"/>
      <c r="B642" s="72"/>
      <c r="C642" s="72"/>
      <c r="D642" s="72"/>
      <c r="E642" s="72"/>
      <c r="F642" s="72"/>
      <c r="G642" s="72"/>
      <c r="H642" s="72"/>
      <c r="I642" s="72"/>
      <c r="J642" s="72"/>
      <c r="K642" s="73"/>
      <c r="L642" s="74"/>
      <c r="M642" s="72"/>
      <c r="N642" s="72"/>
      <c r="O642" s="72"/>
      <c r="P642" s="72"/>
      <c r="Q642" s="72"/>
      <c r="R642" s="72"/>
      <c r="S642" s="72"/>
      <c r="T642" s="72"/>
      <c r="U642" s="72"/>
      <c r="V642" s="72"/>
      <c r="W642" s="72"/>
      <c r="X642" s="72"/>
      <c r="Y642" s="72"/>
      <c r="Z642" s="72"/>
    </row>
    <row r="643" spans="1:26" ht="15.75" customHeight="1">
      <c r="A643" s="72"/>
      <c r="B643" s="72"/>
      <c r="C643" s="72"/>
      <c r="D643" s="72"/>
      <c r="E643" s="72"/>
      <c r="F643" s="72"/>
      <c r="G643" s="72"/>
      <c r="H643" s="72"/>
      <c r="I643" s="72"/>
      <c r="J643" s="72"/>
      <c r="K643" s="73"/>
      <c r="L643" s="74"/>
      <c r="M643" s="72"/>
      <c r="N643" s="72"/>
      <c r="O643" s="72"/>
      <c r="P643" s="72"/>
      <c r="Q643" s="72"/>
      <c r="R643" s="72"/>
      <c r="S643" s="72"/>
      <c r="T643" s="72"/>
      <c r="U643" s="72"/>
      <c r="V643" s="72"/>
      <c r="W643" s="72"/>
      <c r="X643" s="72"/>
      <c r="Y643" s="72"/>
      <c r="Z643" s="72"/>
    </row>
    <row r="644" spans="1:26" ht="15.75" customHeight="1">
      <c r="A644" s="72"/>
      <c r="B644" s="72"/>
      <c r="C644" s="72"/>
      <c r="D644" s="72"/>
      <c r="E644" s="72"/>
      <c r="F644" s="72"/>
      <c r="G644" s="72"/>
      <c r="H644" s="72"/>
      <c r="I644" s="72"/>
      <c r="J644" s="72"/>
      <c r="K644" s="73"/>
      <c r="L644" s="74"/>
      <c r="M644" s="72"/>
      <c r="N644" s="72"/>
      <c r="O644" s="72"/>
      <c r="P644" s="72"/>
      <c r="Q644" s="72"/>
      <c r="R644" s="72"/>
      <c r="S644" s="72"/>
      <c r="T644" s="72"/>
      <c r="U644" s="72"/>
      <c r="V644" s="72"/>
      <c r="W644" s="72"/>
      <c r="X644" s="72"/>
      <c r="Y644" s="72"/>
      <c r="Z644" s="72"/>
    </row>
    <row r="645" spans="1:26" ht="15.75" customHeight="1">
      <c r="A645" s="72"/>
      <c r="B645" s="72"/>
      <c r="C645" s="72"/>
      <c r="D645" s="72"/>
      <c r="E645" s="72"/>
      <c r="F645" s="72"/>
      <c r="G645" s="72"/>
      <c r="H645" s="72"/>
      <c r="I645" s="72"/>
      <c r="J645" s="72"/>
      <c r="K645" s="73"/>
      <c r="L645" s="74"/>
      <c r="M645" s="72"/>
      <c r="N645" s="72"/>
      <c r="O645" s="72"/>
      <c r="P645" s="72"/>
      <c r="Q645" s="72"/>
      <c r="R645" s="72"/>
      <c r="S645" s="72"/>
      <c r="T645" s="72"/>
      <c r="U645" s="72"/>
      <c r="V645" s="72"/>
      <c r="W645" s="72"/>
      <c r="X645" s="72"/>
      <c r="Y645" s="72"/>
      <c r="Z645" s="72"/>
    </row>
    <row r="646" spans="1:26" ht="15.75" customHeight="1">
      <c r="A646" s="72"/>
      <c r="B646" s="72"/>
      <c r="C646" s="72"/>
      <c r="D646" s="72"/>
      <c r="E646" s="72"/>
      <c r="F646" s="72"/>
      <c r="G646" s="72"/>
      <c r="H646" s="72"/>
      <c r="I646" s="72"/>
      <c r="J646" s="72"/>
      <c r="K646" s="73"/>
      <c r="L646" s="74"/>
      <c r="M646" s="72"/>
      <c r="N646" s="72"/>
      <c r="O646" s="72"/>
      <c r="P646" s="72"/>
      <c r="Q646" s="72"/>
      <c r="R646" s="72"/>
      <c r="S646" s="72"/>
      <c r="T646" s="72"/>
      <c r="U646" s="72"/>
      <c r="V646" s="72"/>
      <c r="W646" s="72"/>
      <c r="X646" s="72"/>
      <c r="Y646" s="72"/>
      <c r="Z646" s="72"/>
    </row>
    <row r="647" spans="1:26" ht="15.75" customHeight="1">
      <c r="A647" s="72"/>
      <c r="B647" s="72"/>
      <c r="C647" s="72"/>
      <c r="D647" s="72"/>
      <c r="E647" s="72"/>
      <c r="F647" s="72"/>
      <c r="G647" s="72"/>
      <c r="H647" s="72"/>
      <c r="I647" s="72"/>
      <c r="J647" s="72"/>
      <c r="K647" s="73"/>
      <c r="L647" s="74"/>
      <c r="M647" s="72"/>
      <c r="N647" s="72"/>
      <c r="O647" s="72"/>
      <c r="P647" s="72"/>
      <c r="Q647" s="72"/>
      <c r="R647" s="72"/>
      <c r="S647" s="72"/>
      <c r="T647" s="72"/>
      <c r="U647" s="72"/>
      <c r="V647" s="72"/>
      <c r="W647" s="72"/>
      <c r="X647" s="72"/>
      <c r="Y647" s="72"/>
      <c r="Z647" s="72"/>
    </row>
    <row r="648" spans="1:26" ht="15.75" customHeight="1">
      <c r="A648" s="72"/>
      <c r="B648" s="72"/>
      <c r="C648" s="72"/>
      <c r="D648" s="72"/>
      <c r="E648" s="72"/>
      <c r="F648" s="72"/>
      <c r="G648" s="72"/>
      <c r="H648" s="72"/>
      <c r="I648" s="72"/>
      <c r="J648" s="72"/>
      <c r="K648" s="73"/>
      <c r="L648" s="74"/>
      <c r="M648" s="72"/>
      <c r="N648" s="72"/>
      <c r="O648" s="72"/>
      <c r="P648" s="72"/>
      <c r="Q648" s="72"/>
      <c r="R648" s="72"/>
      <c r="S648" s="72"/>
      <c r="T648" s="72"/>
      <c r="U648" s="72"/>
      <c r="V648" s="72"/>
      <c r="W648" s="72"/>
      <c r="X648" s="72"/>
      <c r="Y648" s="72"/>
      <c r="Z648" s="72"/>
    </row>
    <row r="649" spans="1:26" ht="15.75" customHeight="1">
      <c r="A649" s="72"/>
      <c r="B649" s="72"/>
      <c r="C649" s="72"/>
      <c r="D649" s="72"/>
      <c r="E649" s="72"/>
      <c r="F649" s="72"/>
      <c r="G649" s="72"/>
      <c r="H649" s="72"/>
      <c r="I649" s="72"/>
      <c r="J649" s="72"/>
      <c r="K649" s="73"/>
      <c r="L649" s="74"/>
      <c r="M649" s="72"/>
      <c r="N649" s="72"/>
      <c r="O649" s="72"/>
      <c r="P649" s="72"/>
      <c r="Q649" s="72"/>
      <c r="R649" s="72"/>
      <c r="S649" s="72"/>
      <c r="T649" s="72"/>
      <c r="U649" s="72"/>
      <c r="V649" s="72"/>
      <c r="W649" s="72"/>
      <c r="X649" s="72"/>
      <c r="Y649" s="72"/>
      <c r="Z649" s="72"/>
    </row>
    <row r="650" spans="1:26" ht="15.75" customHeight="1">
      <c r="A650" s="72"/>
      <c r="B650" s="72"/>
      <c r="C650" s="72"/>
      <c r="D650" s="72"/>
      <c r="E650" s="72"/>
      <c r="F650" s="72"/>
      <c r="G650" s="72"/>
      <c r="H650" s="72"/>
      <c r="I650" s="72"/>
      <c r="J650" s="72"/>
      <c r="K650" s="73"/>
      <c r="L650" s="74"/>
      <c r="M650" s="72"/>
      <c r="N650" s="72"/>
      <c r="O650" s="72"/>
      <c r="P650" s="72"/>
      <c r="Q650" s="72"/>
      <c r="R650" s="72"/>
      <c r="S650" s="72"/>
      <c r="T650" s="72"/>
      <c r="U650" s="72"/>
      <c r="V650" s="72"/>
      <c r="W650" s="72"/>
      <c r="X650" s="72"/>
      <c r="Y650" s="72"/>
      <c r="Z650" s="72"/>
    </row>
    <row r="651" spans="1:26" ht="15.75" customHeight="1">
      <c r="A651" s="72"/>
      <c r="B651" s="72"/>
      <c r="C651" s="72"/>
      <c r="D651" s="72"/>
      <c r="E651" s="72"/>
      <c r="F651" s="72"/>
      <c r="G651" s="72"/>
      <c r="H651" s="72"/>
      <c r="I651" s="72"/>
      <c r="J651" s="72"/>
      <c r="K651" s="73"/>
      <c r="L651" s="74"/>
      <c r="M651" s="72"/>
      <c r="N651" s="72"/>
      <c r="O651" s="72"/>
      <c r="P651" s="72"/>
      <c r="Q651" s="72"/>
      <c r="R651" s="72"/>
      <c r="S651" s="72"/>
      <c r="T651" s="72"/>
      <c r="U651" s="72"/>
      <c r="V651" s="72"/>
      <c r="W651" s="72"/>
      <c r="X651" s="72"/>
      <c r="Y651" s="72"/>
      <c r="Z651" s="72"/>
    </row>
    <row r="652" spans="1:26" ht="15.75" customHeight="1">
      <c r="A652" s="72"/>
      <c r="B652" s="72"/>
      <c r="C652" s="72"/>
      <c r="D652" s="72"/>
      <c r="E652" s="72"/>
      <c r="F652" s="72"/>
      <c r="G652" s="72"/>
      <c r="H652" s="72"/>
      <c r="I652" s="72"/>
      <c r="J652" s="72"/>
      <c r="K652" s="73"/>
      <c r="L652" s="74"/>
      <c r="M652" s="72"/>
      <c r="N652" s="72"/>
      <c r="O652" s="72"/>
      <c r="P652" s="72"/>
      <c r="Q652" s="72"/>
      <c r="R652" s="72"/>
      <c r="S652" s="72"/>
      <c r="T652" s="72"/>
      <c r="U652" s="72"/>
      <c r="V652" s="72"/>
      <c r="W652" s="72"/>
      <c r="X652" s="72"/>
      <c r="Y652" s="72"/>
      <c r="Z652" s="72"/>
    </row>
    <row r="653" spans="1:26" ht="15.75" customHeight="1">
      <c r="A653" s="72"/>
      <c r="B653" s="72"/>
      <c r="C653" s="72"/>
      <c r="D653" s="72"/>
      <c r="E653" s="72"/>
      <c r="F653" s="72"/>
      <c r="G653" s="72"/>
      <c r="H653" s="72"/>
      <c r="I653" s="72"/>
      <c r="J653" s="72"/>
      <c r="K653" s="73"/>
      <c r="L653" s="74"/>
      <c r="M653" s="72"/>
      <c r="N653" s="72"/>
      <c r="O653" s="72"/>
      <c r="P653" s="72"/>
      <c r="Q653" s="72"/>
      <c r="R653" s="72"/>
      <c r="S653" s="72"/>
      <c r="T653" s="72"/>
      <c r="U653" s="72"/>
      <c r="V653" s="72"/>
      <c r="W653" s="72"/>
      <c r="X653" s="72"/>
      <c r="Y653" s="72"/>
      <c r="Z653" s="72"/>
    </row>
    <row r="654" spans="1:26" ht="15.75" customHeight="1">
      <c r="A654" s="72"/>
      <c r="B654" s="72"/>
      <c r="C654" s="72"/>
      <c r="D654" s="72"/>
      <c r="E654" s="72"/>
      <c r="F654" s="72"/>
      <c r="G654" s="72"/>
      <c r="H654" s="72"/>
      <c r="I654" s="72"/>
      <c r="J654" s="72"/>
      <c r="K654" s="73"/>
      <c r="L654" s="74"/>
      <c r="M654" s="72"/>
      <c r="N654" s="72"/>
      <c r="O654" s="72"/>
      <c r="P654" s="72"/>
      <c r="Q654" s="72"/>
      <c r="R654" s="72"/>
      <c r="S654" s="72"/>
      <c r="T654" s="72"/>
      <c r="U654" s="72"/>
      <c r="V654" s="72"/>
      <c r="W654" s="72"/>
      <c r="X654" s="72"/>
      <c r="Y654" s="72"/>
      <c r="Z654" s="72"/>
    </row>
    <row r="655" spans="1:26" ht="15.75" customHeight="1">
      <c r="A655" s="72"/>
      <c r="B655" s="72"/>
      <c r="C655" s="72"/>
      <c r="D655" s="72"/>
      <c r="E655" s="72"/>
      <c r="F655" s="72"/>
      <c r="G655" s="72"/>
      <c r="H655" s="72"/>
      <c r="I655" s="72"/>
      <c r="J655" s="72"/>
      <c r="K655" s="73"/>
      <c r="L655" s="74"/>
      <c r="M655" s="72"/>
      <c r="N655" s="72"/>
      <c r="O655" s="72"/>
      <c r="P655" s="72"/>
      <c r="Q655" s="72"/>
      <c r="R655" s="72"/>
      <c r="S655" s="72"/>
      <c r="T655" s="72"/>
      <c r="U655" s="72"/>
      <c r="V655" s="72"/>
      <c r="W655" s="72"/>
      <c r="X655" s="72"/>
      <c r="Y655" s="72"/>
      <c r="Z655" s="72"/>
    </row>
    <row r="656" spans="1:26" ht="15.75" customHeight="1">
      <c r="A656" s="72"/>
      <c r="B656" s="72"/>
      <c r="C656" s="72"/>
      <c r="D656" s="72"/>
      <c r="E656" s="72"/>
      <c r="F656" s="72"/>
      <c r="G656" s="72"/>
      <c r="H656" s="72"/>
      <c r="I656" s="72"/>
      <c r="J656" s="72"/>
      <c r="K656" s="73"/>
      <c r="L656" s="74"/>
      <c r="M656" s="72"/>
      <c r="N656" s="72"/>
      <c r="O656" s="72"/>
      <c r="P656" s="72"/>
      <c r="Q656" s="72"/>
      <c r="R656" s="72"/>
      <c r="S656" s="72"/>
      <c r="T656" s="72"/>
      <c r="U656" s="72"/>
      <c r="V656" s="72"/>
      <c r="W656" s="72"/>
      <c r="X656" s="72"/>
      <c r="Y656" s="72"/>
      <c r="Z656" s="72"/>
    </row>
    <row r="657" spans="1:26" ht="15.75" customHeight="1">
      <c r="A657" s="72"/>
      <c r="B657" s="72"/>
      <c r="C657" s="72"/>
      <c r="D657" s="72"/>
      <c r="E657" s="72"/>
      <c r="F657" s="72"/>
      <c r="G657" s="72"/>
      <c r="H657" s="72"/>
      <c r="I657" s="72"/>
      <c r="J657" s="72"/>
      <c r="K657" s="73"/>
      <c r="L657" s="74"/>
      <c r="M657" s="72"/>
      <c r="N657" s="72"/>
      <c r="O657" s="72"/>
      <c r="P657" s="72"/>
      <c r="Q657" s="72"/>
      <c r="R657" s="72"/>
      <c r="S657" s="72"/>
      <c r="T657" s="72"/>
      <c r="U657" s="72"/>
      <c r="V657" s="72"/>
      <c r="W657" s="72"/>
      <c r="X657" s="72"/>
      <c r="Y657" s="72"/>
      <c r="Z657" s="72"/>
    </row>
    <row r="658" spans="1:26" ht="15.75" customHeight="1">
      <c r="A658" s="72"/>
      <c r="B658" s="72"/>
      <c r="C658" s="72"/>
      <c r="D658" s="72"/>
      <c r="E658" s="72"/>
      <c r="F658" s="72"/>
      <c r="G658" s="72"/>
      <c r="H658" s="72"/>
      <c r="I658" s="72"/>
      <c r="J658" s="72"/>
      <c r="K658" s="73"/>
      <c r="L658" s="74"/>
      <c r="M658" s="72"/>
      <c r="N658" s="72"/>
      <c r="O658" s="72"/>
      <c r="P658" s="72"/>
      <c r="Q658" s="72"/>
      <c r="R658" s="72"/>
      <c r="S658" s="72"/>
      <c r="T658" s="72"/>
      <c r="U658" s="72"/>
      <c r="V658" s="72"/>
      <c r="W658" s="72"/>
      <c r="X658" s="72"/>
      <c r="Y658" s="72"/>
      <c r="Z658" s="72"/>
    </row>
    <row r="659" spans="1:26" ht="15.75" customHeight="1">
      <c r="A659" s="72"/>
      <c r="B659" s="72"/>
      <c r="C659" s="72"/>
      <c r="D659" s="72"/>
      <c r="E659" s="72"/>
      <c r="F659" s="72"/>
      <c r="G659" s="72"/>
      <c r="H659" s="72"/>
      <c r="I659" s="72"/>
      <c r="J659" s="72"/>
      <c r="K659" s="73"/>
      <c r="L659" s="74"/>
      <c r="M659" s="72"/>
      <c r="N659" s="72"/>
      <c r="O659" s="72"/>
      <c r="P659" s="72"/>
      <c r="Q659" s="72"/>
      <c r="R659" s="72"/>
      <c r="S659" s="72"/>
      <c r="T659" s="72"/>
      <c r="U659" s="72"/>
      <c r="V659" s="72"/>
      <c r="W659" s="72"/>
      <c r="X659" s="72"/>
      <c r="Y659" s="72"/>
      <c r="Z659" s="72"/>
    </row>
    <row r="660" spans="1:26" ht="15.75" customHeight="1">
      <c r="A660" s="72"/>
      <c r="B660" s="72"/>
      <c r="C660" s="72"/>
      <c r="D660" s="72"/>
      <c r="E660" s="72"/>
      <c r="F660" s="72"/>
      <c r="G660" s="72"/>
      <c r="H660" s="72"/>
      <c r="I660" s="72"/>
      <c r="J660" s="72"/>
      <c r="K660" s="73"/>
      <c r="L660" s="74"/>
      <c r="M660" s="72"/>
      <c r="N660" s="72"/>
      <c r="O660" s="72"/>
      <c r="P660" s="72"/>
      <c r="Q660" s="72"/>
      <c r="R660" s="72"/>
      <c r="S660" s="72"/>
      <c r="T660" s="72"/>
      <c r="U660" s="72"/>
      <c r="V660" s="72"/>
      <c r="W660" s="72"/>
      <c r="X660" s="72"/>
      <c r="Y660" s="72"/>
      <c r="Z660" s="72"/>
    </row>
    <row r="661" spans="1:26" ht="15.75" customHeight="1">
      <c r="A661" s="72"/>
      <c r="B661" s="72"/>
      <c r="C661" s="72"/>
      <c r="D661" s="72"/>
      <c r="E661" s="72"/>
      <c r="F661" s="72"/>
      <c r="G661" s="72"/>
      <c r="H661" s="72"/>
      <c r="I661" s="72"/>
      <c r="J661" s="72"/>
      <c r="K661" s="73"/>
      <c r="L661" s="74"/>
      <c r="M661" s="72"/>
      <c r="N661" s="72"/>
      <c r="O661" s="72"/>
      <c r="P661" s="72"/>
      <c r="Q661" s="72"/>
      <c r="R661" s="72"/>
      <c r="S661" s="72"/>
      <c r="T661" s="72"/>
      <c r="U661" s="72"/>
      <c r="V661" s="72"/>
      <c r="W661" s="72"/>
      <c r="X661" s="72"/>
      <c r="Y661" s="72"/>
      <c r="Z661" s="72"/>
    </row>
    <row r="662" spans="1:26" ht="15.75" customHeight="1">
      <c r="A662" s="72"/>
      <c r="B662" s="72"/>
      <c r="C662" s="72"/>
      <c r="D662" s="72"/>
      <c r="E662" s="72"/>
      <c r="F662" s="72"/>
      <c r="G662" s="72"/>
      <c r="H662" s="72"/>
      <c r="I662" s="72"/>
      <c r="J662" s="72"/>
      <c r="K662" s="73"/>
      <c r="L662" s="74"/>
      <c r="M662" s="72"/>
      <c r="N662" s="72"/>
      <c r="O662" s="72"/>
      <c r="P662" s="72"/>
      <c r="Q662" s="72"/>
      <c r="R662" s="72"/>
      <c r="S662" s="72"/>
      <c r="T662" s="72"/>
      <c r="U662" s="72"/>
      <c r="V662" s="72"/>
      <c r="W662" s="72"/>
      <c r="X662" s="72"/>
      <c r="Y662" s="72"/>
      <c r="Z662" s="72"/>
    </row>
    <row r="663" spans="1:26" ht="15.75" customHeight="1">
      <c r="A663" s="72"/>
      <c r="B663" s="72"/>
      <c r="C663" s="72"/>
      <c r="D663" s="72"/>
      <c r="E663" s="72"/>
      <c r="F663" s="72"/>
      <c r="G663" s="72"/>
      <c r="H663" s="72"/>
      <c r="I663" s="72"/>
      <c r="J663" s="72"/>
      <c r="K663" s="73"/>
      <c r="L663" s="74"/>
      <c r="M663" s="72"/>
      <c r="N663" s="72"/>
      <c r="O663" s="72"/>
      <c r="P663" s="72"/>
      <c r="Q663" s="72"/>
      <c r="R663" s="72"/>
      <c r="S663" s="72"/>
      <c r="T663" s="72"/>
      <c r="U663" s="72"/>
      <c r="V663" s="72"/>
      <c r="W663" s="72"/>
      <c r="X663" s="72"/>
      <c r="Y663" s="72"/>
      <c r="Z663" s="72"/>
    </row>
    <row r="664" spans="1:26" ht="15.75" customHeight="1">
      <c r="A664" s="72"/>
      <c r="B664" s="72"/>
      <c r="C664" s="72"/>
      <c r="D664" s="72"/>
      <c r="E664" s="72"/>
      <c r="F664" s="72"/>
      <c r="G664" s="72"/>
      <c r="H664" s="72"/>
      <c r="I664" s="72"/>
      <c r="J664" s="72"/>
      <c r="K664" s="73"/>
      <c r="L664" s="74"/>
      <c r="M664" s="72"/>
      <c r="N664" s="72"/>
      <c r="O664" s="72"/>
      <c r="P664" s="72"/>
      <c r="Q664" s="72"/>
      <c r="R664" s="72"/>
      <c r="S664" s="72"/>
      <c r="T664" s="72"/>
      <c r="U664" s="72"/>
      <c r="V664" s="72"/>
      <c r="W664" s="72"/>
      <c r="X664" s="72"/>
      <c r="Y664" s="72"/>
      <c r="Z664" s="72"/>
    </row>
    <row r="665" spans="1:26" ht="15.75" customHeight="1">
      <c r="A665" s="72"/>
      <c r="B665" s="72"/>
      <c r="C665" s="72"/>
      <c r="D665" s="72"/>
      <c r="E665" s="72"/>
      <c r="F665" s="72"/>
      <c r="G665" s="72"/>
      <c r="H665" s="72"/>
      <c r="I665" s="72"/>
      <c r="J665" s="72"/>
      <c r="K665" s="73"/>
      <c r="L665" s="74"/>
      <c r="M665" s="72"/>
      <c r="N665" s="72"/>
      <c r="O665" s="72"/>
      <c r="P665" s="72"/>
      <c r="Q665" s="72"/>
      <c r="R665" s="72"/>
      <c r="S665" s="72"/>
      <c r="T665" s="72"/>
      <c r="U665" s="72"/>
      <c r="V665" s="72"/>
      <c r="W665" s="72"/>
      <c r="X665" s="72"/>
      <c r="Y665" s="72"/>
      <c r="Z665" s="72"/>
    </row>
    <row r="666" spans="1:26" ht="15.75" customHeight="1">
      <c r="A666" s="72"/>
      <c r="B666" s="72"/>
      <c r="C666" s="72"/>
      <c r="D666" s="72"/>
      <c r="E666" s="72"/>
      <c r="F666" s="72"/>
      <c r="G666" s="72"/>
      <c r="H666" s="72"/>
      <c r="I666" s="72"/>
      <c r="J666" s="72"/>
      <c r="K666" s="73"/>
      <c r="L666" s="74"/>
      <c r="M666" s="72"/>
      <c r="N666" s="72"/>
      <c r="O666" s="72"/>
      <c r="P666" s="72"/>
      <c r="Q666" s="72"/>
      <c r="R666" s="72"/>
      <c r="S666" s="72"/>
      <c r="T666" s="72"/>
      <c r="U666" s="72"/>
      <c r="V666" s="72"/>
      <c r="W666" s="72"/>
      <c r="X666" s="72"/>
      <c r="Y666" s="72"/>
      <c r="Z666" s="72"/>
    </row>
    <row r="667" spans="1:26" ht="15.75" customHeight="1">
      <c r="A667" s="72"/>
      <c r="B667" s="72"/>
      <c r="C667" s="72"/>
      <c r="D667" s="72"/>
      <c r="E667" s="72"/>
      <c r="F667" s="72"/>
      <c r="G667" s="72"/>
      <c r="H667" s="72"/>
      <c r="I667" s="72"/>
      <c r="J667" s="72"/>
      <c r="K667" s="73"/>
      <c r="L667" s="74"/>
      <c r="M667" s="72"/>
      <c r="N667" s="72"/>
      <c r="O667" s="72"/>
      <c r="P667" s="72"/>
      <c r="Q667" s="72"/>
      <c r="R667" s="72"/>
      <c r="S667" s="72"/>
      <c r="T667" s="72"/>
      <c r="U667" s="72"/>
      <c r="V667" s="72"/>
      <c r="W667" s="72"/>
      <c r="X667" s="72"/>
      <c r="Y667" s="72"/>
      <c r="Z667" s="72"/>
    </row>
    <row r="668" spans="1:26" ht="15.75" customHeight="1">
      <c r="A668" s="72"/>
      <c r="B668" s="72"/>
      <c r="C668" s="72"/>
      <c r="D668" s="72"/>
      <c r="E668" s="72"/>
      <c r="F668" s="72"/>
      <c r="G668" s="72"/>
      <c r="H668" s="72"/>
      <c r="I668" s="72"/>
      <c r="J668" s="72"/>
      <c r="K668" s="73"/>
      <c r="L668" s="74"/>
      <c r="M668" s="72"/>
      <c r="N668" s="72"/>
      <c r="O668" s="72"/>
      <c r="P668" s="72"/>
      <c r="Q668" s="72"/>
      <c r="R668" s="72"/>
      <c r="S668" s="72"/>
      <c r="T668" s="72"/>
      <c r="U668" s="72"/>
      <c r="V668" s="72"/>
      <c r="W668" s="72"/>
      <c r="X668" s="72"/>
      <c r="Y668" s="72"/>
      <c r="Z668" s="72"/>
    </row>
    <row r="669" spans="1:26" ht="15.75" customHeight="1">
      <c r="A669" s="72"/>
      <c r="B669" s="72"/>
      <c r="C669" s="72"/>
      <c r="D669" s="72"/>
      <c r="E669" s="72"/>
      <c r="F669" s="72"/>
      <c r="G669" s="72"/>
      <c r="H669" s="72"/>
      <c r="I669" s="72"/>
      <c r="J669" s="72"/>
      <c r="K669" s="73"/>
      <c r="L669" s="74"/>
      <c r="M669" s="72"/>
      <c r="N669" s="72"/>
      <c r="O669" s="72"/>
      <c r="P669" s="72"/>
      <c r="Q669" s="72"/>
      <c r="R669" s="72"/>
      <c r="S669" s="72"/>
      <c r="T669" s="72"/>
      <c r="U669" s="72"/>
      <c r="V669" s="72"/>
      <c r="W669" s="72"/>
      <c r="X669" s="72"/>
      <c r="Y669" s="72"/>
      <c r="Z669" s="72"/>
    </row>
    <row r="670" spans="1:26" ht="15.75" customHeight="1">
      <c r="A670" s="72"/>
      <c r="B670" s="72"/>
      <c r="C670" s="72"/>
      <c r="D670" s="72"/>
      <c r="E670" s="72"/>
      <c r="F670" s="72"/>
      <c r="G670" s="72"/>
      <c r="H670" s="72"/>
      <c r="I670" s="72"/>
      <c r="J670" s="72"/>
      <c r="K670" s="73"/>
      <c r="L670" s="74"/>
      <c r="M670" s="72"/>
      <c r="N670" s="72"/>
      <c r="O670" s="72"/>
      <c r="P670" s="72"/>
      <c r="Q670" s="72"/>
      <c r="R670" s="72"/>
      <c r="S670" s="72"/>
      <c r="T670" s="72"/>
      <c r="U670" s="72"/>
      <c r="V670" s="72"/>
      <c r="W670" s="72"/>
      <c r="X670" s="72"/>
      <c r="Y670" s="72"/>
      <c r="Z670" s="72"/>
    </row>
    <row r="671" spans="1:26" ht="15.75" customHeight="1">
      <c r="A671" s="72"/>
      <c r="B671" s="72"/>
      <c r="C671" s="72"/>
      <c r="D671" s="72"/>
      <c r="E671" s="72"/>
      <c r="F671" s="72"/>
      <c r="G671" s="72"/>
      <c r="H671" s="72"/>
      <c r="I671" s="72"/>
      <c r="J671" s="72"/>
      <c r="K671" s="73"/>
      <c r="L671" s="74"/>
      <c r="M671" s="72"/>
      <c r="N671" s="72"/>
      <c r="O671" s="72"/>
      <c r="P671" s="72"/>
      <c r="Q671" s="72"/>
      <c r="R671" s="72"/>
      <c r="S671" s="72"/>
      <c r="T671" s="72"/>
      <c r="U671" s="72"/>
      <c r="V671" s="72"/>
      <c r="W671" s="72"/>
      <c r="X671" s="72"/>
      <c r="Y671" s="72"/>
      <c r="Z671" s="72"/>
    </row>
    <row r="672" spans="1:26" ht="15.75" customHeight="1">
      <c r="A672" s="72"/>
      <c r="B672" s="72"/>
      <c r="C672" s="72"/>
      <c r="D672" s="72"/>
      <c r="E672" s="72"/>
      <c r="F672" s="72"/>
      <c r="G672" s="72"/>
      <c r="H672" s="72"/>
      <c r="I672" s="72"/>
      <c r="J672" s="72"/>
      <c r="K672" s="73"/>
      <c r="L672" s="74"/>
      <c r="M672" s="72"/>
      <c r="N672" s="72"/>
      <c r="O672" s="72"/>
      <c r="P672" s="72"/>
      <c r="Q672" s="72"/>
      <c r="R672" s="72"/>
      <c r="S672" s="72"/>
      <c r="T672" s="72"/>
      <c r="U672" s="72"/>
      <c r="V672" s="72"/>
      <c r="W672" s="72"/>
      <c r="X672" s="72"/>
      <c r="Y672" s="72"/>
      <c r="Z672" s="72"/>
    </row>
    <row r="673" spans="1:26" ht="15.75" customHeight="1">
      <c r="A673" s="72"/>
      <c r="B673" s="72"/>
      <c r="C673" s="72"/>
      <c r="D673" s="72"/>
      <c r="E673" s="72"/>
      <c r="F673" s="72"/>
      <c r="G673" s="72"/>
      <c r="H673" s="72"/>
      <c r="I673" s="72"/>
      <c r="J673" s="72"/>
      <c r="K673" s="73"/>
      <c r="L673" s="74"/>
      <c r="M673" s="72"/>
      <c r="N673" s="72"/>
      <c r="O673" s="72"/>
      <c r="P673" s="72"/>
      <c r="Q673" s="72"/>
      <c r="R673" s="72"/>
      <c r="S673" s="72"/>
      <c r="T673" s="72"/>
      <c r="U673" s="72"/>
      <c r="V673" s="72"/>
      <c r="W673" s="72"/>
      <c r="X673" s="72"/>
      <c r="Y673" s="72"/>
      <c r="Z673" s="72"/>
    </row>
    <row r="674" spans="1:26" ht="15.75" customHeight="1">
      <c r="A674" s="72"/>
      <c r="B674" s="72"/>
      <c r="C674" s="72"/>
      <c r="D674" s="72"/>
      <c r="E674" s="72"/>
      <c r="F674" s="72"/>
      <c r="G674" s="72"/>
      <c r="H674" s="72"/>
      <c r="I674" s="72"/>
      <c r="J674" s="72"/>
      <c r="K674" s="73"/>
      <c r="L674" s="74"/>
      <c r="M674" s="72"/>
      <c r="N674" s="72"/>
      <c r="O674" s="72"/>
      <c r="P674" s="72"/>
      <c r="Q674" s="72"/>
      <c r="R674" s="72"/>
      <c r="S674" s="72"/>
      <c r="T674" s="72"/>
      <c r="U674" s="72"/>
      <c r="V674" s="72"/>
      <c r="W674" s="72"/>
      <c r="X674" s="72"/>
      <c r="Y674" s="72"/>
      <c r="Z674" s="72"/>
    </row>
    <row r="675" spans="1:26" ht="15.75" customHeight="1">
      <c r="A675" s="72"/>
      <c r="B675" s="72"/>
      <c r="C675" s="72"/>
      <c r="D675" s="72"/>
      <c r="E675" s="72"/>
      <c r="F675" s="72"/>
      <c r="G675" s="72"/>
      <c r="H675" s="72"/>
      <c r="I675" s="72"/>
      <c r="J675" s="72"/>
      <c r="K675" s="73"/>
      <c r="L675" s="74"/>
      <c r="M675" s="72"/>
      <c r="N675" s="72"/>
      <c r="O675" s="72"/>
      <c r="P675" s="72"/>
      <c r="Q675" s="72"/>
      <c r="R675" s="72"/>
      <c r="S675" s="72"/>
      <c r="T675" s="72"/>
      <c r="U675" s="72"/>
      <c r="V675" s="72"/>
      <c r="W675" s="72"/>
      <c r="X675" s="72"/>
      <c r="Y675" s="72"/>
      <c r="Z675" s="72"/>
    </row>
    <row r="676" spans="1:26" ht="15.75" customHeight="1">
      <c r="A676" s="72"/>
      <c r="B676" s="72"/>
      <c r="C676" s="72"/>
      <c r="D676" s="72"/>
      <c r="E676" s="72"/>
      <c r="F676" s="72"/>
      <c r="G676" s="72"/>
      <c r="H676" s="72"/>
      <c r="I676" s="72"/>
      <c r="J676" s="72"/>
      <c r="K676" s="73"/>
      <c r="L676" s="74"/>
      <c r="M676" s="72"/>
      <c r="N676" s="72"/>
      <c r="O676" s="72"/>
      <c r="P676" s="72"/>
      <c r="Q676" s="72"/>
      <c r="R676" s="72"/>
      <c r="S676" s="72"/>
      <c r="T676" s="72"/>
      <c r="U676" s="72"/>
      <c r="V676" s="72"/>
      <c r="W676" s="72"/>
      <c r="X676" s="72"/>
      <c r="Y676" s="72"/>
      <c r="Z676" s="72"/>
    </row>
    <row r="677" spans="1:26" ht="15.75" customHeight="1">
      <c r="A677" s="72"/>
      <c r="B677" s="72"/>
      <c r="C677" s="72"/>
      <c r="D677" s="72"/>
      <c r="E677" s="72"/>
      <c r="F677" s="72"/>
      <c r="G677" s="72"/>
      <c r="H677" s="72"/>
      <c r="I677" s="72"/>
      <c r="J677" s="72"/>
      <c r="K677" s="73"/>
      <c r="L677" s="74"/>
      <c r="M677" s="72"/>
      <c r="N677" s="72"/>
      <c r="O677" s="72"/>
      <c r="P677" s="72"/>
      <c r="Q677" s="72"/>
      <c r="R677" s="72"/>
      <c r="S677" s="72"/>
      <c r="T677" s="72"/>
      <c r="U677" s="72"/>
      <c r="V677" s="72"/>
      <c r="W677" s="72"/>
      <c r="X677" s="72"/>
      <c r="Y677" s="72"/>
      <c r="Z677" s="72"/>
    </row>
    <row r="678" spans="1:26" ht="15.75" customHeight="1">
      <c r="A678" s="72"/>
      <c r="B678" s="72"/>
      <c r="C678" s="72"/>
      <c r="D678" s="72"/>
      <c r="E678" s="72"/>
      <c r="F678" s="72"/>
      <c r="G678" s="72"/>
      <c r="H678" s="72"/>
      <c r="I678" s="72"/>
      <c r="J678" s="72"/>
      <c r="K678" s="73"/>
      <c r="L678" s="74"/>
      <c r="M678" s="72"/>
      <c r="N678" s="72"/>
      <c r="O678" s="72"/>
      <c r="P678" s="72"/>
      <c r="Q678" s="72"/>
      <c r="R678" s="72"/>
      <c r="S678" s="72"/>
      <c r="T678" s="72"/>
      <c r="U678" s="72"/>
      <c r="V678" s="72"/>
      <c r="W678" s="72"/>
      <c r="X678" s="72"/>
      <c r="Y678" s="72"/>
      <c r="Z678" s="72"/>
    </row>
    <row r="679" spans="1:26" ht="15.75" customHeight="1">
      <c r="A679" s="72"/>
      <c r="B679" s="72"/>
      <c r="C679" s="72"/>
      <c r="D679" s="72"/>
      <c r="E679" s="72"/>
      <c r="F679" s="72"/>
      <c r="G679" s="72"/>
      <c r="H679" s="72"/>
      <c r="I679" s="72"/>
      <c r="J679" s="72"/>
      <c r="K679" s="73"/>
      <c r="L679" s="74"/>
      <c r="M679" s="72"/>
      <c r="N679" s="72"/>
      <c r="O679" s="72"/>
      <c r="P679" s="72"/>
      <c r="Q679" s="72"/>
      <c r="R679" s="72"/>
      <c r="S679" s="72"/>
      <c r="T679" s="72"/>
      <c r="U679" s="72"/>
      <c r="V679" s="72"/>
      <c r="W679" s="72"/>
      <c r="X679" s="72"/>
      <c r="Y679" s="72"/>
      <c r="Z679" s="72"/>
    </row>
    <row r="680" spans="1:26" ht="15.75" customHeight="1">
      <c r="A680" s="72"/>
      <c r="B680" s="72"/>
      <c r="C680" s="72"/>
      <c r="D680" s="72"/>
      <c r="E680" s="72"/>
      <c r="F680" s="72"/>
      <c r="G680" s="72"/>
      <c r="H680" s="72"/>
      <c r="I680" s="72"/>
      <c r="J680" s="72"/>
      <c r="K680" s="73"/>
      <c r="L680" s="74"/>
      <c r="M680" s="72"/>
      <c r="N680" s="72"/>
      <c r="O680" s="72"/>
      <c r="P680" s="72"/>
      <c r="Q680" s="72"/>
      <c r="R680" s="72"/>
      <c r="S680" s="72"/>
      <c r="T680" s="72"/>
      <c r="U680" s="72"/>
      <c r="V680" s="72"/>
      <c r="W680" s="72"/>
      <c r="X680" s="72"/>
      <c r="Y680" s="72"/>
      <c r="Z680" s="72"/>
    </row>
    <row r="681" spans="1:26" ht="15.75" customHeight="1">
      <c r="A681" s="72"/>
      <c r="B681" s="72"/>
      <c r="C681" s="72"/>
      <c r="D681" s="72"/>
      <c r="E681" s="72"/>
      <c r="F681" s="72"/>
      <c r="G681" s="72"/>
      <c r="H681" s="72"/>
      <c r="I681" s="72"/>
      <c r="J681" s="72"/>
      <c r="K681" s="73"/>
      <c r="L681" s="74"/>
      <c r="M681" s="72"/>
      <c r="N681" s="72"/>
      <c r="O681" s="72"/>
      <c r="P681" s="72"/>
      <c r="Q681" s="72"/>
      <c r="R681" s="72"/>
      <c r="S681" s="72"/>
      <c r="T681" s="72"/>
      <c r="U681" s="72"/>
      <c r="V681" s="72"/>
      <c r="W681" s="72"/>
      <c r="X681" s="72"/>
      <c r="Y681" s="72"/>
      <c r="Z681" s="72"/>
    </row>
    <row r="682" spans="1:26" ht="15.75" customHeight="1">
      <c r="A682" s="72"/>
      <c r="B682" s="72"/>
      <c r="C682" s="72"/>
      <c r="D682" s="72"/>
      <c r="E682" s="72"/>
      <c r="F682" s="72"/>
      <c r="G682" s="72"/>
      <c r="H682" s="72"/>
      <c r="I682" s="72"/>
      <c r="J682" s="72"/>
      <c r="K682" s="73"/>
      <c r="L682" s="74"/>
      <c r="M682" s="72"/>
      <c r="N682" s="72"/>
      <c r="O682" s="72"/>
      <c r="P682" s="72"/>
      <c r="Q682" s="72"/>
      <c r="R682" s="72"/>
      <c r="S682" s="72"/>
      <c r="T682" s="72"/>
      <c r="U682" s="72"/>
      <c r="V682" s="72"/>
      <c r="W682" s="72"/>
      <c r="X682" s="72"/>
      <c r="Y682" s="72"/>
      <c r="Z682" s="72"/>
    </row>
    <row r="683" spans="1:26" ht="15.75" customHeight="1">
      <c r="A683" s="72"/>
      <c r="B683" s="72"/>
      <c r="C683" s="72"/>
      <c r="D683" s="72"/>
      <c r="E683" s="72"/>
      <c r="F683" s="72"/>
      <c r="G683" s="72"/>
      <c r="H683" s="72"/>
      <c r="I683" s="72"/>
      <c r="J683" s="72"/>
      <c r="K683" s="73"/>
      <c r="L683" s="74"/>
      <c r="M683" s="72"/>
      <c r="N683" s="72"/>
      <c r="O683" s="72"/>
      <c r="P683" s="72"/>
      <c r="Q683" s="72"/>
      <c r="R683" s="72"/>
      <c r="S683" s="72"/>
      <c r="T683" s="72"/>
      <c r="U683" s="72"/>
      <c r="V683" s="72"/>
      <c r="W683" s="72"/>
      <c r="X683" s="72"/>
      <c r="Y683" s="72"/>
      <c r="Z683" s="72"/>
    </row>
    <row r="684" spans="1:26" ht="15.75" customHeight="1">
      <c r="A684" s="72"/>
      <c r="B684" s="72"/>
      <c r="C684" s="72"/>
      <c r="D684" s="72"/>
      <c r="E684" s="72"/>
      <c r="F684" s="72"/>
      <c r="G684" s="72"/>
      <c r="H684" s="72"/>
      <c r="I684" s="72"/>
      <c r="J684" s="72"/>
      <c r="K684" s="73"/>
      <c r="L684" s="74"/>
      <c r="M684" s="72"/>
      <c r="N684" s="72"/>
      <c r="O684" s="72"/>
      <c r="P684" s="72"/>
      <c r="Q684" s="72"/>
      <c r="R684" s="72"/>
      <c r="S684" s="72"/>
      <c r="T684" s="72"/>
      <c r="U684" s="72"/>
      <c r="V684" s="72"/>
      <c r="W684" s="72"/>
      <c r="X684" s="72"/>
      <c r="Y684" s="72"/>
      <c r="Z684" s="72"/>
    </row>
    <row r="685" spans="1:26" ht="15.75" customHeight="1">
      <c r="A685" s="72"/>
      <c r="B685" s="72"/>
      <c r="C685" s="72"/>
      <c r="D685" s="72"/>
      <c r="E685" s="72"/>
      <c r="F685" s="72"/>
      <c r="G685" s="72"/>
      <c r="H685" s="72"/>
      <c r="I685" s="72"/>
      <c r="J685" s="72"/>
      <c r="K685" s="73"/>
      <c r="L685" s="74"/>
      <c r="M685" s="72"/>
      <c r="N685" s="72"/>
      <c r="O685" s="72"/>
      <c r="P685" s="72"/>
      <c r="Q685" s="72"/>
      <c r="R685" s="72"/>
      <c r="S685" s="72"/>
      <c r="T685" s="72"/>
      <c r="U685" s="72"/>
      <c r="V685" s="72"/>
      <c r="W685" s="72"/>
      <c r="X685" s="72"/>
      <c r="Y685" s="72"/>
      <c r="Z685" s="72"/>
    </row>
    <row r="686" spans="1:26" ht="15.75" customHeight="1">
      <c r="A686" s="72"/>
      <c r="B686" s="72"/>
      <c r="C686" s="72"/>
      <c r="D686" s="72"/>
      <c r="E686" s="72"/>
      <c r="F686" s="72"/>
      <c r="G686" s="72"/>
      <c r="H686" s="72"/>
      <c r="I686" s="72"/>
      <c r="J686" s="72"/>
      <c r="K686" s="73"/>
      <c r="L686" s="74"/>
      <c r="M686" s="72"/>
      <c r="N686" s="72"/>
      <c r="O686" s="72"/>
      <c r="P686" s="72"/>
      <c r="Q686" s="72"/>
      <c r="R686" s="72"/>
      <c r="S686" s="72"/>
      <c r="T686" s="72"/>
      <c r="U686" s="72"/>
      <c r="V686" s="72"/>
      <c r="W686" s="72"/>
      <c r="X686" s="72"/>
      <c r="Y686" s="72"/>
      <c r="Z686" s="72"/>
    </row>
    <row r="687" spans="1:26" ht="15.75" customHeight="1">
      <c r="A687" s="72"/>
      <c r="B687" s="72"/>
      <c r="C687" s="72"/>
      <c r="D687" s="72"/>
      <c r="E687" s="72"/>
      <c r="F687" s="72"/>
      <c r="G687" s="72"/>
      <c r="H687" s="72"/>
      <c r="I687" s="72"/>
      <c r="J687" s="72"/>
      <c r="K687" s="73"/>
      <c r="L687" s="74"/>
      <c r="M687" s="72"/>
      <c r="N687" s="72"/>
      <c r="O687" s="72"/>
      <c r="P687" s="72"/>
      <c r="Q687" s="72"/>
      <c r="R687" s="72"/>
      <c r="S687" s="72"/>
      <c r="T687" s="72"/>
      <c r="U687" s="72"/>
      <c r="V687" s="72"/>
      <c r="W687" s="72"/>
      <c r="X687" s="72"/>
      <c r="Y687" s="72"/>
      <c r="Z687" s="72"/>
    </row>
    <row r="688" spans="1:26" ht="15.75" customHeight="1">
      <c r="A688" s="72"/>
      <c r="B688" s="72"/>
      <c r="C688" s="72"/>
      <c r="D688" s="72"/>
      <c r="E688" s="72"/>
      <c r="F688" s="72"/>
      <c r="G688" s="72"/>
      <c r="H688" s="72"/>
      <c r="I688" s="72"/>
      <c r="J688" s="72"/>
      <c r="K688" s="73"/>
      <c r="L688" s="74"/>
      <c r="M688" s="72"/>
      <c r="N688" s="72"/>
      <c r="O688" s="72"/>
      <c r="P688" s="72"/>
      <c r="Q688" s="72"/>
      <c r="R688" s="72"/>
      <c r="S688" s="72"/>
      <c r="T688" s="72"/>
      <c r="U688" s="72"/>
      <c r="V688" s="72"/>
      <c r="W688" s="72"/>
      <c r="X688" s="72"/>
      <c r="Y688" s="72"/>
      <c r="Z688" s="72"/>
    </row>
    <row r="689" spans="1:26" ht="15.75" customHeight="1">
      <c r="A689" s="72"/>
      <c r="B689" s="72"/>
      <c r="C689" s="72"/>
      <c r="D689" s="72"/>
      <c r="E689" s="72"/>
      <c r="F689" s="72"/>
      <c r="G689" s="72"/>
      <c r="H689" s="72"/>
      <c r="I689" s="72"/>
      <c r="J689" s="72"/>
      <c r="K689" s="73"/>
      <c r="L689" s="74"/>
      <c r="M689" s="72"/>
      <c r="N689" s="72"/>
      <c r="O689" s="72"/>
      <c r="P689" s="72"/>
      <c r="Q689" s="72"/>
      <c r="R689" s="72"/>
      <c r="S689" s="72"/>
      <c r="T689" s="72"/>
      <c r="U689" s="72"/>
      <c r="V689" s="72"/>
      <c r="W689" s="72"/>
      <c r="X689" s="72"/>
      <c r="Y689" s="72"/>
      <c r="Z689" s="72"/>
    </row>
    <row r="690" spans="1:26" ht="15.75" customHeight="1">
      <c r="A690" s="72"/>
      <c r="B690" s="72"/>
      <c r="C690" s="72"/>
      <c r="D690" s="72"/>
      <c r="E690" s="72"/>
      <c r="F690" s="72"/>
      <c r="G690" s="72"/>
      <c r="H690" s="72"/>
      <c r="I690" s="72"/>
      <c r="J690" s="72"/>
      <c r="K690" s="73"/>
      <c r="L690" s="74"/>
      <c r="M690" s="72"/>
      <c r="N690" s="72"/>
      <c r="O690" s="72"/>
      <c r="P690" s="72"/>
      <c r="Q690" s="72"/>
      <c r="R690" s="72"/>
      <c r="S690" s="72"/>
      <c r="T690" s="72"/>
      <c r="U690" s="72"/>
      <c r="V690" s="72"/>
      <c r="W690" s="72"/>
      <c r="X690" s="72"/>
      <c r="Y690" s="72"/>
      <c r="Z690" s="72"/>
    </row>
    <row r="691" spans="1:26" ht="15.75" customHeight="1">
      <c r="A691" s="72"/>
      <c r="B691" s="72"/>
      <c r="C691" s="72"/>
      <c r="D691" s="72"/>
      <c r="E691" s="72"/>
      <c r="F691" s="72"/>
      <c r="G691" s="72"/>
      <c r="H691" s="72"/>
      <c r="I691" s="72"/>
      <c r="J691" s="72"/>
      <c r="K691" s="73"/>
      <c r="L691" s="74"/>
      <c r="M691" s="72"/>
      <c r="N691" s="72"/>
      <c r="O691" s="72"/>
      <c r="P691" s="72"/>
      <c r="Q691" s="72"/>
      <c r="R691" s="72"/>
      <c r="S691" s="72"/>
      <c r="T691" s="72"/>
      <c r="U691" s="72"/>
      <c r="V691" s="72"/>
      <c r="W691" s="72"/>
      <c r="X691" s="72"/>
      <c r="Y691" s="72"/>
      <c r="Z691" s="72"/>
    </row>
    <row r="692" spans="1:26" ht="15.75" customHeight="1">
      <c r="A692" s="72"/>
      <c r="B692" s="72"/>
      <c r="C692" s="72"/>
      <c r="D692" s="72"/>
      <c r="E692" s="72"/>
      <c r="F692" s="72"/>
      <c r="G692" s="72"/>
      <c r="H692" s="72"/>
      <c r="I692" s="72"/>
      <c r="J692" s="72"/>
      <c r="K692" s="73"/>
      <c r="L692" s="74"/>
      <c r="M692" s="72"/>
      <c r="N692" s="72"/>
      <c r="O692" s="72"/>
      <c r="P692" s="72"/>
      <c r="Q692" s="72"/>
      <c r="R692" s="72"/>
      <c r="S692" s="72"/>
      <c r="T692" s="72"/>
      <c r="U692" s="72"/>
      <c r="V692" s="72"/>
      <c r="W692" s="72"/>
      <c r="X692" s="72"/>
      <c r="Y692" s="72"/>
      <c r="Z692" s="72"/>
    </row>
    <row r="693" spans="1:26" ht="15.75" customHeight="1">
      <c r="A693" s="72"/>
      <c r="B693" s="72"/>
      <c r="C693" s="72"/>
      <c r="D693" s="72"/>
      <c r="E693" s="72"/>
      <c r="F693" s="72"/>
      <c r="G693" s="72"/>
      <c r="H693" s="72"/>
      <c r="I693" s="72"/>
      <c r="J693" s="72"/>
      <c r="K693" s="73"/>
      <c r="L693" s="74"/>
      <c r="M693" s="72"/>
      <c r="N693" s="72"/>
      <c r="O693" s="72"/>
      <c r="P693" s="72"/>
      <c r="Q693" s="72"/>
      <c r="R693" s="72"/>
      <c r="S693" s="72"/>
      <c r="T693" s="72"/>
      <c r="U693" s="72"/>
      <c r="V693" s="72"/>
      <c r="W693" s="72"/>
      <c r="X693" s="72"/>
      <c r="Y693" s="72"/>
      <c r="Z693" s="72"/>
    </row>
    <row r="694" spans="1:26" ht="15.75" customHeight="1">
      <c r="A694" s="72"/>
      <c r="B694" s="72"/>
      <c r="C694" s="72"/>
      <c r="D694" s="72"/>
      <c r="E694" s="72"/>
      <c r="F694" s="72"/>
      <c r="G694" s="72"/>
      <c r="H694" s="72"/>
      <c r="I694" s="72"/>
      <c r="J694" s="72"/>
      <c r="K694" s="73"/>
      <c r="L694" s="74"/>
      <c r="M694" s="72"/>
      <c r="N694" s="72"/>
      <c r="O694" s="72"/>
      <c r="P694" s="72"/>
      <c r="Q694" s="72"/>
      <c r="R694" s="72"/>
      <c r="S694" s="72"/>
      <c r="T694" s="72"/>
      <c r="U694" s="72"/>
      <c r="V694" s="72"/>
      <c r="W694" s="72"/>
      <c r="X694" s="72"/>
      <c r="Y694" s="72"/>
      <c r="Z694" s="72"/>
    </row>
    <row r="695" spans="1:26" ht="15.75" customHeight="1">
      <c r="A695" s="72"/>
      <c r="B695" s="72"/>
      <c r="C695" s="72"/>
      <c r="D695" s="72"/>
      <c r="E695" s="72"/>
      <c r="F695" s="72"/>
      <c r="G695" s="72"/>
      <c r="H695" s="72"/>
      <c r="I695" s="72"/>
      <c r="J695" s="72"/>
      <c r="K695" s="73"/>
      <c r="L695" s="74"/>
      <c r="M695" s="72"/>
      <c r="N695" s="72"/>
      <c r="O695" s="72"/>
      <c r="P695" s="72"/>
      <c r="Q695" s="72"/>
      <c r="R695" s="72"/>
      <c r="S695" s="72"/>
      <c r="T695" s="72"/>
      <c r="U695" s="72"/>
      <c r="V695" s="72"/>
      <c r="W695" s="72"/>
      <c r="X695" s="72"/>
      <c r="Y695" s="72"/>
      <c r="Z695" s="72"/>
    </row>
    <row r="696" spans="1:26" ht="15.75" customHeight="1">
      <c r="A696" s="72"/>
      <c r="B696" s="72"/>
      <c r="C696" s="72"/>
      <c r="D696" s="72"/>
      <c r="E696" s="72"/>
      <c r="F696" s="72"/>
      <c r="G696" s="72"/>
      <c r="H696" s="72"/>
      <c r="I696" s="72"/>
      <c r="J696" s="72"/>
      <c r="K696" s="73"/>
      <c r="L696" s="74"/>
      <c r="M696" s="72"/>
      <c r="N696" s="72"/>
      <c r="O696" s="72"/>
      <c r="P696" s="72"/>
      <c r="Q696" s="72"/>
      <c r="R696" s="72"/>
      <c r="S696" s="72"/>
      <c r="T696" s="72"/>
      <c r="U696" s="72"/>
      <c r="V696" s="72"/>
      <c r="W696" s="72"/>
      <c r="X696" s="72"/>
      <c r="Y696" s="72"/>
      <c r="Z696" s="72"/>
    </row>
    <row r="697" spans="1:26" ht="15.75" customHeight="1">
      <c r="A697" s="72"/>
      <c r="B697" s="72"/>
      <c r="C697" s="72"/>
      <c r="D697" s="72"/>
      <c r="E697" s="72"/>
      <c r="F697" s="72"/>
      <c r="G697" s="72"/>
      <c r="H697" s="72"/>
      <c r="I697" s="72"/>
      <c r="J697" s="72"/>
      <c r="K697" s="73"/>
      <c r="L697" s="74"/>
      <c r="M697" s="72"/>
      <c r="N697" s="72"/>
      <c r="O697" s="72"/>
      <c r="P697" s="72"/>
      <c r="Q697" s="72"/>
      <c r="R697" s="72"/>
      <c r="S697" s="72"/>
      <c r="T697" s="72"/>
      <c r="U697" s="72"/>
      <c r="V697" s="72"/>
      <c r="W697" s="72"/>
      <c r="X697" s="72"/>
      <c r="Y697" s="72"/>
      <c r="Z697" s="72"/>
    </row>
    <row r="698" spans="1:26" ht="15.75" customHeight="1">
      <c r="A698" s="72"/>
      <c r="B698" s="72"/>
      <c r="C698" s="72"/>
      <c r="D698" s="72"/>
      <c r="E698" s="72"/>
      <c r="F698" s="72"/>
      <c r="G698" s="72"/>
      <c r="H698" s="72"/>
      <c r="I698" s="72"/>
      <c r="J698" s="72"/>
      <c r="K698" s="73"/>
      <c r="L698" s="74"/>
      <c r="M698" s="72"/>
      <c r="N698" s="72"/>
      <c r="O698" s="72"/>
      <c r="P698" s="72"/>
      <c r="Q698" s="72"/>
      <c r="R698" s="72"/>
      <c r="S698" s="72"/>
      <c r="T698" s="72"/>
      <c r="U698" s="72"/>
      <c r="V698" s="72"/>
      <c r="W698" s="72"/>
      <c r="X698" s="72"/>
      <c r="Y698" s="72"/>
      <c r="Z698" s="72"/>
    </row>
    <row r="699" spans="1:26" ht="15.75" customHeight="1">
      <c r="A699" s="72"/>
      <c r="B699" s="72"/>
      <c r="C699" s="72"/>
      <c r="D699" s="72"/>
      <c r="E699" s="72"/>
      <c r="F699" s="72"/>
      <c r="G699" s="72"/>
      <c r="H699" s="72"/>
      <c r="I699" s="72"/>
      <c r="J699" s="72"/>
      <c r="K699" s="73"/>
      <c r="L699" s="74"/>
      <c r="M699" s="72"/>
      <c r="N699" s="72"/>
      <c r="O699" s="72"/>
      <c r="P699" s="72"/>
      <c r="Q699" s="72"/>
      <c r="R699" s="72"/>
      <c r="S699" s="72"/>
      <c r="T699" s="72"/>
      <c r="U699" s="72"/>
      <c r="V699" s="72"/>
      <c r="W699" s="72"/>
      <c r="X699" s="72"/>
      <c r="Y699" s="72"/>
      <c r="Z699" s="72"/>
    </row>
    <row r="700" spans="1:26" ht="15.75" customHeight="1">
      <c r="A700" s="72"/>
      <c r="B700" s="72"/>
      <c r="C700" s="72"/>
      <c r="D700" s="72"/>
      <c r="E700" s="72"/>
      <c r="F700" s="72"/>
      <c r="G700" s="72"/>
      <c r="H700" s="72"/>
      <c r="I700" s="72"/>
      <c r="J700" s="72"/>
      <c r="K700" s="73"/>
      <c r="L700" s="74"/>
      <c r="M700" s="72"/>
      <c r="N700" s="72"/>
      <c r="O700" s="72"/>
      <c r="P700" s="72"/>
      <c r="Q700" s="72"/>
      <c r="R700" s="72"/>
      <c r="S700" s="72"/>
      <c r="T700" s="72"/>
      <c r="U700" s="72"/>
      <c r="V700" s="72"/>
      <c r="W700" s="72"/>
      <c r="X700" s="72"/>
      <c r="Y700" s="72"/>
      <c r="Z700" s="72"/>
    </row>
    <row r="701" spans="1:26" ht="15.75" customHeight="1">
      <c r="A701" s="72"/>
      <c r="B701" s="72"/>
      <c r="C701" s="72"/>
      <c r="D701" s="72"/>
      <c r="E701" s="72"/>
      <c r="F701" s="72"/>
      <c r="G701" s="72"/>
      <c r="H701" s="72"/>
      <c r="I701" s="72"/>
      <c r="J701" s="72"/>
      <c r="K701" s="73"/>
      <c r="L701" s="74"/>
      <c r="M701" s="72"/>
      <c r="N701" s="72"/>
      <c r="O701" s="72"/>
      <c r="P701" s="72"/>
      <c r="Q701" s="72"/>
      <c r="R701" s="72"/>
      <c r="S701" s="72"/>
      <c r="T701" s="72"/>
      <c r="U701" s="72"/>
      <c r="V701" s="72"/>
      <c r="W701" s="72"/>
      <c r="X701" s="72"/>
      <c r="Y701" s="72"/>
      <c r="Z701" s="72"/>
    </row>
    <row r="702" spans="1:26" ht="15.75" customHeight="1">
      <c r="A702" s="72"/>
      <c r="B702" s="72"/>
      <c r="C702" s="72"/>
      <c r="D702" s="72"/>
      <c r="E702" s="72"/>
      <c r="F702" s="72"/>
      <c r="G702" s="72"/>
      <c r="H702" s="72"/>
      <c r="I702" s="72"/>
      <c r="J702" s="72"/>
      <c r="K702" s="73"/>
      <c r="L702" s="74"/>
      <c r="M702" s="72"/>
      <c r="N702" s="72"/>
      <c r="O702" s="72"/>
      <c r="P702" s="72"/>
      <c r="Q702" s="72"/>
      <c r="R702" s="72"/>
      <c r="S702" s="72"/>
      <c r="T702" s="72"/>
      <c r="U702" s="72"/>
      <c r="V702" s="72"/>
      <c r="W702" s="72"/>
      <c r="X702" s="72"/>
      <c r="Y702" s="72"/>
      <c r="Z702" s="72"/>
    </row>
    <row r="703" spans="1:26" ht="15.75" customHeight="1">
      <c r="A703" s="72"/>
      <c r="B703" s="72"/>
      <c r="C703" s="72"/>
      <c r="D703" s="72"/>
      <c r="E703" s="72"/>
      <c r="F703" s="72"/>
      <c r="G703" s="72"/>
      <c r="H703" s="72"/>
      <c r="I703" s="72"/>
      <c r="J703" s="72"/>
      <c r="K703" s="73"/>
      <c r="L703" s="74"/>
      <c r="M703" s="72"/>
      <c r="N703" s="72"/>
      <c r="O703" s="72"/>
      <c r="P703" s="72"/>
      <c r="Q703" s="72"/>
      <c r="R703" s="72"/>
      <c r="S703" s="72"/>
      <c r="T703" s="72"/>
      <c r="U703" s="72"/>
      <c r="V703" s="72"/>
      <c r="W703" s="72"/>
      <c r="X703" s="72"/>
      <c r="Y703" s="72"/>
      <c r="Z703" s="72"/>
    </row>
    <row r="704" spans="1:26" ht="15.75" customHeight="1">
      <c r="A704" s="72"/>
      <c r="B704" s="72"/>
      <c r="C704" s="72"/>
      <c r="D704" s="72"/>
      <c r="E704" s="72"/>
      <c r="F704" s="72"/>
      <c r="G704" s="72"/>
      <c r="H704" s="72"/>
      <c r="I704" s="72"/>
      <c r="J704" s="72"/>
      <c r="K704" s="73"/>
      <c r="L704" s="74"/>
      <c r="M704" s="72"/>
      <c r="N704" s="72"/>
      <c r="O704" s="72"/>
      <c r="P704" s="72"/>
      <c r="Q704" s="72"/>
      <c r="R704" s="72"/>
      <c r="S704" s="72"/>
      <c r="T704" s="72"/>
      <c r="U704" s="72"/>
      <c r="V704" s="72"/>
      <c r="W704" s="72"/>
      <c r="X704" s="72"/>
      <c r="Y704" s="72"/>
      <c r="Z704" s="72"/>
    </row>
    <row r="705" spans="1:26" ht="15.75" customHeight="1">
      <c r="A705" s="72"/>
      <c r="B705" s="72"/>
      <c r="C705" s="72"/>
      <c r="D705" s="72"/>
      <c r="E705" s="72"/>
      <c r="F705" s="72"/>
      <c r="G705" s="72"/>
      <c r="H705" s="72"/>
      <c r="I705" s="72"/>
      <c r="J705" s="72"/>
      <c r="K705" s="73"/>
      <c r="L705" s="74"/>
      <c r="M705" s="72"/>
      <c r="N705" s="72"/>
      <c r="O705" s="72"/>
      <c r="P705" s="72"/>
      <c r="Q705" s="72"/>
      <c r="R705" s="72"/>
      <c r="S705" s="72"/>
      <c r="T705" s="72"/>
      <c r="U705" s="72"/>
      <c r="V705" s="72"/>
      <c r="W705" s="72"/>
      <c r="X705" s="72"/>
      <c r="Y705" s="72"/>
      <c r="Z705" s="72"/>
    </row>
    <row r="706" spans="1:26" ht="15.75" customHeight="1">
      <c r="A706" s="72"/>
      <c r="B706" s="72"/>
      <c r="C706" s="72"/>
      <c r="D706" s="72"/>
      <c r="E706" s="72"/>
      <c r="F706" s="72"/>
      <c r="G706" s="72"/>
      <c r="H706" s="72"/>
      <c r="I706" s="72"/>
      <c r="J706" s="72"/>
      <c r="K706" s="73"/>
      <c r="L706" s="74"/>
      <c r="M706" s="72"/>
      <c r="N706" s="72"/>
      <c r="O706" s="72"/>
      <c r="P706" s="72"/>
      <c r="Q706" s="72"/>
      <c r="R706" s="72"/>
      <c r="S706" s="72"/>
      <c r="T706" s="72"/>
      <c r="U706" s="72"/>
      <c r="V706" s="72"/>
      <c r="W706" s="72"/>
      <c r="X706" s="72"/>
      <c r="Y706" s="72"/>
      <c r="Z706" s="72"/>
    </row>
    <row r="707" spans="1:26" ht="15.75" customHeight="1">
      <c r="A707" s="72"/>
      <c r="B707" s="72"/>
      <c r="C707" s="72"/>
      <c r="D707" s="72"/>
      <c r="E707" s="72"/>
      <c r="F707" s="72"/>
      <c r="G707" s="72"/>
      <c r="H707" s="72"/>
      <c r="I707" s="72"/>
      <c r="J707" s="72"/>
      <c r="K707" s="73"/>
      <c r="L707" s="74"/>
      <c r="M707" s="72"/>
      <c r="N707" s="72"/>
      <c r="O707" s="72"/>
      <c r="P707" s="72"/>
      <c r="Q707" s="72"/>
      <c r="R707" s="72"/>
      <c r="S707" s="72"/>
      <c r="T707" s="72"/>
      <c r="U707" s="72"/>
      <c r="V707" s="72"/>
      <c r="W707" s="72"/>
      <c r="X707" s="72"/>
      <c r="Y707" s="72"/>
      <c r="Z707" s="72"/>
    </row>
    <row r="708" spans="1:26" ht="15.75" customHeight="1">
      <c r="A708" s="72"/>
      <c r="B708" s="72"/>
      <c r="C708" s="72"/>
      <c r="D708" s="72"/>
      <c r="E708" s="72"/>
      <c r="F708" s="72"/>
      <c r="G708" s="72"/>
      <c r="H708" s="72"/>
      <c r="I708" s="72"/>
      <c r="J708" s="72"/>
      <c r="K708" s="73"/>
      <c r="L708" s="74"/>
      <c r="M708" s="72"/>
      <c r="N708" s="72"/>
      <c r="O708" s="72"/>
      <c r="P708" s="72"/>
      <c r="Q708" s="72"/>
      <c r="R708" s="72"/>
      <c r="S708" s="72"/>
      <c r="T708" s="72"/>
      <c r="U708" s="72"/>
      <c r="V708" s="72"/>
      <c r="W708" s="72"/>
      <c r="X708" s="72"/>
      <c r="Y708" s="72"/>
      <c r="Z708" s="72"/>
    </row>
    <row r="709" spans="1:26" ht="15.75" customHeight="1">
      <c r="A709" s="72"/>
      <c r="B709" s="72"/>
      <c r="C709" s="72"/>
      <c r="D709" s="72"/>
      <c r="E709" s="72"/>
      <c r="F709" s="72"/>
      <c r="G709" s="72"/>
      <c r="H709" s="72"/>
      <c r="I709" s="72"/>
      <c r="J709" s="72"/>
      <c r="K709" s="73"/>
      <c r="L709" s="74"/>
      <c r="M709" s="72"/>
      <c r="N709" s="72"/>
      <c r="O709" s="72"/>
      <c r="P709" s="72"/>
      <c r="Q709" s="72"/>
      <c r="R709" s="72"/>
      <c r="S709" s="72"/>
      <c r="T709" s="72"/>
      <c r="U709" s="72"/>
      <c r="V709" s="72"/>
      <c r="W709" s="72"/>
      <c r="X709" s="72"/>
      <c r="Y709" s="72"/>
      <c r="Z709" s="72"/>
    </row>
    <row r="710" spans="1:26" ht="15.75" customHeight="1">
      <c r="A710" s="72"/>
      <c r="B710" s="72"/>
      <c r="C710" s="72"/>
      <c r="D710" s="72"/>
      <c r="E710" s="72"/>
      <c r="F710" s="72"/>
      <c r="G710" s="72"/>
      <c r="H710" s="72"/>
      <c r="I710" s="72"/>
      <c r="J710" s="72"/>
      <c r="K710" s="73"/>
      <c r="L710" s="74"/>
      <c r="M710" s="72"/>
      <c r="N710" s="72"/>
      <c r="O710" s="72"/>
      <c r="P710" s="72"/>
      <c r="Q710" s="72"/>
      <c r="R710" s="72"/>
      <c r="S710" s="72"/>
      <c r="T710" s="72"/>
      <c r="U710" s="72"/>
      <c r="V710" s="72"/>
      <c r="W710" s="72"/>
      <c r="X710" s="72"/>
      <c r="Y710" s="72"/>
      <c r="Z710" s="72"/>
    </row>
    <row r="711" spans="1:26" ht="15.75" customHeight="1">
      <c r="A711" s="72"/>
      <c r="B711" s="72"/>
      <c r="C711" s="72"/>
      <c r="D711" s="72"/>
      <c r="E711" s="72"/>
      <c r="F711" s="72"/>
      <c r="G711" s="72"/>
      <c r="H711" s="72"/>
      <c r="I711" s="72"/>
      <c r="J711" s="72"/>
      <c r="K711" s="73"/>
      <c r="L711" s="74"/>
      <c r="M711" s="72"/>
      <c r="N711" s="72"/>
      <c r="O711" s="72"/>
      <c r="P711" s="72"/>
      <c r="Q711" s="72"/>
      <c r="R711" s="72"/>
      <c r="S711" s="72"/>
      <c r="T711" s="72"/>
      <c r="U711" s="72"/>
      <c r="V711" s="72"/>
      <c r="W711" s="72"/>
      <c r="X711" s="72"/>
      <c r="Y711" s="72"/>
      <c r="Z711" s="72"/>
    </row>
    <row r="712" spans="1:26" ht="15.75" customHeight="1">
      <c r="A712" s="72"/>
      <c r="B712" s="72"/>
      <c r="C712" s="72"/>
      <c r="D712" s="72"/>
      <c r="E712" s="72"/>
      <c r="F712" s="72"/>
      <c r="G712" s="72"/>
      <c r="H712" s="72"/>
      <c r="I712" s="72"/>
      <c r="J712" s="72"/>
      <c r="K712" s="73"/>
      <c r="L712" s="74"/>
      <c r="M712" s="72"/>
      <c r="N712" s="72"/>
      <c r="O712" s="72"/>
      <c r="P712" s="72"/>
      <c r="Q712" s="72"/>
      <c r="R712" s="72"/>
      <c r="S712" s="72"/>
      <c r="T712" s="72"/>
      <c r="U712" s="72"/>
      <c r="V712" s="72"/>
      <c r="W712" s="72"/>
      <c r="X712" s="72"/>
      <c r="Y712" s="72"/>
      <c r="Z712" s="72"/>
    </row>
    <row r="713" spans="1:26" ht="15.75" customHeight="1">
      <c r="A713" s="72"/>
      <c r="B713" s="72"/>
      <c r="C713" s="72"/>
      <c r="D713" s="72"/>
      <c r="E713" s="72"/>
      <c r="F713" s="72"/>
      <c r="G713" s="72"/>
      <c r="H713" s="72"/>
      <c r="I713" s="72"/>
      <c r="J713" s="72"/>
      <c r="K713" s="73"/>
      <c r="L713" s="74"/>
      <c r="M713" s="72"/>
      <c r="N713" s="72"/>
      <c r="O713" s="72"/>
      <c r="P713" s="72"/>
      <c r="Q713" s="72"/>
      <c r="R713" s="72"/>
      <c r="S713" s="72"/>
      <c r="T713" s="72"/>
      <c r="U713" s="72"/>
      <c r="V713" s="72"/>
      <c r="W713" s="72"/>
      <c r="X713" s="72"/>
      <c r="Y713" s="72"/>
      <c r="Z713" s="72"/>
    </row>
    <row r="714" spans="1:26" ht="15.75" customHeight="1">
      <c r="A714" s="72"/>
      <c r="B714" s="72"/>
      <c r="C714" s="72"/>
      <c r="D714" s="72"/>
      <c r="E714" s="72"/>
      <c r="F714" s="72"/>
      <c r="G714" s="72"/>
      <c r="H714" s="72"/>
      <c r="I714" s="72"/>
      <c r="J714" s="72"/>
      <c r="K714" s="73"/>
      <c r="L714" s="74"/>
      <c r="M714" s="72"/>
      <c r="N714" s="72"/>
      <c r="O714" s="72"/>
      <c r="P714" s="72"/>
      <c r="Q714" s="72"/>
      <c r="R714" s="72"/>
      <c r="S714" s="72"/>
      <c r="T714" s="72"/>
      <c r="U714" s="72"/>
      <c r="V714" s="72"/>
      <c r="W714" s="72"/>
      <c r="X714" s="72"/>
      <c r="Y714" s="72"/>
      <c r="Z714" s="72"/>
    </row>
    <row r="715" spans="1:26" ht="15.75" customHeight="1">
      <c r="A715" s="72"/>
      <c r="B715" s="72"/>
      <c r="C715" s="72"/>
      <c r="D715" s="72"/>
      <c r="E715" s="72"/>
      <c r="F715" s="72"/>
      <c r="G715" s="72"/>
      <c r="H715" s="72"/>
      <c r="I715" s="72"/>
      <c r="J715" s="72"/>
      <c r="K715" s="73"/>
      <c r="L715" s="74"/>
      <c r="M715" s="72"/>
      <c r="N715" s="72"/>
      <c r="O715" s="72"/>
      <c r="P715" s="72"/>
      <c r="Q715" s="72"/>
      <c r="R715" s="72"/>
      <c r="S715" s="72"/>
      <c r="T715" s="72"/>
      <c r="U715" s="72"/>
      <c r="V715" s="72"/>
      <c r="W715" s="72"/>
      <c r="X715" s="72"/>
      <c r="Y715" s="72"/>
      <c r="Z715" s="72"/>
    </row>
    <row r="716" spans="1:26" ht="15.75" customHeight="1">
      <c r="A716" s="72"/>
      <c r="B716" s="72"/>
      <c r="C716" s="72"/>
      <c r="D716" s="72"/>
      <c r="E716" s="72"/>
      <c r="F716" s="72"/>
      <c r="G716" s="72"/>
      <c r="H716" s="72"/>
      <c r="I716" s="72"/>
      <c r="J716" s="72"/>
      <c r="K716" s="73"/>
      <c r="L716" s="74"/>
      <c r="M716" s="72"/>
      <c r="N716" s="72"/>
      <c r="O716" s="72"/>
      <c r="P716" s="72"/>
      <c r="Q716" s="72"/>
      <c r="R716" s="72"/>
      <c r="S716" s="72"/>
      <c r="T716" s="72"/>
      <c r="U716" s="72"/>
      <c r="V716" s="72"/>
      <c r="W716" s="72"/>
      <c r="X716" s="72"/>
      <c r="Y716" s="72"/>
      <c r="Z716" s="72"/>
    </row>
    <row r="717" spans="1:26" ht="15.75" customHeight="1">
      <c r="A717" s="72"/>
      <c r="B717" s="72"/>
      <c r="C717" s="72"/>
      <c r="D717" s="72"/>
      <c r="E717" s="72"/>
      <c r="F717" s="72"/>
      <c r="G717" s="72"/>
      <c r="H717" s="72"/>
      <c r="I717" s="72"/>
      <c r="J717" s="72"/>
      <c r="K717" s="73"/>
      <c r="L717" s="74"/>
      <c r="M717" s="72"/>
      <c r="N717" s="72"/>
      <c r="O717" s="72"/>
      <c r="P717" s="72"/>
      <c r="Q717" s="72"/>
      <c r="R717" s="72"/>
      <c r="S717" s="72"/>
      <c r="T717" s="72"/>
      <c r="U717" s="72"/>
      <c r="V717" s="72"/>
      <c r="W717" s="72"/>
      <c r="X717" s="72"/>
      <c r="Y717" s="72"/>
      <c r="Z717" s="72"/>
    </row>
    <row r="718" spans="1:26" ht="15.75" customHeight="1">
      <c r="A718" s="72"/>
      <c r="B718" s="72"/>
      <c r="C718" s="72"/>
      <c r="D718" s="72"/>
      <c r="E718" s="72"/>
      <c r="F718" s="72"/>
      <c r="G718" s="72"/>
      <c r="H718" s="72"/>
      <c r="I718" s="72"/>
      <c r="J718" s="72"/>
      <c r="K718" s="73"/>
      <c r="L718" s="74"/>
      <c r="M718" s="72"/>
      <c r="N718" s="72"/>
      <c r="O718" s="72"/>
      <c r="P718" s="72"/>
      <c r="Q718" s="72"/>
      <c r="R718" s="72"/>
      <c r="S718" s="72"/>
      <c r="T718" s="72"/>
      <c r="U718" s="72"/>
      <c r="V718" s="72"/>
      <c r="W718" s="72"/>
      <c r="X718" s="72"/>
      <c r="Y718" s="72"/>
      <c r="Z718" s="72"/>
    </row>
    <row r="719" spans="1:26" ht="15.75" customHeight="1">
      <c r="A719" s="72"/>
      <c r="B719" s="72"/>
      <c r="C719" s="72"/>
      <c r="D719" s="72"/>
      <c r="E719" s="72"/>
      <c r="F719" s="72"/>
      <c r="G719" s="72"/>
      <c r="H719" s="72"/>
      <c r="I719" s="72"/>
      <c r="J719" s="72"/>
      <c r="K719" s="73"/>
      <c r="L719" s="74"/>
      <c r="M719" s="72"/>
      <c r="N719" s="72"/>
      <c r="O719" s="72"/>
      <c r="P719" s="72"/>
      <c r="Q719" s="72"/>
      <c r="R719" s="72"/>
      <c r="S719" s="72"/>
      <c r="T719" s="72"/>
      <c r="U719" s="72"/>
      <c r="V719" s="72"/>
      <c r="W719" s="72"/>
      <c r="X719" s="72"/>
      <c r="Y719" s="72"/>
      <c r="Z719" s="72"/>
    </row>
    <row r="720" spans="1:26" ht="15.75" customHeight="1">
      <c r="A720" s="72"/>
      <c r="B720" s="72"/>
      <c r="C720" s="72"/>
      <c r="D720" s="72"/>
      <c r="E720" s="72"/>
      <c r="F720" s="72"/>
      <c r="G720" s="72"/>
      <c r="H720" s="72"/>
      <c r="I720" s="72"/>
      <c r="J720" s="72"/>
      <c r="K720" s="73"/>
      <c r="L720" s="74"/>
      <c r="M720" s="72"/>
      <c r="N720" s="72"/>
      <c r="O720" s="72"/>
      <c r="P720" s="72"/>
      <c r="Q720" s="72"/>
      <c r="R720" s="72"/>
      <c r="S720" s="72"/>
      <c r="T720" s="72"/>
      <c r="U720" s="72"/>
      <c r="V720" s="72"/>
      <c r="W720" s="72"/>
      <c r="X720" s="72"/>
      <c r="Y720" s="72"/>
      <c r="Z720" s="72"/>
    </row>
    <row r="721" spans="1:26" ht="15.75" customHeight="1">
      <c r="A721" s="72"/>
      <c r="B721" s="72"/>
      <c r="C721" s="72"/>
      <c r="D721" s="72"/>
      <c r="E721" s="72"/>
      <c r="F721" s="72"/>
      <c r="G721" s="72"/>
      <c r="H721" s="72"/>
      <c r="I721" s="72"/>
      <c r="J721" s="72"/>
      <c r="K721" s="73"/>
      <c r="L721" s="74"/>
      <c r="M721" s="72"/>
      <c r="N721" s="72"/>
      <c r="O721" s="72"/>
      <c r="P721" s="72"/>
      <c r="Q721" s="72"/>
      <c r="R721" s="72"/>
      <c r="S721" s="72"/>
      <c r="T721" s="72"/>
      <c r="U721" s="72"/>
      <c r="V721" s="72"/>
      <c r="W721" s="72"/>
      <c r="X721" s="72"/>
      <c r="Y721" s="72"/>
      <c r="Z721" s="72"/>
    </row>
    <row r="722" spans="1:26" ht="15.75" customHeight="1">
      <c r="A722" s="72"/>
      <c r="B722" s="72"/>
      <c r="C722" s="72"/>
      <c r="D722" s="72"/>
      <c r="E722" s="72"/>
      <c r="F722" s="72"/>
      <c r="G722" s="72"/>
      <c r="H722" s="72"/>
      <c r="I722" s="72"/>
      <c r="J722" s="72"/>
      <c r="K722" s="73"/>
      <c r="L722" s="74"/>
      <c r="M722" s="72"/>
      <c r="N722" s="72"/>
      <c r="O722" s="72"/>
      <c r="P722" s="72"/>
      <c r="Q722" s="72"/>
      <c r="R722" s="72"/>
      <c r="S722" s="72"/>
      <c r="T722" s="72"/>
      <c r="U722" s="72"/>
      <c r="V722" s="72"/>
      <c r="W722" s="72"/>
      <c r="X722" s="72"/>
      <c r="Y722" s="72"/>
      <c r="Z722" s="72"/>
    </row>
    <row r="723" spans="1:26" ht="15.75" customHeight="1">
      <c r="A723" s="72"/>
      <c r="B723" s="72"/>
      <c r="C723" s="72"/>
      <c r="D723" s="72"/>
      <c r="E723" s="72"/>
      <c r="F723" s="72"/>
      <c r="G723" s="72"/>
      <c r="H723" s="72"/>
      <c r="I723" s="72"/>
      <c r="J723" s="72"/>
      <c r="K723" s="73"/>
      <c r="L723" s="74"/>
      <c r="M723" s="72"/>
      <c r="N723" s="72"/>
      <c r="O723" s="72"/>
      <c r="P723" s="72"/>
      <c r="Q723" s="72"/>
      <c r="R723" s="72"/>
      <c r="S723" s="72"/>
      <c r="T723" s="72"/>
      <c r="U723" s="72"/>
      <c r="V723" s="72"/>
      <c r="W723" s="72"/>
      <c r="X723" s="72"/>
      <c r="Y723" s="72"/>
      <c r="Z723" s="72"/>
    </row>
    <row r="724" spans="1:26" ht="15.75" customHeight="1">
      <c r="A724" s="72"/>
      <c r="B724" s="72"/>
      <c r="C724" s="72"/>
      <c r="D724" s="72"/>
      <c r="E724" s="72"/>
      <c r="F724" s="72"/>
      <c r="G724" s="72"/>
      <c r="H724" s="72"/>
      <c r="I724" s="72"/>
      <c r="J724" s="72"/>
      <c r="K724" s="73"/>
      <c r="L724" s="74"/>
      <c r="M724" s="72"/>
      <c r="N724" s="72"/>
      <c r="O724" s="72"/>
      <c r="P724" s="72"/>
      <c r="Q724" s="72"/>
      <c r="R724" s="72"/>
      <c r="S724" s="72"/>
      <c r="T724" s="72"/>
      <c r="U724" s="72"/>
      <c r="V724" s="72"/>
      <c r="W724" s="72"/>
      <c r="X724" s="72"/>
      <c r="Y724" s="72"/>
      <c r="Z724" s="72"/>
    </row>
    <row r="725" spans="1:26" ht="15.75" customHeight="1">
      <c r="A725" s="72"/>
      <c r="B725" s="72"/>
      <c r="C725" s="72"/>
      <c r="D725" s="72"/>
      <c r="E725" s="72"/>
      <c r="F725" s="72"/>
      <c r="G725" s="72"/>
      <c r="H725" s="72"/>
      <c r="I725" s="72"/>
      <c r="J725" s="72"/>
      <c r="K725" s="73"/>
      <c r="L725" s="74"/>
      <c r="M725" s="72"/>
      <c r="N725" s="72"/>
      <c r="O725" s="72"/>
      <c r="P725" s="72"/>
      <c r="Q725" s="72"/>
      <c r="R725" s="72"/>
      <c r="S725" s="72"/>
      <c r="T725" s="72"/>
      <c r="U725" s="72"/>
      <c r="V725" s="72"/>
      <c r="W725" s="72"/>
      <c r="X725" s="72"/>
      <c r="Y725" s="72"/>
      <c r="Z725" s="72"/>
    </row>
    <row r="726" spans="1:26" ht="15.75" customHeight="1">
      <c r="A726" s="72"/>
      <c r="B726" s="72"/>
      <c r="C726" s="72"/>
      <c r="D726" s="72"/>
      <c r="E726" s="72"/>
      <c r="F726" s="72"/>
      <c r="G726" s="72"/>
      <c r="H726" s="72"/>
      <c r="I726" s="72"/>
      <c r="J726" s="72"/>
      <c r="K726" s="73"/>
      <c r="L726" s="74"/>
      <c r="M726" s="72"/>
      <c r="N726" s="72"/>
      <c r="O726" s="72"/>
      <c r="P726" s="72"/>
      <c r="Q726" s="72"/>
      <c r="R726" s="72"/>
      <c r="S726" s="72"/>
      <c r="T726" s="72"/>
      <c r="U726" s="72"/>
      <c r="V726" s="72"/>
      <c r="W726" s="72"/>
      <c r="X726" s="72"/>
      <c r="Y726" s="72"/>
      <c r="Z726" s="72"/>
    </row>
    <row r="727" spans="1:26" ht="15.75" customHeight="1">
      <c r="A727" s="72"/>
      <c r="B727" s="72"/>
      <c r="C727" s="72"/>
      <c r="D727" s="72"/>
      <c r="E727" s="72"/>
      <c r="F727" s="72"/>
      <c r="G727" s="72"/>
      <c r="H727" s="72"/>
      <c r="I727" s="72"/>
      <c r="J727" s="72"/>
      <c r="K727" s="73"/>
      <c r="L727" s="74"/>
      <c r="M727" s="72"/>
      <c r="N727" s="72"/>
      <c r="O727" s="72"/>
      <c r="P727" s="72"/>
      <c r="Q727" s="72"/>
      <c r="R727" s="72"/>
      <c r="S727" s="72"/>
      <c r="T727" s="72"/>
      <c r="U727" s="72"/>
      <c r="V727" s="72"/>
      <c r="W727" s="72"/>
      <c r="X727" s="72"/>
      <c r="Y727" s="72"/>
      <c r="Z727" s="72"/>
    </row>
    <row r="728" spans="1:26" ht="15.75" customHeight="1">
      <c r="A728" s="72"/>
      <c r="B728" s="72"/>
      <c r="C728" s="72"/>
      <c r="D728" s="72"/>
      <c r="E728" s="72"/>
      <c r="F728" s="72"/>
      <c r="G728" s="72"/>
      <c r="H728" s="72"/>
      <c r="I728" s="72"/>
      <c r="J728" s="72"/>
      <c r="K728" s="73"/>
      <c r="L728" s="74"/>
      <c r="M728" s="72"/>
      <c r="N728" s="72"/>
      <c r="O728" s="72"/>
      <c r="P728" s="72"/>
      <c r="Q728" s="72"/>
      <c r="R728" s="72"/>
      <c r="S728" s="72"/>
      <c r="T728" s="72"/>
      <c r="U728" s="72"/>
      <c r="V728" s="72"/>
      <c r="W728" s="72"/>
      <c r="X728" s="72"/>
      <c r="Y728" s="72"/>
      <c r="Z728" s="72"/>
    </row>
    <row r="729" spans="1:26" ht="15.75" customHeight="1">
      <c r="A729" s="72"/>
      <c r="B729" s="72"/>
      <c r="C729" s="72"/>
      <c r="D729" s="72"/>
      <c r="E729" s="72"/>
      <c r="F729" s="72"/>
      <c r="G729" s="72"/>
      <c r="H729" s="72"/>
      <c r="I729" s="72"/>
      <c r="J729" s="72"/>
      <c r="K729" s="73"/>
      <c r="L729" s="74"/>
      <c r="M729" s="72"/>
      <c r="N729" s="72"/>
      <c r="O729" s="72"/>
      <c r="P729" s="72"/>
      <c r="Q729" s="72"/>
      <c r="R729" s="72"/>
      <c r="S729" s="72"/>
      <c r="T729" s="72"/>
      <c r="U729" s="72"/>
      <c r="V729" s="72"/>
      <c r="W729" s="72"/>
      <c r="X729" s="72"/>
      <c r="Y729" s="72"/>
      <c r="Z729" s="72"/>
    </row>
    <row r="730" spans="1:26" ht="15.75" customHeight="1">
      <c r="A730" s="72"/>
      <c r="B730" s="72"/>
      <c r="C730" s="72"/>
      <c r="D730" s="72"/>
      <c r="E730" s="72"/>
      <c r="F730" s="72"/>
      <c r="G730" s="72"/>
      <c r="H730" s="72"/>
      <c r="I730" s="72"/>
      <c r="J730" s="72"/>
      <c r="K730" s="73"/>
      <c r="L730" s="74"/>
      <c r="M730" s="72"/>
      <c r="N730" s="72"/>
      <c r="O730" s="72"/>
      <c r="P730" s="72"/>
      <c r="Q730" s="72"/>
      <c r="R730" s="72"/>
      <c r="S730" s="72"/>
      <c r="T730" s="72"/>
      <c r="U730" s="72"/>
      <c r="V730" s="72"/>
      <c r="W730" s="72"/>
      <c r="X730" s="72"/>
      <c r="Y730" s="72"/>
      <c r="Z730" s="72"/>
    </row>
    <row r="731" spans="1:26" ht="15.75" customHeight="1">
      <c r="A731" s="72"/>
      <c r="B731" s="72"/>
      <c r="C731" s="72"/>
      <c r="D731" s="72"/>
      <c r="E731" s="72"/>
      <c r="F731" s="72"/>
      <c r="G731" s="72"/>
      <c r="H731" s="72"/>
      <c r="I731" s="72"/>
      <c r="J731" s="72"/>
      <c r="K731" s="73"/>
      <c r="L731" s="74"/>
      <c r="M731" s="72"/>
      <c r="N731" s="72"/>
      <c r="O731" s="72"/>
      <c r="P731" s="72"/>
      <c r="Q731" s="72"/>
      <c r="R731" s="72"/>
      <c r="S731" s="72"/>
      <c r="T731" s="72"/>
      <c r="U731" s="72"/>
      <c r="V731" s="72"/>
      <c r="W731" s="72"/>
      <c r="X731" s="72"/>
      <c r="Y731" s="72"/>
      <c r="Z731" s="72"/>
    </row>
    <row r="732" spans="1:26" ht="15.75" customHeight="1">
      <c r="A732" s="72"/>
      <c r="B732" s="72"/>
      <c r="C732" s="72"/>
      <c r="D732" s="72"/>
      <c r="E732" s="72"/>
      <c r="F732" s="72"/>
      <c r="G732" s="72"/>
      <c r="H732" s="72"/>
      <c r="I732" s="72"/>
      <c r="J732" s="72"/>
      <c r="K732" s="73"/>
      <c r="L732" s="74"/>
      <c r="M732" s="72"/>
      <c r="N732" s="72"/>
      <c r="O732" s="72"/>
      <c r="P732" s="72"/>
      <c r="Q732" s="72"/>
      <c r="R732" s="72"/>
      <c r="S732" s="72"/>
      <c r="T732" s="72"/>
      <c r="U732" s="72"/>
      <c r="V732" s="72"/>
      <c r="W732" s="72"/>
      <c r="X732" s="72"/>
      <c r="Y732" s="72"/>
      <c r="Z732" s="72"/>
    </row>
    <row r="733" spans="1:26" ht="15.75" customHeight="1">
      <c r="A733" s="72"/>
      <c r="B733" s="72"/>
      <c r="C733" s="72"/>
      <c r="D733" s="72"/>
      <c r="E733" s="72"/>
      <c r="F733" s="72"/>
      <c r="G733" s="72"/>
      <c r="H733" s="72"/>
      <c r="I733" s="72"/>
      <c r="J733" s="72"/>
      <c r="K733" s="73"/>
      <c r="L733" s="74"/>
      <c r="M733" s="72"/>
      <c r="N733" s="72"/>
      <c r="O733" s="72"/>
      <c r="P733" s="72"/>
      <c r="Q733" s="72"/>
      <c r="R733" s="72"/>
      <c r="S733" s="72"/>
      <c r="T733" s="72"/>
      <c r="U733" s="72"/>
      <c r="V733" s="72"/>
      <c r="W733" s="72"/>
      <c r="X733" s="72"/>
      <c r="Y733" s="72"/>
      <c r="Z733" s="72"/>
    </row>
    <row r="734" spans="1:26" ht="15.75" customHeight="1">
      <c r="A734" s="72"/>
      <c r="B734" s="72"/>
      <c r="C734" s="72"/>
      <c r="D734" s="72"/>
      <c r="E734" s="72"/>
      <c r="F734" s="72"/>
      <c r="G734" s="72"/>
      <c r="H734" s="72"/>
      <c r="I734" s="72"/>
      <c r="J734" s="72"/>
      <c r="K734" s="73"/>
      <c r="L734" s="74"/>
      <c r="M734" s="72"/>
      <c r="N734" s="72"/>
      <c r="O734" s="72"/>
      <c r="P734" s="72"/>
      <c r="Q734" s="72"/>
      <c r="R734" s="72"/>
      <c r="S734" s="72"/>
      <c r="T734" s="72"/>
      <c r="U734" s="72"/>
      <c r="V734" s="72"/>
      <c r="W734" s="72"/>
      <c r="X734" s="72"/>
      <c r="Y734" s="72"/>
      <c r="Z734" s="72"/>
    </row>
    <row r="735" spans="1:26" ht="15.75" customHeight="1">
      <c r="A735" s="72"/>
      <c r="B735" s="72"/>
      <c r="C735" s="72"/>
      <c r="D735" s="72"/>
      <c r="E735" s="72"/>
      <c r="F735" s="72"/>
      <c r="G735" s="72"/>
      <c r="H735" s="72"/>
      <c r="I735" s="72"/>
      <c r="J735" s="72"/>
      <c r="K735" s="73"/>
      <c r="L735" s="74"/>
      <c r="M735" s="72"/>
      <c r="N735" s="72"/>
      <c r="O735" s="72"/>
      <c r="P735" s="72"/>
      <c r="Q735" s="72"/>
      <c r="R735" s="72"/>
      <c r="S735" s="72"/>
      <c r="T735" s="72"/>
      <c r="U735" s="72"/>
      <c r="V735" s="72"/>
      <c r="W735" s="72"/>
      <c r="X735" s="72"/>
      <c r="Y735" s="72"/>
      <c r="Z735" s="72"/>
    </row>
    <row r="736" spans="1:26" ht="15.75" customHeight="1">
      <c r="A736" s="72"/>
      <c r="B736" s="72"/>
      <c r="C736" s="72"/>
      <c r="D736" s="72"/>
      <c r="E736" s="72"/>
      <c r="F736" s="72"/>
      <c r="G736" s="72"/>
      <c r="H736" s="72"/>
      <c r="I736" s="72"/>
      <c r="J736" s="72"/>
      <c r="K736" s="73"/>
      <c r="L736" s="74"/>
      <c r="M736" s="72"/>
      <c r="N736" s="72"/>
      <c r="O736" s="72"/>
      <c r="P736" s="72"/>
      <c r="Q736" s="72"/>
      <c r="R736" s="72"/>
      <c r="S736" s="72"/>
      <c r="T736" s="72"/>
      <c r="U736" s="72"/>
      <c r="V736" s="72"/>
      <c r="W736" s="72"/>
      <c r="X736" s="72"/>
      <c r="Y736" s="72"/>
      <c r="Z736" s="72"/>
    </row>
    <row r="737" spans="1:26" ht="15.75" customHeight="1">
      <c r="A737" s="72"/>
      <c r="B737" s="72"/>
      <c r="C737" s="72"/>
      <c r="D737" s="72"/>
      <c r="E737" s="72"/>
      <c r="F737" s="72"/>
      <c r="G737" s="72"/>
      <c r="H737" s="72"/>
      <c r="I737" s="72"/>
      <c r="J737" s="72"/>
      <c r="K737" s="73"/>
      <c r="L737" s="74"/>
      <c r="M737" s="72"/>
      <c r="N737" s="72"/>
      <c r="O737" s="72"/>
      <c r="P737" s="72"/>
      <c r="Q737" s="72"/>
      <c r="R737" s="72"/>
      <c r="S737" s="72"/>
      <c r="T737" s="72"/>
      <c r="U737" s="72"/>
      <c r="V737" s="72"/>
      <c r="W737" s="72"/>
      <c r="X737" s="72"/>
      <c r="Y737" s="72"/>
      <c r="Z737" s="72"/>
    </row>
    <row r="738" spans="1:26" ht="15.75" customHeight="1">
      <c r="A738" s="72"/>
      <c r="B738" s="72"/>
      <c r="C738" s="72"/>
      <c r="D738" s="72"/>
      <c r="E738" s="72"/>
      <c r="F738" s="72"/>
      <c r="G738" s="72"/>
      <c r="H738" s="72"/>
      <c r="I738" s="72"/>
      <c r="J738" s="72"/>
      <c r="K738" s="73"/>
      <c r="L738" s="74"/>
      <c r="M738" s="72"/>
      <c r="N738" s="72"/>
      <c r="O738" s="72"/>
      <c r="P738" s="72"/>
      <c r="Q738" s="72"/>
      <c r="R738" s="72"/>
      <c r="S738" s="72"/>
      <c r="T738" s="72"/>
      <c r="U738" s="72"/>
      <c r="V738" s="72"/>
      <c r="W738" s="72"/>
      <c r="X738" s="72"/>
      <c r="Y738" s="72"/>
      <c r="Z738" s="72"/>
    </row>
    <row r="739" spans="1:26" ht="15.75" customHeight="1">
      <c r="A739" s="72"/>
      <c r="B739" s="72"/>
      <c r="C739" s="72"/>
      <c r="D739" s="72"/>
      <c r="E739" s="72"/>
      <c r="F739" s="72"/>
      <c r="G739" s="72"/>
      <c r="H739" s="72"/>
      <c r="I739" s="72"/>
      <c r="J739" s="72"/>
      <c r="K739" s="73"/>
      <c r="L739" s="74"/>
      <c r="M739" s="72"/>
      <c r="N739" s="72"/>
      <c r="O739" s="72"/>
      <c r="P739" s="72"/>
      <c r="Q739" s="72"/>
      <c r="R739" s="72"/>
      <c r="S739" s="72"/>
      <c r="T739" s="72"/>
      <c r="U739" s="72"/>
      <c r="V739" s="72"/>
      <c r="W739" s="72"/>
      <c r="X739" s="72"/>
      <c r="Y739" s="72"/>
      <c r="Z739" s="72"/>
    </row>
    <row r="740" spans="1:26" ht="15.75" customHeight="1">
      <c r="A740" s="72"/>
      <c r="B740" s="72"/>
      <c r="C740" s="72"/>
      <c r="D740" s="72"/>
      <c r="E740" s="72"/>
      <c r="F740" s="72"/>
      <c r="G740" s="72"/>
      <c r="H740" s="72"/>
      <c r="I740" s="72"/>
      <c r="J740" s="72"/>
      <c r="K740" s="73"/>
      <c r="L740" s="74"/>
      <c r="M740" s="72"/>
      <c r="N740" s="72"/>
      <c r="O740" s="72"/>
      <c r="P740" s="72"/>
      <c r="Q740" s="72"/>
      <c r="R740" s="72"/>
      <c r="S740" s="72"/>
      <c r="T740" s="72"/>
      <c r="U740" s="72"/>
      <c r="V740" s="72"/>
      <c r="W740" s="72"/>
      <c r="X740" s="72"/>
      <c r="Y740" s="72"/>
      <c r="Z740" s="72"/>
    </row>
    <row r="741" spans="1:26" ht="15.75" customHeight="1">
      <c r="A741" s="72"/>
      <c r="B741" s="72"/>
      <c r="C741" s="72"/>
      <c r="D741" s="72"/>
      <c r="E741" s="72"/>
      <c r="F741" s="72"/>
      <c r="G741" s="72"/>
      <c r="H741" s="72"/>
      <c r="I741" s="72"/>
      <c r="J741" s="72"/>
      <c r="K741" s="73"/>
      <c r="L741" s="74"/>
      <c r="M741" s="72"/>
      <c r="N741" s="72"/>
      <c r="O741" s="72"/>
      <c r="P741" s="72"/>
      <c r="Q741" s="72"/>
      <c r="R741" s="72"/>
      <c r="S741" s="72"/>
      <c r="T741" s="72"/>
      <c r="U741" s="72"/>
      <c r="V741" s="72"/>
      <c r="W741" s="72"/>
      <c r="X741" s="72"/>
      <c r="Y741" s="72"/>
      <c r="Z741" s="72"/>
    </row>
    <row r="742" spans="1:26" ht="15.75" customHeight="1">
      <c r="A742" s="72"/>
      <c r="B742" s="72"/>
      <c r="C742" s="72"/>
      <c r="D742" s="72"/>
      <c r="E742" s="72"/>
      <c r="F742" s="72"/>
      <c r="G742" s="72"/>
      <c r="H742" s="72"/>
      <c r="I742" s="72"/>
      <c r="J742" s="72"/>
      <c r="K742" s="73"/>
      <c r="L742" s="74"/>
      <c r="M742" s="72"/>
      <c r="N742" s="72"/>
      <c r="O742" s="72"/>
      <c r="P742" s="72"/>
      <c r="Q742" s="72"/>
      <c r="R742" s="72"/>
      <c r="S742" s="72"/>
      <c r="T742" s="72"/>
      <c r="U742" s="72"/>
      <c r="V742" s="72"/>
      <c r="W742" s="72"/>
      <c r="X742" s="72"/>
      <c r="Y742" s="72"/>
      <c r="Z742" s="72"/>
    </row>
    <row r="743" spans="1:26" ht="15.75" customHeight="1">
      <c r="A743" s="72"/>
      <c r="B743" s="72"/>
      <c r="C743" s="72"/>
      <c r="D743" s="72"/>
      <c r="E743" s="72"/>
      <c r="F743" s="72"/>
      <c r="G743" s="72"/>
      <c r="H743" s="72"/>
      <c r="I743" s="72"/>
      <c r="J743" s="72"/>
      <c r="K743" s="73"/>
      <c r="L743" s="74"/>
      <c r="M743" s="72"/>
      <c r="N743" s="72"/>
      <c r="O743" s="72"/>
      <c r="P743" s="72"/>
      <c r="Q743" s="72"/>
      <c r="R743" s="72"/>
      <c r="S743" s="72"/>
      <c r="T743" s="72"/>
      <c r="U743" s="72"/>
      <c r="V743" s="72"/>
      <c r="W743" s="72"/>
      <c r="X743" s="72"/>
      <c r="Y743" s="72"/>
      <c r="Z743" s="72"/>
    </row>
    <row r="744" spans="1:26" ht="15.75" customHeight="1">
      <c r="A744" s="72"/>
      <c r="B744" s="72"/>
      <c r="C744" s="72"/>
      <c r="D744" s="72"/>
      <c r="E744" s="72"/>
      <c r="F744" s="72"/>
      <c r="G744" s="72"/>
      <c r="H744" s="72"/>
      <c r="I744" s="72"/>
      <c r="J744" s="72"/>
      <c r="K744" s="73"/>
      <c r="L744" s="74"/>
      <c r="M744" s="72"/>
      <c r="N744" s="72"/>
      <c r="O744" s="72"/>
      <c r="P744" s="72"/>
      <c r="Q744" s="72"/>
      <c r="R744" s="72"/>
      <c r="S744" s="72"/>
      <c r="T744" s="72"/>
      <c r="U744" s="72"/>
      <c r="V744" s="72"/>
      <c r="W744" s="72"/>
      <c r="X744" s="72"/>
      <c r="Y744" s="72"/>
      <c r="Z744" s="72"/>
    </row>
    <row r="745" spans="1:26" ht="15.75" customHeight="1">
      <c r="A745" s="72"/>
      <c r="B745" s="72"/>
      <c r="C745" s="72"/>
      <c r="D745" s="72"/>
      <c r="E745" s="72"/>
      <c r="F745" s="72"/>
      <c r="G745" s="72"/>
      <c r="H745" s="72"/>
      <c r="I745" s="72"/>
      <c r="J745" s="72"/>
      <c r="K745" s="73"/>
      <c r="L745" s="74"/>
      <c r="M745" s="72"/>
      <c r="N745" s="72"/>
      <c r="O745" s="72"/>
      <c r="P745" s="72"/>
      <c r="Q745" s="72"/>
      <c r="R745" s="72"/>
      <c r="S745" s="72"/>
      <c r="T745" s="72"/>
      <c r="U745" s="72"/>
      <c r="V745" s="72"/>
      <c r="W745" s="72"/>
      <c r="X745" s="72"/>
      <c r="Y745" s="72"/>
      <c r="Z745" s="72"/>
    </row>
    <row r="746" spans="1:26" ht="15.75" customHeight="1">
      <c r="A746" s="72"/>
      <c r="B746" s="72"/>
      <c r="C746" s="72"/>
      <c r="D746" s="72"/>
      <c r="E746" s="72"/>
      <c r="F746" s="72"/>
      <c r="G746" s="72"/>
      <c r="H746" s="72"/>
      <c r="I746" s="72"/>
      <c r="J746" s="72"/>
      <c r="K746" s="73"/>
      <c r="L746" s="74"/>
      <c r="M746" s="72"/>
      <c r="N746" s="72"/>
      <c r="O746" s="72"/>
      <c r="P746" s="72"/>
      <c r="Q746" s="72"/>
      <c r="R746" s="72"/>
      <c r="S746" s="72"/>
      <c r="T746" s="72"/>
      <c r="U746" s="72"/>
      <c r="V746" s="72"/>
      <c r="W746" s="72"/>
      <c r="X746" s="72"/>
      <c r="Y746" s="72"/>
      <c r="Z746" s="72"/>
    </row>
    <row r="747" spans="1:26" ht="15.75" customHeight="1">
      <c r="A747" s="72"/>
      <c r="B747" s="72"/>
      <c r="C747" s="72"/>
      <c r="D747" s="72"/>
      <c r="E747" s="72"/>
      <c r="F747" s="72"/>
      <c r="G747" s="72"/>
      <c r="H747" s="72"/>
      <c r="I747" s="72"/>
      <c r="J747" s="72"/>
      <c r="K747" s="73"/>
      <c r="L747" s="74"/>
      <c r="M747" s="72"/>
      <c r="N747" s="72"/>
      <c r="O747" s="72"/>
      <c r="P747" s="72"/>
      <c r="Q747" s="72"/>
      <c r="R747" s="72"/>
      <c r="S747" s="72"/>
      <c r="T747" s="72"/>
      <c r="U747" s="72"/>
      <c r="V747" s="72"/>
      <c r="W747" s="72"/>
      <c r="X747" s="72"/>
      <c r="Y747" s="72"/>
      <c r="Z747" s="72"/>
    </row>
    <row r="748" spans="1:26" ht="15.75" customHeight="1">
      <c r="A748" s="72"/>
      <c r="B748" s="72"/>
      <c r="C748" s="72"/>
      <c r="D748" s="72"/>
      <c r="E748" s="72"/>
      <c r="F748" s="72"/>
      <c r="G748" s="72"/>
      <c r="H748" s="72"/>
      <c r="I748" s="72"/>
      <c r="J748" s="72"/>
      <c r="K748" s="73"/>
      <c r="L748" s="74"/>
      <c r="M748" s="72"/>
      <c r="N748" s="72"/>
      <c r="O748" s="72"/>
      <c r="P748" s="72"/>
      <c r="Q748" s="72"/>
      <c r="R748" s="72"/>
      <c r="S748" s="72"/>
      <c r="T748" s="72"/>
      <c r="U748" s="72"/>
      <c r="V748" s="72"/>
      <c r="W748" s="72"/>
      <c r="X748" s="72"/>
      <c r="Y748" s="72"/>
      <c r="Z748" s="72"/>
    </row>
    <row r="749" spans="1:26" ht="15.75" customHeight="1">
      <c r="A749" s="72"/>
      <c r="B749" s="72"/>
      <c r="C749" s="72"/>
      <c r="D749" s="72"/>
      <c r="E749" s="72"/>
      <c r="F749" s="72"/>
      <c r="G749" s="72"/>
      <c r="H749" s="72"/>
      <c r="I749" s="72"/>
      <c r="J749" s="72"/>
      <c r="K749" s="73"/>
      <c r="L749" s="74"/>
      <c r="M749" s="72"/>
      <c r="N749" s="72"/>
      <c r="O749" s="72"/>
      <c r="P749" s="72"/>
      <c r="Q749" s="72"/>
      <c r="R749" s="72"/>
      <c r="S749" s="72"/>
      <c r="T749" s="72"/>
      <c r="U749" s="72"/>
      <c r="V749" s="72"/>
      <c r="W749" s="72"/>
      <c r="X749" s="72"/>
      <c r="Y749" s="72"/>
      <c r="Z749" s="72"/>
    </row>
    <row r="750" spans="1:26" ht="15.75" customHeight="1">
      <c r="A750" s="72"/>
      <c r="B750" s="72"/>
      <c r="C750" s="72"/>
      <c r="D750" s="72"/>
      <c r="E750" s="72"/>
      <c r="F750" s="72"/>
      <c r="G750" s="72"/>
      <c r="H750" s="72"/>
      <c r="I750" s="72"/>
      <c r="J750" s="72"/>
      <c r="K750" s="73"/>
      <c r="L750" s="74"/>
      <c r="M750" s="72"/>
      <c r="N750" s="72"/>
      <c r="O750" s="72"/>
      <c r="P750" s="72"/>
      <c r="Q750" s="72"/>
      <c r="R750" s="72"/>
      <c r="S750" s="72"/>
      <c r="T750" s="72"/>
      <c r="U750" s="72"/>
      <c r="V750" s="72"/>
      <c r="W750" s="72"/>
      <c r="X750" s="72"/>
      <c r="Y750" s="72"/>
      <c r="Z750" s="72"/>
    </row>
    <row r="751" spans="1:26" ht="15.75" customHeight="1">
      <c r="A751" s="72"/>
      <c r="B751" s="72"/>
      <c r="C751" s="72"/>
      <c r="D751" s="72"/>
      <c r="E751" s="72"/>
      <c r="F751" s="72"/>
      <c r="G751" s="72"/>
      <c r="H751" s="72"/>
      <c r="I751" s="72"/>
      <c r="J751" s="72"/>
      <c r="K751" s="73"/>
      <c r="L751" s="74"/>
      <c r="M751" s="72"/>
      <c r="N751" s="72"/>
      <c r="O751" s="72"/>
      <c r="P751" s="72"/>
      <c r="Q751" s="72"/>
      <c r="R751" s="72"/>
      <c r="S751" s="72"/>
      <c r="T751" s="72"/>
      <c r="U751" s="72"/>
      <c r="V751" s="72"/>
      <c r="W751" s="72"/>
      <c r="X751" s="72"/>
      <c r="Y751" s="72"/>
      <c r="Z751" s="72"/>
    </row>
    <row r="752" spans="1:26" ht="15.75" customHeight="1">
      <c r="A752" s="72"/>
      <c r="B752" s="72"/>
      <c r="C752" s="72"/>
      <c r="D752" s="72"/>
      <c r="E752" s="72"/>
      <c r="F752" s="72"/>
      <c r="G752" s="72"/>
      <c r="H752" s="72"/>
      <c r="I752" s="72"/>
      <c r="J752" s="72"/>
      <c r="K752" s="73"/>
      <c r="L752" s="74"/>
      <c r="M752" s="72"/>
      <c r="N752" s="72"/>
      <c r="O752" s="72"/>
      <c r="P752" s="72"/>
      <c r="Q752" s="72"/>
      <c r="R752" s="72"/>
      <c r="S752" s="72"/>
      <c r="T752" s="72"/>
      <c r="U752" s="72"/>
      <c r="V752" s="72"/>
      <c r="W752" s="72"/>
      <c r="X752" s="72"/>
      <c r="Y752" s="72"/>
      <c r="Z752" s="72"/>
    </row>
    <row r="753" spans="1:26" ht="15.75" customHeight="1">
      <c r="A753" s="72"/>
      <c r="B753" s="72"/>
      <c r="C753" s="72"/>
      <c r="D753" s="72"/>
      <c r="E753" s="72"/>
      <c r="F753" s="72"/>
      <c r="G753" s="72"/>
      <c r="H753" s="72"/>
      <c r="I753" s="72"/>
      <c r="J753" s="72"/>
      <c r="K753" s="73"/>
      <c r="L753" s="74"/>
      <c r="M753" s="72"/>
      <c r="N753" s="72"/>
      <c r="O753" s="72"/>
      <c r="P753" s="72"/>
      <c r="Q753" s="72"/>
      <c r="R753" s="72"/>
      <c r="S753" s="72"/>
      <c r="T753" s="72"/>
      <c r="U753" s="72"/>
      <c r="V753" s="72"/>
      <c r="W753" s="72"/>
      <c r="X753" s="72"/>
      <c r="Y753" s="72"/>
      <c r="Z753" s="72"/>
    </row>
    <row r="754" spans="1:26" ht="15.75" customHeight="1">
      <c r="A754" s="72"/>
      <c r="B754" s="72"/>
      <c r="C754" s="72"/>
      <c r="D754" s="72"/>
      <c r="E754" s="72"/>
      <c r="F754" s="72"/>
      <c r="G754" s="72"/>
      <c r="H754" s="72"/>
      <c r="I754" s="72"/>
      <c r="J754" s="72"/>
      <c r="K754" s="73"/>
      <c r="L754" s="74"/>
      <c r="M754" s="72"/>
      <c r="N754" s="72"/>
      <c r="O754" s="72"/>
      <c r="P754" s="72"/>
      <c r="Q754" s="72"/>
      <c r="R754" s="72"/>
      <c r="S754" s="72"/>
      <c r="T754" s="72"/>
      <c r="U754" s="72"/>
      <c r="V754" s="72"/>
      <c r="W754" s="72"/>
      <c r="X754" s="72"/>
      <c r="Y754" s="72"/>
      <c r="Z754" s="72"/>
    </row>
    <row r="755" spans="1:26" ht="15.75" customHeight="1">
      <c r="A755" s="72"/>
      <c r="B755" s="72"/>
      <c r="C755" s="72"/>
      <c r="D755" s="72"/>
      <c r="E755" s="72"/>
      <c r="F755" s="72"/>
      <c r="G755" s="72"/>
      <c r="H755" s="72"/>
      <c r="I755" s="72"/>
      <c r="J755" s="72"/>
      <c r="K755" s="73"/>
      <c r="L755" s="74"/>
      <c r="M755" s="72"/>
      <c r="N755" s="72"/>
      <c r="O755" s="72"/>
      <c r="P755" s="72"/>
      <c r="Q755" s="72"/>
      <c r="R755" s="72"/>
      <c r="S755" s="72"/>
      <c r="T755" s="72"/>
      <c r="U755" s="72"/>
      <c r="V755" s="72"/>
      <c r="W755" s="72"/>
      <c r="X755" s="72"/>
      <c r="Y755" s="72"/>
      <c r="Z755" s="72"/>
    </row>
    <row r="756" spans="1:26" ht="15.75" customHeight="1">
      <c r="A756" s="72"/>
      <c r="B756" s="72"/>
      <c r="C756" s="72"/>
      <c r="D756" s="72"/>
      <c r="E756" s="72"/>
      <c r="F756" s="72"/>
      <c r="G756" s="72"/>
      <c r="H756" s="72"/>
      <c r="I756" s="72"/>
      <c r="J756" s="72"/>
      <c r="K756" s="73"/>
      <c r="L756" s="74"/>
      <c r="M756" s="72"/>
      <c r="N756" s="72"/>
      <c r="O756" s="72"/>
      <c r="P756" s="72"/>
      <c r="Q756" s="72"/>
      <c r="R756" s="72"/>
      <c r="S756" s="72"/>
      <c r="T756" s="72"/>
      <c r="U756" s="72"/>
      <c r="V756" s="72"/>
      <c r="W756" s="72"/>
      <c r="X756" s="72"/>
      <c r="Y756" s="72"/>
      <c r="Z756" s="72"/>
    </row>
    <row r="757" spans="1:26" ht="15.75" customHeight="1">
      <c r="A757" s="72"/>
      <c r="B757" s="72"/>
      <c r="C757" s="72"/>
      <c r="D757" s="72"/>
      <c r="E757" s="72"/>
      <c r="F757" s="72"/>
      <c r="G757" s="72"/>
      <c r="H757" s="72"/>
      <c r="I757" s="72"/>
      <c r="J757" s="72"/>
      <c r="K757" s="73"/>
      <c r="L757" s="74"/>
      <c r="M757" s="72"/>
      <c r="N757" s="72"/>
      <c r="O757" s="72"/>
      <c r="P757" s="72"/>
      <c r="Q757" s="72"/>
      <c r="R757" s="72"/>
      <c r="S757" s="72"/>
      <c r="T757" s="72"/>
      <c r="U757" s="72"/>
      <c r="V757" s="72"/>
      <c r="W757" s="72"/>
      <c r="X757" s="72"/>
      <c r="Y757" s="72"/>
      <c r="Z757" s="72"/>
    </row>
    <row r="758" spans="1:26" ht="15.75" customHeight="1">
      <c r="A758" s="72"/>
      <c r="B758" s="72"/>
      <c r="C758" s="72"/>
      <c r="D758" s="72"/>
      <c r="E758" s="72"/>
      <c r="F758" s="72"/>
      <c r="G758" s="72"/>
      <c r="H758" s="72"/>
      <c r="I758" s="72"/>
      <c r="J758" s="72"/>
      <c r="K758" s="73"/>
      <c r="L758" s="74"/>
      <c r="M758" s="72"/>
      <c r="N758" s="72"/>
      <c r="O758" s="72"/>
      <c r="P758" s="72"/>
      <c r="Q758" s="72"/>
      <c r="R758" s="72"/>
      <c r="S758" s="72"/>
      <c r="T758" s="72"/>
      <c r="U758" s="72"/>
      <c r="V758" s="72"/>
      <c r="W758" s="72"/>
      <c r="X758" s="72"/>
      <c r="Y758" s="72"/>
      <c r="Z758" s="72"/>
    </row>
    <row r="759" spans="1:26" ht="15.75" customHeight="1">
      <c r="A759" s="72"/>
      <c r="B759" s="72"/>
      <c r="C759" s="72"/>
      <c r="D759" s="72"/>
      <c r="E759" s="72"/>
      <c r="F759" s="72"/>
      <c r="G759" s="72"/>
      <c r="H759" s="72"/>
      <c r="I759" s="72"/>
      <c r="J759" s="72"/>
      <c r="K759" s="73"/>
      <c r="L759" s="74"/>
      <c r="M759" s="72"/>
      <c r="N759" s="72"/>
      <c r="O759" s="72"/>
      <c r="P759" s="72"/>
      <c r="Q759" s="72"/>
      <c r="R759" s="72"/>
      <c r="S759" s="72"/>
      <c r="T759" s="72"/>
      <c r="U759" s="72"/>
      <c r="V759" s="72"/>
      <c r="W759" s="72"/>
      <c r="X759" s="72"/>
      <c r="Y759" s="72"/>
      <c r="Z759" s="72"/>
    </row>
    <row r="760" spans="1:26" ht="15.75" customHeight="1">
      <c r="A760" s="72"/>
      <c r="B760" s="72"/>
      <c r="C760" s="72"/>
      <c r="D760" s="72"/>
      <c r="E760" s="72"/>
      <c r="F760" s="72"/>
      <c r="G760" s="72"/>
      <c r="H760" s="72"/>
      <c r="I760" s="72"/>
      <c r="J760" s="72"/>
      <c r="K760" s="73"/>
      <c r="L760" s="74"/>
      <c r="M760" s="72"/>
      <c r="N760" s="72"/>
      <c r="O760" s="72"/>
      <c r="P760" s="72"/>
      <c r="Q760" s="72"/>
      <c r="R760" s="72"/>
      <c r="S760" s="72"/>
      <c r="T760" s="72"/>
      <c r="U760" s="72"/>
      <c r="V760" s="72"/>
      <c r="W760" s="72"/>
      <c r="X760" s="72"/>
      <c r="Y760" s="72"/>
      <c r="Z760" s="72"/>
    </row>
    <row r="761" spans="1:26" ht="15.75" customHeight="1">
      <c r="A761" s="72"/>
      <c r="B761" s="72"/>
      <c r="C761" s="72"/>
      <c r="D761" s="72"/>
      <c r="E761" s="72"/>
      <c r="F761" s="72"/>
      <c r="G761" s="72"/>
      <c r="H761" s="72"/>
      <c r="I761" s="72"/>
      <c r="J761" s="72"/>
      <c r="K761" s="73"/>
      <c r="L761" s="74"/>
      <c r="M761" s="72"/>
      <c r="N761" s="72"/>
      <c r="O761" s="72"/>
      <c r="P761" s="72"/>
      <c r="Q761" s="72"/>
      <c r="R761" s="72"/>
      <c r="S761" s="72"/>
      <c r="T761" s="72"/>
      <c r="U761" s="72"/>
      <c r="V761" s="72"/>
      <c r="W761" s="72"/>
      <c r="X761" s="72"/>
      <c r="Y761" s="72"/>
      <c r="Z761" s="72"/>
    </row>
    <row r="762" spans="1:26" ht="15.75" customHeight="1">
      <c r="A762" s="72"/>
      <c r="B762" s="72"/>
      <c r="C762" s="72"/>
      <c r="D762" s="72"/>
      <c r="E762" s="72"/>
      <c r="F762" s="72"/>
      <c r="G762" s="72"/>
      <c r="H762" s="72"/>
      <c r="I762" s="72"/>
      <c r="J762" s="72"/>
      <c r="K762" s="73"/>
      <c r="L762" s="74"/>
      <c r="M762" s="72"/>
      <c r="N762" s="72"/>
      <c r="O762" s="72"/>
      <c r="P762" s="72"/>
      <c r="Q762" s="72"/>
      <c r="R762" s="72"/>
      <c r="S762" s="72"/>
      <c r="T762" s="72"/>
      <c r="U762" s="72"/>
      <c r="V762" s="72"/>
      <c r="W762" s="72"/>
      <c r="X762" s="72"/>
      <c r="Y762" s="72"/>
      <c r="Z762" s="72"/>
    </row>
    <row r="763" spans="1:26" ht="15.75" customHeight="1">
      <c r="A763" s="72"/>
      <c r="B763" s="72"/>
      <c r="C763" s="72"/>
      <c r="D763" s="72"/>
      <c r="E763" s="72"/>
      <c r="F763" s="72"/>
      <c r="G763" s="72"/>
      <c r="H763" s="72"/>
      <c r="I763" s="72"/>
      <c r="J763" s="72"/>
      <c r="K763" s="73"/>
      <c r="L763" s="74"/>
      <c r="M763" s="72"/>
      <c r="N763" s="72"/>
      <c r="O763" s="72"/>
      <c r="P763" s="72"/>
      <c r="Q763" s="72"/>
      <c r="R763" s="72"/>
      <c r="S763" s="72"/>
      <c r="T763" s="72"/>
      <c r="U763" s="72"/>
      <c r="V763" s="72"/>
      <c r="W763" s="72"/>
      <c r="X763" s="72"/>
      <c r="Y763" s="72"/>
      <c r="Z763" s="72"/>
    </row>
    <row r="764" spans="1:26" ht="15.75" customHeight="1">
      <c r="A764" s="72"/>
      <c r="B764" s="72"/>
      <c r="C764" s="72"/>
      <c r="D764" s="72"/>
      <c r="E764" s="72"/>
      <c r="F764" s="72"/>
      <c r="G764" s="72"/>
      <c r="H764" s="72"/>
      <c r="I764" s="72"/>
      <c r="J764" s="72"/>
      <c r="K764" s="73"/>
      <c r="L764" s="74"/>
      <c r="M764" s="72"/>
      <c r="N764" s="72"/>
      <c r="O764" s="72"/>
      <c r="P764" s="72"/>
      <c r="Q764" s="72"/>
      <c r="R764" s="72"/>
      <c r="S764" s="72"/>
      <c r="T764" s="72"/>
      <c r="U764" s="72"/>
      <c r="V764" s="72"/>
      <c r="W764" s="72"/>
      <c r="X764" s="72"/>
      <c r="Y764" s="72"/>
      <c r="Z764" s="72"/>
    </row>
    <row r="765" spans="1:26" ht="15.75" customHeight="1">
      <c r="A765" s="72"/>
      <c r="B765" s="72"/>
      <c r="C765" s="72"/>
      <c r="D765" s="72"/>
      <c r="E765" s="72"/>
      <c r="F765" s="72"/>
      <c r="G765" s="72"/>
      <c r="H765" s="72"/>
      <c r="I765" s="72"/>
      <c r="J765" s="72"/>
      <c r="K765" s="73"/>
      <c r="L765" s="74"/>
      <c r="M765" s="72"/>
      <c r="N765" s="72"/>
      <c r="O765" s="72"/>
      <c r="P765" s="72"/>
      <c r="Q765" s="72"/>
      <c r="R765" s="72"/>
      <c r="S765" s="72"/>
      <c r="T765" s="72"/>
      <c r="U765" s="72"/>
      <c r="V765" s="72"/>
      <c r="W765" s="72"/>
      <c r="X765" s="72"/>
      <c r="Y765" s="72"/>
      <c r="Z765" s="72"/>
    </row>
    <row r="766" spans="1:26" ht="15.75" customHeight="1">
      <c r="A766" s="72"/>
      <c r="B766" s="72"/>
      <c r="C766" s="72"/>
      <c r="D766" s="72"/>
      <c r="E766" s="72"/>
      <c r="F766" s="72"/>
      <c r="G766" s="72"/>
      <c r="H766" s="72"/>
      <c r="I766" s="72"/>
      <c r="J766" s="72"/>
      <c r="K766" s="73"/>
      <c r="L766" s="74"/>
      <c r="M766" s="72"/>
      <c r="N766" s="72"/>
      <c r="O766" s="72"/>
      <c r="P766" s="72"/>
      <c r="Q766" s="72"/>
      <c r="R766" s="72"/>
      <c r="S766" s="72"/>
      <c r="T766" s="72"/>
      <c r="U766" s="72"/>
      <c r="V766" s="72"/>
      <c r="W766" s="72"/>
      <c r="X766" s="72"/>
      <c r="Y766" s="72"/>
      <c r="Z766" s="72"/>
    </row>
    <row r="767" spans="1:26" ht="15.75" customHeight="1">
      <c r="A767" s="72"/>
      <c r="B767" s="72"/>
      <c r="C767" s="72"/>
      <c r="D767" s="72"/>
      <c r="E767" s="72"/>
      <c r="F767" s="72"/>
      <c r="G767" s="72"/>
      <c r="H767" s="72"/>
      <c r="I767" s="72"/>
      <c r="J767" s="72"/>
      <c r="K767" s="73"/>
      <c r="L767" s="74"/>
      <c r="M767" s="72"/>
      <c r="N767" s="72"/>
      <c r="O767" s="72"/>
      <c r="P767" s="72"/>
      <c r="Q767" s="72"/>
      <c r="R767" s="72"/>
      <c r="S767" s="72"/>
      <c r="T767" s="72"/>
      <c r="U767" s="72"/>
      <c r="V767" s="72"/>
      <c r="W767" s="72"/>
      <c r="X767" s="72"/>
      <c r="Y767" s="72"/>
      <c r="Z767" s="72"/>
    </row>
    <row r="768" spans="1:26" ht="15.75" customHeight="1">
      <c r="A768" s="72"/>
      <c r="B768" s="72"/>
      <c r="C768" s="72"/>
      <c r="D768" s="72"/>
      <c r="E768" s="72"/>
      <c r="F768" s="72"/>
      <c r="G768" s="72"/>
      <c r="H768" s="72"/>
      <c r="I768" s="72"/>
      <c r="J768" s="72"/>
      <c r="K768" s="73"/>
      <c r="L768" s="74"/>
      <c r="M768" s="72"/>
      <c r="N768" s="72"/>
      <c r="O768" s="72"/>
      <c r="P768" s="72"/>
      <c r="Q768" s="72"/>
      <c r="R768" s="72"/>
      <c r="S768" s="72"/>
      <c r="T768" s="72"/>
      <c r="U768" s="72"/>
      <c r="V768" s="72"/>
      <c r="W768" s="72"/>
      <c r="X768" s="72"/>
      <c r="Y768" s="72"/>
      <c r="Z768" s="72"/>
    </row>
    <row r="769" spans="1:26" ht="15.75" customHeight="1">
      <c r="A769" s="72"/>
      <c r="B769" s="72"/>
      <c r="C769" s="72"/>
      <c r="D769" s="72"/>
      <c r="E769" s="72"/>
      <c r="F769" s="72"/>
      <c r="G769" s="72"/>
      <c r="H769" s="72"/>
      <c r="I769" s="72"/>
      <c r="J769" s="72"/>
      <c r="K769" s="73"/>
      <c r="L769" s="74"/>
      <c r="M769" s="72"/>
      <c r="N769" s="72"/>
      <c r="O769" s="72"/>
      <c r="P769" s="72"/>
      <c r="Q769" s="72"/>
      <c r="R769" s="72"/>
      <c r="S769" s="72"/>
      <c r="T769" s="72"/>
      <c r="U769" s="72"/>
      <c r="V769" s="72"/>
      <c r="W769" s="72"/>
      <c r="X769" s="72"/>
      <c r="Y769" s="72"/>
      <c r="Z769" s="72"/>
    </row>
    <row r="770" spans="1:26" ht="15.75" customHeight="1">
      <c r="A770" s="72"/>
      <c r="B770" s="72"/>
      <c r="C770" s="72"/>
      <c r="D770" s="72"/>
      <c r="E770" s="72"/>
      <c r="F770" s="72"/>
      <c r="G770" s="72"/>
      <c r="H770" s="72"/>
      <c r="I770" s="72"/>
      <c r="J770" s="72"/>
      <c r="K770" s="73"/>
      <c r="L770" s="74"/>
      <c r="M770" s="72"/>
      <c r="N770" s="72"/>
      <c r="O770" s="72"/>
      <c r="P770" s="72"/>
      <c r="Q770" s="72"/>
      <c r="R770" s="72"/>
      <c r="S770" s="72"/>
      <c r="T770" s="72"/>
      <c r="U770" s="72"/>
      <c r="V770" s="72"/>
      <c r="W770" s="72"/>
      <c r="X770" s="72"/>
      <c r="Y770" s="72"/>
      <c r="Z770" s="72"/>
    </row>
    <row r="771" spans="1:26" ht="15.75" customHeight="1">
      <c r="A771" s="72"/>
      <c r="B771" s="72"/>
      <c r="C771" s="72"/>
      <c r="D771" s="72"/>
      <c r="E771" s="72"/>
      <c r="F771" s="72"/>
      <c r="G771" s="72"/>
      <c r="H771" s="72"/>
      <c r="I771" s="72"/>
      <c r="J771" s="72"/>
      <c r="K771" s="73"/>
      <c r="L771" s="74"/>
      <c r="M771" s="72"/>
      <c r="N771" s="72"/>
      <c r="O771" s="72"/>
      <c r="P771" s="72"/>
      <c r="Q771" s="72"/>
      <c r="R771" s="72"/>
      <c r="S771" s="72"/>
      <c r="T771" s="72"/>
      <c r="U771" s="72"/>
      <c r="V771" s="72"/>
      <c r="W771" s="72"/>
      <c r="X771" s="72"/>
      <c r="Y771" s="72"/>
      <c r="Z771" s="72"/>
    </row>
    <row r="772" spans="1:26" ht="15.75" customHeight="1">
      <c r="A772" s="72"/>
      <c r="B772" s="72"/>
      <c r="C772" s="72"/>
      <c r="D772" s="72"/>
      <c r="E772" s="72"/>
      <c r="F772" s="72"/>
      <c r="G772" s="72"/>
      <c r="H772" s="72"/>
      <c r="I772" s="72"/>
      <c r="J772" s="72"/>
      <c r="K772" s="73"/>
      <c r="L772" s="74"/>
      <c r="M772" s="72"/>
      <c r="N772" s="72"/>
      <c r="O772" s="72"/>
      <c r="P772" s="72"/>
      <c r="Q772" s="72"/>
      <c r="R772" s="72"/>
      <c r="S772" s="72"/>
      <c r="T772" s="72"/>
      <c r="U772" s="72"/>
      <c r="V772" s="72"/>
      <c r="W772" s="72"/>
      <c r="X772" s="72"/>
      <c r="Y772" s="72"/>
      <c r="Z772" s="72"/>
    </row>
    <row r="773" spans="1:26" ht="15.75" customHeight="1">
      <c r="A773" s="72"/>
      <c r="B773" s="72"/>
      <c r="C773" s="72"/>
      <c r="D773" s="72"/>
      <c r="E773" s="72"/>
      <c r="F773" s="72"/>
      <c r="G773" s="72"/>
      <c r="H773" s="72"/>
      <c r="I773" s="72"/>
      <c r="J773" s="72"/>
      <c r="K773" s="73"/>
      <c r="L773" s="74"/>
      <c r="M773" s="72"/>
      <c r="N773" s="72"/>
      <c r="O773" s="72"/>
      <c r="P773" s="72"/>
      <c r="Q773" s="72"/>
      <c r="R773" s="72"/>
      <c r="S773" s="72"/>
      <c r="T773" s="72"/>
      <c r="U773" s="72"/>
      <c r="V773" s="72"/>
      <c r="W773" s="72"/>
      <c r="X773" s="72"/>
      <c r="Y773" s="72"/>
      <c r="Z773" s="72"/>
    </row>
    <row r="774" spans="1:26" ht="15.75" customHeight="1">
      <c r="A774" s="72"/>
      <c r="B774" s="72"/>
      <c r="C774" s="72"/>
      <c r="D774" s="72"/>
      <c r="E774" s="72"/>
      <c r="F774" s="72"/>
      <c r="G774" s="72"/>
      <c r="H774" s="72"/>
      <c r="I774" s="72"/>
      <c r="J774" s="72"/>
      <c r="K774" s="73"/>
      <c r="L774" s="74"/>
      <c r="M774" s="72"/>
      <c r="N774" s="72"/>
      <c r="O774" s="72"/>
      <c r="P774" s="72"/>
      <c r="Q774" s="72"/>
      <c r="R774" s="72"/>
      <c r="S774" s="72"/>
      <c r="T774" s="72"/>
      <c r="U774" s="72"/>
      <c r="V774" s="72"/>
      <c r="W774" s="72"/>
      <c r="X774" s="72"/>
      <c r="Y774" s="72"/>
      <c r="Z774" s="72"/>
    </row>
    <row r="775" spans="1:26" ht="15.75" customHeight="1">
      <c r="A775" s="72"/>
      <c r="B775" s="72"/>
      <c r="C775" s="72"/>
      <c r="D775" s="72"/>
      <c r="E775" s="72"/>
      <c r="F775" s="72"/>
      <c r="G775" s="72"/>
      <c r="H775" s="72"/>
      <c r="I775" s="72"/>
      <c r="J775" s="72"/>
      <c r="K775" s="73"/>
      <c r="L775" s="74"/>
      <c r="M775" s="72"/>
      <c r="N775" s="72"/>
      <c r="O775" s="72"/>
      <c r="P775" s="72"/>
      <c r="Q775" s="72"/>
      <c r="R775" s="72"/>
      <c r="S775" s="72"/>
      <c r="T775" s="72"/>
      <c r="U775" s="72"/>
      <c r="V775" s="72"/>
      <c r="W775" s="72"/>
      <c r="X775" s="72"/>
      <c r="Y775" s="72"/>
      <c r="Z775" s="72"/>
    </row>
    <row r="776" spans="1:26" ht="15.75" customHeight="1">
      <c r="A776" s="72"/>
      <c r="B776" s="72"/>
      <c r="C776" s="72"/>
      <c r="D776" s="72"/>
      <c r="E776" s="72"/>
      <c r="F776" s="72"/>
      <c r="G776" s="72"/>
      <c r="H776" s="72"/>
      <c r="I776" s="72"/>
      <c r="J776" s="72"/>
      <c r="K776" s="73"/>
      <c r="L776" s="74"/>
      <c r="M776" s="72"/>
      <c r="N776" s="72"/>
      <c r="O776" s="72"/>
      <c r="P776" s="72"/>
      <c r="Q776" s="72"/>
      <c r="R776" s="72"/>
      <c r="S776" s="72"/>
      <c r="T776" s="72"/>
      <c r="U776" s="72"/>
      <c r="V776" s="72"/>
      <c r="W776" s="72"/>
      <c r="X776" s="72"/>
      <c r="Y776" s="72"/>
      <c r="Z776" s="72"/>
    </row>
    <row r="777" spans="1:26" ht="15.75" customHeight="1">
      <c r="A777" s="72"/>
      <c r="B777" s="72"/>
      <c r="C777" s="72"/>
      <c r="D777" s="72"/>
      <c r="E777" s="72"/>
      <c r="F777" s="72"/>
      <c r="G777" s="72"/>
      <c r="H777" s="72"/>
      <c r="I777" s="72"/>
      <c r="J777" s="72"/>
      <c r="K777" s="73"/>
      <c r="L777" s="74"/>
      <c r="M777" s="72"/>
      <c r="N777" s="72"/>
      <c r="O777" s="72"/>
      <c r="P777" s="72"/>
      <c r="Q777" s="72"/>
      <c r="R777" s="72"/>
      <c r="S777" s="72"/>
      <c r="T777" s="72"/>
      <c r="U777" s="72"/>
      <c r="V777" s="72"/>
      <c r="W777" s="72"/>
      <c r="X777" s="72"/>
      <c r="Y777" s="72"/>
      <c r="Z777" s="72"/>
    </row>
    <row r="778" spans="1:26" ht="15.75" customHeight="1">
      <c r="A778" s="72"/>
      <c r="B778" s="72"/>
      <c r="C778" s="72"/>
      <c r="D778" s="72"/>
      <c r="E778" s="72"/>
      <c r="F778" s="72"/>
      <c r="G778" s="72"/>
      <c r="H778" s="72"/>
      <c r="I778" s="72"/>
      <c r="J778" s="72"/>
      <c r="K778" s="73"/>
      <c r="L778" s="74"/>
      <c r="M778" s="72"/>
      <c r="N778" s="72"/>
      <c r="O778" s="72"/>
      <c r="P778" s="72"/>
      <c r="Q778" s="72"/>
      <c r="R778" s="72"/>
      <c r="S778" s="72"/>
      <c r="T778" s="72"/>
      <c r="U778" s="72"/>
      <c r="V778" s="72"/>
      <c r="W778" s="72"/>
      <c r="X778" s="72"/>
      <c r="Y778" s="72"/>
      <c r="Z778" s="72"/>
    </row>
    <row r="779" spans="1:26" ht="15.75" customHeight="1">
      <c r="A779" s="72"/>
      <c r="B779" s="72"/>
      <c r="C779" s="72"/>
      <c r="D779" s="72"/>
      <c r="E779" s="72"/>
      <c r="F779" s="72"/>
      <c r="G779" s="72"/>
      <c r="H779" s="72"/>
      <c r="I779" s="72"/>
      <c r="J779" s="72"/>
      <c r="K779" s="73"/>
      <c r="L779" s="74"/>
      <c r="M779" s="72"/>
      <c r="N779" s="72"/>
      <c r="O779" s="72"/>
      <c r="P779" s="72"/>
      <c r="Q779" s="72"/>
      <c r="R779" s="72"/>
      <c r="S779" s="72"/>
      <c r="T779" s="72"/>
      <c r="U779" s="72"/>
      <c r="V779" s="72"/>
      <c r="W779" s="72"/>
      <c r="X779" s="72"/>
      <c r="Y779" s="72"/>
      <c r="Z779" s="72"/>
    </row>
    <row r="780" spans="1:26" ht="15.75" customHeight="1">
      <c r="A780" s="72"/>
      <c r="B780" s="72"/>
      <c r="C780" s="72"/>
      <c r="D780" s="72"/>
      <c r="E780" s="72"/>
      <c r="F780" s="72"/>
      <c r="G780" s="72"/>
      <c r="H780" s="72"/>
      <c r="I780" s="72"/>
      <c r="J780" s="72"/>
      <c r="K780" s="73"/>
      <c r="L780" s="74"/>
      <c r="M780" s="72"/>
      <c r="N780" s="72"/>
      <c r="O780" s="72"/>
      <c r="P780" s="72"/>
      <c r="Q780" s="72"/>
      <c r="R780" s="72"/>
      <c r="S780" s="72"/>
      <c r="T780" s="72"/>
      <c r="U780" s="72"/>
      <c r="V780" s="72"/>
      <c r="W780" s="72"/>
      <c r="X780" s="72"/>
      <c r="Y780" s="72"/>
      <c r="Z780" s="72"/>
    </row>
    <row r="781" spans="1:26" ht="15.75" customHeight="1">
      <c r="A781" s="72"/>
      <c r="B781" s="72"/>
      <c r="C781" s="72"/>
      <c r="D781" s="72"/>
      <c r="E781" s="72"/>
      <c r="F781" s="72"/>
      <c r="G781" s="72"/>
      <c r="H781" s="72"/>
      <c r="I781" s="72"/>
      <c r="J781" s="72"/>
      <c r="K781" s="73"/>
      <c r="L781" s="74"/>
      <c r="M781" s="72"/>
      <c r="N781" s="72"/>
      <c r="O781" s="72"/>
      <c r="P781" s="72"/>
      <c r="Q781" s="72"/>
      <c r="R781" s="72"/>
      <c r="S781" s="72"/>
      <c r="T781" s="72"/>
      <c r="U781" s="72"/>
      <c r="V781" s="72"/>
      <c r="W781" s="72"/>
      <c r="X781" s="72"/>
      <c r="Y781" s="72"/>
      <c r="Z781" s="72"/>
    </row>
    <row r="782" spans="1:26" ht="15.75" customHeight="1">
      <c r="A782" s="72"/>
      <c r="B782" s="72"/>
      <c r="C782" s="72"/>
      <c r="D782" s="72"/>
      <c r="E782" s="72"/>
      <c r="F782" s="72"/>
      <c r="G782" s="72"/>
      <c r="H782" s="72"/>
      <c r="I782" s="72"/>
      <c r="J782" s="72"/>
      <c r="K782" s="73"/>
      <c r="L782" s="74"/>
      <c r="M782" s="72"/>
      <c r="N782" s="72"/>
      <c r="O782" s="72"/>
      <c r="P782" s="72"/>
      <c r="Q782" s="72"/>
      <c r="R782" s="72"/>
      <c r="S782" s="72"/>
      <c r="T782" s="72"/>
      <c r="U782" s="72"/>
      <c r="V782" s="72"/>
      <c r="W782" s="72"/>
      <c r="X782" s="72"/>
      <c r="Y782" s="72"/>
      <c r="Z782" s="72"/>
    </row>
    <row r="783" spans="1:26" ht="15.75" customHeight="1">
      <c r="A783" s="72"/>
      <c r="B783" s="72"/>
      <c r="C783" s="72"/>
      <c r="D783" s="72"/>
      <c r="E783" s="72"/>
      <c r="F783" s="72"/>
      <c r="G783" s="72"/>
      <c r="H783" s="72"/>
      <c r="I783" s="72"/>
      <c r="J783" s="72"/>
      <c r="K783" s="73"/>
      <c r="L783" s="74"/>
      <c r="M783" s="72"/>
      <c r="N783" s="72"/>
      <c r="O783" s="72"/>
      <c r="P783" s="72"/>
      <c r="Q783" s="72"/>
      <c r="R783" s="72"/>
      <c r="S783" s="72"/>
      <c r="T783" s="72"/>
      <c r="U783" s="72"/>
      <c r="V783" s="72"/>
      <c r="W783" s="72"/>
      <c r="X783" s="72"/>
      <c r="Y783" s="72"/>
      <c r="Z783" s="72"/>
    </row>
    <row r="784" spans="1:26" ht="15.75" customHeight="1">
      <c r="A784" s="72"/>
      <c r="B784" s="72"/>
      <c r="C784" s="72"/>
      <c r="D784" s="72"/>
      <c r="E784" s="72"/>
      <c r="F784" s="72"/>
      <c r="G784" s="72"/>
      <c r="H784" s="72"/>
      <c r="I784" s="72"/>
      <c r="J784" s="72"/>
      <c r="K784" s="73"/>
      <c r="L784" s="74"/>
      <c r="M784" s="72"/>
      <c r="N784" s="72"/>
      <c r="O784" s="72"/>
      <c r="P784" s="72"/>
      <c r="Q784" s="72"/>
      <c r="R784" s="72"/>
      <c r="S784" s="72"/>
      <c r="T784" s="72"/>
      <c r="U784" s="72"/>
      <c r="V784" s="72"/>
      <c r="W784" s="72"/>
      <c r="X784" s="72"/>
      <c r="Y784" s="72"/>
      <c r="Z784" s="72"/>
    </row>
    <row r="785" spans="1:26" ht="15.75" customHeight="1">
      <c r="A785" s="72"/>
      <c r="B785" s="72"/>
      <c r="C785" s="72"/>
      <c r="D785" s="72"/>
      <c r="E785" s="72"/>
      <c r="F785" s="72"/>
      <c r="G785" s="72"/>
      <c r="H785" s="72"/>
      <c r="I785" s="72"/>
      <c r="J785" s="72"/>
      <c r="K785" s="73"/>
      <c r="L785" s="74"/>
      <c r="M785" s="72"/>
      <c r="N785" s="72"/>
      <c r="O785" s="72"/>
      <c r="P785" s="72"/>
      <c r="Q785" s="72"/>
      <c r="R785" s="72"/>
      <c r="S785" s="72"/>
      <c r="T785" s="72"/>
      <c r="U785" s="72"/>
      <c r="V785" s="72"/>
      <c r="W785" s="72"/>
      <c r="X785" s="72"/>
      <c r="Y785" s="72"/>
      <c r="Z785" s="72"/>
    </row>
    <row r="786" spans="1:26" ht="15.75" customHeight="1">
      <c r="A786" s="72"/>
      <c r="B786" s="72"/>
      <c r="C786" s="72"/>
      <c r="D786" s="72"/>
      <c r="E786" s="72"/>
      <c r="F786" s="72"/>
      <c r="G786" s="72"/>
      <c r="H786" s="72"/>
      <c r="I786" s="72"/>
      <c r="J786" s="72"/>
      <c r="K786" s="73"/>
      <c r="L786" s="74"/>
      <c r="M786" s="72"/>
      <c r="N786" s="72"/>
      <c r="O786" s="72"/>
      <c r="P786" s="72"/>
      <c r="Q786" s="72"/>
      <c r="R786" s="72"/>
      <c r="S786" s="72"/>
      <c r="T786" s="72"/>
      <c r="U786" s="72"/>
      <c r="V786" s="72"/>
      <c r="W786" s="72"/>
      <c r="X786" s="72"/>
      <c r="Y786" s="72"/>
      <c r="Z786" s="72"/>
    </row>
    <row r="787" spans="1:26" ht="15.75" customHeight="1">
      <c r="A787" s="72"/>
      <c r="B787" s="72"/>
      <c r="C787" s="72"/>
      <c r="D787" s="72"/>
      <c r="E787" s="72"/>
      <c r="F787" s="72"/>
      <c r="G787" s="72"/>
      <c r="H787" s="72"/>
      <c r="I787" s="72"/>
      <c r="J787" s="72"/>
      <c r="K787" s="73"/>
      <c r="L787" s="74"/>
      <c r="M787" s="72"/>
      <c r="N787" s="72"/>
      <c r="O787" s="72"/>
      <c r="P787" s="72"/>
      <c r="Q787" s="72"/>
      <c r="R787" s="72"/>
      <c r="S787" s="72"/>
      <c r="T787" s="72"/>
      <c r="U787" s="72"/>
      <c r="V787" s="72"/>
      <c r="W787" s="72"/>
      <c r="X787" s="72"/>
      <c r="Y787" s="72"/>
      <c r="Z787" s="72"/>
    </row>
    <row r="788" spans="1:26" ht="15.75" customHeight="1">
      <c r="A788" s="72"/>
      <c r="B788" s="72"/>
      <c r="C788" s="72"/>
      <c r="D788" s="72"/>
      <c r="E788" s="72"/>
      <c r="F788" s="72"/>
      <c r="G788" s="72"/>
      <c r="H788" s="72"/>
      <c r="I788" s="72"/>
      <c r="J788" s="72"/>
      <c r="K788" s="73"/>
      <c r="L788" s="74"/>
      <c r="M788" s="72"/>
      <c r="N788" s="72"/>
      <c r="O788" s="72"/>
      <c r="P788" s="72"/>
      <c r="Q788" s="72"/>
      <c r="R788" s="72"/>
      <c r="S788" s="72"/>
      <c r="T788" s="72"/>
      <c r="U788" s="72"/>
      <c r="V788" s="72"/>
      <c r="W788" s="72"/>
      <c r="X788" s="72"/>
      <c r="Y788" s="72"/>
      <c r="Z788" s="72"/>
    </row>
    <row r="789" spans="1:26" ht="15.75" customHeight="1">
      <c r="A789" s="72"/>
      <c r="B789" s="72"/>
      <c r="C789" s="72"/>
      <c r="D789" s="72"/>
      <c r="E789" s="72"/>
      <c r="F789" s="72"/>
      <c r="G789" s="72"/>
      <c r="H789" s="72"/>
      <c r="I789" s="72"/>
      <c r="J789" s="72"/>
      <c r="K789" s="73"/>
      <c r="L789" s="74"/>
      <c r="M789" s="72"/>
      <c r="N789" s="72"/>
      <c r="O789" s="72"/>
      <c r="P789" s="72"/>
      <c r="Q789" s="72"/>
      <c r="R789" s="72"/>
      <c r="S789" s="72"/>
      <c r="T789" s="72"/>
      <c r="U789" s="72"/>
      <c r="V789" s="72"/>
      <c r="W789" s="72"/>
      <c r="X789" s="72"/>
      <c r="Y789" s="72"/>
      <c r="Z789" s="72"/>
    </row>
    <row r="790" spans="1:26" ht="15.75" customHeight="1">
      <c r="A790" s="72"/>
      <c r="B790" s="72"/>
      <c r="C790" s="72"/>
      <c r="D790" s="72"/>
      <c r="E790" s="72"/>
      <c r="F790" s="72"/>
      <c r="G790" s="72"/>
      <c r="H790" s="72"/>
      <c r="I790" s="72"/>
      <c r="J790" s="72"/>
      <c r="K790" s="73"/>
      <c r="L790" s="74"/>
      <c r="M790" s="72"/>
      <c r="N790" s="72"/>
      <c r="O790" s="72"/>
      <c r="P790" s="72"/>
      <c r="Q790" s="72"/>
      <c r="R790" s="72"/>
      <c r="S790" s="72"/>
      <c r="T790" s="72"/>
      <c r="U790" s="72"/>
      <c r="V790" s="72"/>
      <c r="W790" s="72"/>
      <c r="X790" s="72"/>
      <c r="Y790" s="72"/>
      <c r="Z790" s="72"/>
    </row>
    <row r="791" spans="1:26" ht="15.75" customHeight="1">
      <c r="A791" s="72"/>
      <c r="B791" s="72"/>
      <c r="C791" s="72"/>
      <c r="D791" s="72"/>
      <c r="E791" s="72"/>
      <c r="F791" s="72"/>
      <c r="G791" s="72"/>
      <c r="H791" s="72"/>
      <c r="I791" s="72"/>
      <c r="J791" s="72"/>
      <c r="K791" s="73"/>
      <c r="L791" s="74"/>
      <c r="M791" s="72"/>
      <c r="N791" s="72"/>
      <c r="O791" s="72"/>
      <c r="P791" s="72"/>
      <c r="Q791" s="72"/>
      <c r="R791" s="72"/>
      <c r="S791" s="72"/>
      <c r="T791" s="72"/>
      <c r="U791" s="72"/>
      <c r="V791" s="72"/>
      <c r="W791" s="72"/>
      <c r="X791" s="72"/>
      <c r="Y791" s="72"/>
      <c r="Z791" s="72"/>
    </row>
    <row r="792" spans="1:26" ht="15.75" customHeight="1">
      <c r="A792" s="72"/>
      <c r="B792" s="72"/>
      <c r="C792" s="72"/>
      <c r="D792" s="72"/>
      <c r="E792" s="72"/>
      <c r="F792" s="72"/>
      <c r="G792" s="72"/>
      <c r="H792" s="72"/>
      <c r="I792" s="72"/>
      <c r="J792" s="72"/>
      <c r="K792" s="73"/>
      <c r="L792" s="74"/>
      <c r="M792" s="72"/>
      <c r="N792" s="72"/>
      <c r="O792" s="72"/>
      <c r="P792" s="72"/>
      <c r="Q792" s="72"/>
      <c r="R792" s="72"/>
      <c r="S792" s="72"/>
      <c r="T792" s="72"/>
      <c r="U792" s="72"/>
      <c r="V792" s="72"/>
      <c r="W792" s="72"/>
      <c r="X792" s="72"/>
      <c r="Y792" s="72"/>
      <c r="Z792" s="72"/>
    </row>
    <row r="793" spans="1:26" ht="15.75" customHeight="1">
      <c r="A793" s="72"/>
      <c r="B793" s="72"/>
      <c r="C793" s="72"/>
      <c r="D793" s="72"/>
      <c r="E793" s="72"/>
      <c r="F793" s="72"/>
      <c r="G793" s="72"/>
      <c r="H793" s="72"/>
      <c r="I793" s="72"/>
      <c r="J793" s="72"/>
      <c r="K793" s="73"/>
      <c r="L793" s="74"/>
      <c r="M793" s="72"/>
      <c r="N793" s="72"/>
      <c r="O793" s="72"/>
      <c r="P793" s="72"/>
      <c r="Q793" s="72"/>
      <c r="R793" s="72"/>
      <c r="S793" s="72"/>
      <c r="T793" s="72"/>
      <c r="U793" s="72"/>
      <c r="V793" s="72"/>
      <c r="W793" s="72"/>
      <c r="X793" s="72"/>
      <c r="Y793" s="72"/>
      <c r="Z793" s="72"/>
    </row>
    <row r="794" spans="1:26" ht="15.75" customHeight="1">
      <c r="A794" s="72"/>
      <c r="B794" s="72"/>
      <c r="C794" s="72"/>
      <c r="D794" s="72"/>
      <c r="E794" s="72"/>
      <c r="F794" s="72"/>
      <c r="G794" s="72"/>
      <c r="H794" s="72"/>
      <c r="I794" s="72"/>
      <c r="J794" s="72"/>
      <c r="K794" s="73"/>
      <c r="L794" s="74"/>
      <c r="M794" s="72"/>
      <c r="N794" s="72"/>
      <c r="O794" s="72"/>
      <c r="P794" s="72"/>
      <c r="Q794" s="72"/>
      <c r="R794" s="72"/>
      <c r="S794" s="72"/>
      <c r="T794" s="72"/>
      <c r="U794" s="72"/>
      <c r="V794" s="72"/>
      <c r="W794" s="72"/>
      <c r="X794" s="72"/>
      <c r="Y794" s="72"/>
      <c r="Z794" s="72"/>
    </row>
    <row r="795" spans="1:26" ht="15.75" customHeight="1">
      <c r="A795" s="72"/>
      <c r="B795" s="72"/>
      <c r="C795" s="72"/>
      <c r="D795" s="72"/>
      <c r="E795" s="72"/>
      <c r="F795" s="72"/>
      <c r="G795" s="72"/>
      <c r="H795" s="72"/>
      <c r="I795" s="72"/>
      <c r="J795" s="72"/>
      <c r="K795" s="73"/>
      <c r="L795" s="74"/>
      <c r="M795" s="72"/>
      <c r="N795" s="72"/>
      <c r="O795" s="72"/>
      <c r="P795" s="72"/>
      <c r="Q795" s="72"/>
      <c r="R795" s="72"/>
      <c r="S795" s="72"/>
      <c r="T795" s="72"/>
      <c r="U795" s="72"/>
      <c r="V795" s="72"/>
      <c r="W795" s="72"/>
      <c r="X795" s="72"/>
      <c r="Y795" s="72"/>
      <c r="Z795" s="72"/>
    </row>
    <row r="796" spans="1:26" ht="15.75" customHeight="1">
      <c r="A796" s="72"/>
      <c r="B796" s="72"/>
      <c r="C796" s="72"/>
      <c r="D796" s="72"/>
      <c r="E796" s="72"/>
      <c r="F796" s="72"/>
      <c r="G796" s="72"/>
      <c r="H796" s="72"/>
      <c r="I796" s="72"/>
      <c r="J796" s="72"/>
      <c r="K796" s="73"/>
      <c r="L796" s="74"/>
      <c r="M796" s="72"/>
      <c r="N796" s="72"/>
      <c r="O796" s="72"/>
      <c r="P796" s="72"/>
      <c r="Q796" s="72"/>
      <c r="R796" s="72"/>
      <c r="S796" s="72"/>
      <c r="T796" s="72"/>
      <c r="U796" s="72"/>
      <c r="V796" s="72"/>
      <c r="W796" s="72"/>
      <c r="X796" s="72"/>
      <c r="Y796" s="72"/>
      <c r="Z796" s="72"/>
    </row>
    <row r="797" spans="1:26" ht="15.75" customHeight="1">
      <c r="A797" s="72"/>
      <c r="B797" s="72"/>
      <c r="C797" s="72"/>
      <c r="D797" s="72"/>
      <c r="E797" s="72"/>
      <c r="F797" s="72"/>
      <c r="G797" s="72"/>
      <c r="H797" s="72"/>
      <c r="I797" s="72"/>
      <c r="J797" s="72"/>
      <c r="K797" s="73"/>
      <c r="L797" s="74"/>
      <c r="M797" s="72"/>
      <c r="N797" s="72"/>
      <c r="O797" s="72"/>
      <c r="P797" s="72"/>
      <c r="Q797" s="72"/>
      <c r="R797" s="72"/>
      <c r="S797" s="72"/>
      <c r="T797" s="72"/>
      <c r="U797" s="72"/>
      <c r="V797" s="72"/>
      <c r="W797" s="72"/>
      <c r="X797" s="72"/>
      <c r="Y797" s="72"/>
      <c r="Z797" s="72"/>
    </row>
    <row r="798" spans="1:26" ht="15.75" customHeight="1">
      <c r="A798" s="72"/>
      <c r="B798" s="72"/>
      <c r="C798" s="72"/>
      <c r="D798" s="72"/>
      <c r="E798" s="72"/>
      <c r="F798" s="72"/>
      <c r="G798" s="72"/>
      <c r="H798" s="72"/>
      <c r="I798" s="72"/>
      <c r="J798" s="72"/>
      <c r="K798" s="73"/>
      <c r="L798" s="74"/>
      <c r="M798" s="72"/>
      <c r="N798" s="72"/>
      <c r="O798" s="72"/>
      <c r="P798" s="72"/>
      <c r="Q798" s="72"/>
      <c r="R798" s="72"/>
      <c r="S798" s="72"/>
      <c r="T798" s="72"/>
      <c r="U798" s="72"/>
      <c r="V798" s="72"/>
      <c r="W798" s="72"/>
      <c r="X798" s="72"/>
      <c r="Y798" s="72"/>
      <c r="Z798" s="72"/>
    </row>
    <row r="799" spans="1:26" ht="15.75" customHeight="1">
      <c r="A799" s="72"/>
      <c r="B799" s="72"/>
      <c r="C799" s="72"/>
      <c r="D799" s="72"/>
      <c r="E799" s="72"/>
      <c r="F799" s="72"/>
      <c r="G799" s="72"/>
      <c r="H799" s="72"/>
      <c r="I799" s="72"/>
      <c r="J799" s="72"/>
      <c r="K799" s="73"/>
      <c r="L799" s="74"/>
      <c r="M799" s="72"/>
      <c r="N799" s="72"/>
      <c r="O799" s="72"/>
      <c r="P799" s="72"/>
      <c r="Q799" s="72"/>
      <c r="R799" s="72"/>
      <c r="S799" s="72"/>
      <c r="T799" s="72"/>
      <c r="U799" s="72"/>
      <c r="V799" s="72"/>
      <c r="W799" s="72"/>
      <c r="X799" s="72"/>
      <c r="Y799" s="72"/>
      <c r="Z799" s="72"/>
    </row>
    <row r="800" spans="1:26" ht="15.75" customHeight="1">
      <c r="A800" s="72"/>
      <c r="B800" s="72"/>
      <c r="C800" s="72"/>
      <c r="D800" s="72"/>
      <c r="E800" s="72"/>
      <c r="F800" s="72"/>
      <c r="G800" s="72"/>
      <c r="H800" s="72"/>
      <c r="I800" s="72"/>
      <c r="J800" s="72"/>
      <c r="K800" s="73"/>
      <c r="L800" s="74"/>
      <c r="M800" s="72"/>
      <c r="N800" s="72"/>
      <c r="O800" s="72"/>
      <c r="P800" s="72"/>
      <c r="Q800" s="72"/>
      <c r="R800" s="72"/>
      <c r="S800" s="72"/>
      <c r="T800" s="72"/>
      <c r="U800" s="72"/>
      <c r="V800" s="72"/>
      <c r="W800" s="72"/>
      <c r="X800" s="72"/>
      <c r="Y800" s="72"/>
      <c r="Z800" s="72"/>
    </row>
    <row r="801" spans="1:26" ht="15.75" customHeight="1">
      <c r="A801" s="72"/>
      <c r="B801" s="72"/>
      <c r="C801" s="72"/>
      <c r="D801" s="72"/>
      <c r="E801" s="72"/>
      <c r="F801" s="72"/>
      <c r="G801" s="72"/>
      <c r="H801" s="72"/>
      <c r="I801" s="72"/>
      <c r="J801" s="72"/>
      <c r="K801" s="73"/>
      <c r="L801" s="74"/>
      <c r="M801" s="72"/>
      <c r="N801" s="72"/>
      <c r="O801" s="72"/>
      <c r="P801" s="72"/>
      <c r="Q801" s="72"/>
      <c r="R801" s="72"/>
      <c r="S801" s="72"/>
      <c r="T801" s="72"/>
      <c r="U801" s="72"/>
      <c r="V801" s="72"/>
      <c r="W801" s="72"/>
      <c r="X801" s="72"/>
      <c r="Y801" s="72"/>
      <c r="Z801" s="72"/>
    </row>
    <row r="802" spans="1:26" ht="15.75" customHeight="1">
      <c r="A802" s="72"/>
      <c r="B802" s="72"/>
      <c r="C802" s="72"/>
      <c r="D802" s="72"/>
      <c r="E802" s="72"/>
      <c r="F802" s="72"/>
      <c r="G802" s="72"/>
      <c r="H802" s="72"/>
      <c r="I802" s="72"/>
      <c r="J802" s="72"/>
      <c r="K802" s="73"/>
      <c r="L802" s="74"/>
      <c r="M802" s="72"/>
      <c r="N802" s="72"/>
      <c r="O802" s="72"/>
      <c r="P802" s="72"/>
      <c r="Q802" s="72"/>
      <c r="R802" s="72"/>
      <c r="S802" s="72"/>
      <c r="T802" s="72"/>
      <c r="U802" s="72"/>
      <c r="V802" s="72"/>
      <c r="W802" s="72"/>
      <c r="X802" s="72"/>
      <c r="Y802" s="72"/>
      <c r="Z802" s="72"/>
    </row>
    <row r="803" spans="1:26" ht="15.75" customHeight="1">
      <c r="A803" s="72"/>
      <c r="B803" s="72"/>
      <c r="C803" s="72"/>
      <c r="D803" s="72"/>
      <c r="E803" s="72"/>
      <c r="F803" s="72"/>
      <c r="G803" s="72"/>
      <c r="H803" s="72"/>
      <c r="I803" s="72"/>
      <c r="J803" s="72"/>
      <c r="K803" s="73"/>
      <c r="L803" s="74"/>
      <c r="M803" s="72"/>
      <c r="N803" s="72"/>
      <c r="O803" s="72"/>
      <c r="P803" s="72"/>
      <c r="Q803" s="72"/>
      <c r="R803" s="72"/>
      <c r="S803" s="72"/>
      <c r="T803" s="72"/>
      <c r="U803" s="72"/>
      <c r="V803" s="72"/>
      <c r="W803" s="72"/>
      <c r="X803" s="72"/>
      <c r="Y803" s="72"/>
      <c r="Z803" s="72"/>
    </row>
    <row r="804" spans="1:26" ht="15.75" customHeight="1">
      <c r="A804" s="72"/>
      <c r="B804" s="72"/>
      <c r="C804" s="72"/>
      <c r="D804" s="72"/>
      <c r="E804" s="72"/>
      <c r="F804" s="72"/>
      <c r="G804" s="72"/>
      <c r="H804" s="72"/>
      <c r="I804" s="72"/>
      <c r="J804" s="72"/>
      <c r="K804" s="73"/>
      <c r="L804" s="74"/>
      <c r="M804" s="72"/>
      <c r="N804" s="72"/>
      <c r="O804" s="72"/>
      <c r="P804" s="72"/>
      <c r="Q804" s="72"/>
      <c r="R804" s="72"/>
      <c r="S804" s="72"/>
      <c r="T804" s="72"/>
      <c r="U804" s="72"/>
      <c r="V804" s="72"/>
      <c r="W804" s="72"/>
      <c r="X804" s="72"/>
      <c r="Y804" s="72"/>
      <c r="Z804" s="72"/>
    </row>
    <row r="805" spans="1:26" ht="15.75" customHeight="1">
      <c r="A805" s="72"/>
      <c r="B805" s="72"/>
      <c r="C805" s="72"/>
      <c r="D805" s="72"/>
      <c r="E805" s="72"/>
      <c r="F805" s="72"/>
      <c r="G805" s="72"/>
      <c r="H805" s="72"/>
      <c r="I805" s="72"/>
      <c r="J805" s="72"/>
      <c r="K805" s="73"/>
      <c r="L805" s="74"/>
      <c r="M805" s="72"/>
      <c r="N805" s="72"/>
      <c r="O805" s="72"/>
      <c r="P805" s="72"/>
      <c r="Q805" s="72"/>
      <c r="R805" s="72"/>
      <c r="S805" s="72"/>
      <c r="T805" s="72"/>
      <c r="U805" s="72"/>
      <c r="V805" s="72"/>
      <c r="W805" s="72"/>
      <c r="X805" s="72"/>
      <c r="Y805" s="72"/>
      <c r="Z805" s="72"/>
    </row>
    <row r="806" spans="1:26" ht="15.75" customHeight="1">
      <c r="A806" s="72"/>
      <c r="B806" s="72"/>
      <c r="C806" s="72"/>
      <c r="D806" s="72"/>
      <c r="E806" s="72"/>
      <c r="F806" s="72"/>
      <c r="G806" s="72"/>
      <c r="H806" s="72"/>
      <c r="I806" s="72"/>
      <c r="J806" s="72"/>
      <c r="K806" s="73"/>
      <c r="L806" s="74"/>
      <c r="M806" s="72"/>
      <c r="N806" s="72"/>
      <c r="O806" s="72"/>
      <c r="P806" s="72"/>
      <c r="Q806" s="72"/>
      <c r="R806" s="72"/>
      <c r="S806" s="72"/>
      <c r="T806" s="72"/>
      <c r="U806" s="72"/>
      <c r="V806" s="72"/>
      <c r="W806" s="72"/>
      <c r="X806" s="72"/>
      <c r="Y806" s="72"/>
      <c r="Z806" s="72"/>
    </row>
    <row r="807" spans="1:26" ht="15.75" customHeight="1">
      <c r="A807" s="72"/>
      <c r="B807" s="72"/>
      <c r="C807" s="72"/>
      <c r="D807" s="72"/>
      <c r="E807" s="72"/>
      <c r="F807" s="72"/>
      <c r="G807" s="72"/>
      <c r="H807" s="72"/>
      <c r="I807" s="72"/>
      <c r="J807" s="72"/>
      <c r="K807" s="73"/>
      <c r="L807" s="74"/>
      <c r="M807" s="72"/>
      <c r="N807" s="72"/>
      <c r="O807" s="72"/>
      <c r="P807" s="72"/>
      <c r="Q807" s="72"/>
      <c r="R807" s="72"/>
      <c r="S807" s="72"/>
      <c r="T807" s="72"/>
      <c r="U807" s="72"/>
      <c r="V807" s="72"/>
      <c r="W807" s="72"/>
      <c r="X807" s="72"/>
      <c r="Y807" s="72"/>
      <c r="Z807" s="72"/>
    </row>
    <row r="808" spans="1:26" ht="15.75" customHeight="1">
      <c r="A808" s="72"/>
      <c r="B808" s="72"/>
      <c r="C808" s="72"/>
      <c r="D808" s="72"/>
      <c r="E808" s="72"/>
      <c r="F808" s="72"/>
      <c r="G808" s="72"/>
      <c r="H808" s="72"/>
      <c r="I808" s="72"/>
      <c r="J808" s="72"/>
      <c r="K808" s="73"/>
      <c r="L808" s="74"/>
      <c r="M808" s="72"/>
      <c r="N808" s="72"/>
      <c r="O808" s="72"/>
      <c r="P808" s="72"/>
      <c r="Q808" s="72"/>
      <c r="R808" s="72"/>
      <c r="S808" s="72"/>
      <c r="T808" s="72"/>
      <c r="U808" s="72"/>
      <c r="V808" s="72"/>
      <c r="W808" s="72"/>
      <c r="X808" s="72"/>
      <c r="Y808" s="72"/>
      <c r="Z808" s="72"/>
    </row>
    <row r="809" spans="1:26" ht="15.75" customHeight="1">
      <c r="A809" s="72"/>
      <c r="B809" s="72"/>
      <c r="C809" s="72"/>
      <c r="D809" s="72"/>
      <c r="E809" s="72"/>
      <c r="F809" s="72"/>
      <c r="G809" s="72"/>
      <c r="H809" s="72"/>
      <c r="I809" s="72"/>
      <c r="J809" s="72"/>
      <c r="K809" s="73"/>
      <c r="L809" s="74"/>
      <c r="M809" s="72"/>
      <c r="N809" s="72"/>
      <c r="O809" s="72"/>
      <c r="P809" s="72"/>
      <c r="Q809" s="72"/>
      <c r="R809" s="72"/>
      <c r="S809" s="72"/>
      <c r="T809" s="72"/>
      <c r="U809" s="72"/>
      <c r="V809" s="72"/>
      <c r="W809" s="72"/>
      <c r="X809" s="72"/>
      <c r="Y809" s="72"/>
      <c r="Z809" s="72"/>
    </row>
    <row r="810" spans="1:26" ht="15.75" customHeight="1">
      <c r="A810" s="72"/>
      <c r="B810" s="72"/>
      <c r="C810" s="72"/>
      <c r="D810" s="72"/>
      <c r="E810" s="72"/>
      <c r="F810" s="72"/>
      <c r="G810" s="72"/>
      <c r="H810" s="72"/>
      <c r="I810" s="72"/>
      <c r="J810" s="72"/>
      <c r="K810" s="73"/>
      <c r="L810" s="74"/>
      <c r="M810" s="72"/>
      <c r="N810" s="72"/>
      <c r="O810" s="72"/>
      <c r="P810" s="72"/>
      <c r="Q810" s="72"/>
      <c r="R810" s="72"/>
      <c r="S810" s="72"/>
      <c r="T810" s="72"/>
      <c r="U810" s="72"/>
      <c r="V810" s="72"/>
      <c r="W810" s="72"/>
      <c r="X810" s="72"/>
      <c r="Y810" s="72"/>
      <c r="Z810" s="72"/>
    </row>
    <row r="811" spans="1:26" ht="15.75" customHeight="1">
      <c r="A811" s="72"/>
      <c r="B811" s="72"/>
      <c r="C811" s="72"/>
      <c r="D811" s="72"/>
      <c r="E811" s="72"/>
      <c r="F811" s="72"/>
      <c r="G811" s="72"/>
      <c r="H811" s="72"/>
      <c r="I811" s="72"/>
      <c r="J811" s="72"/>
      <c r="K811" s="73"/>
      <c r="L811" s="74"/>
      <c r="M811" s="72"/>
      <c r="N811" s="72"/>
      <c r="O811" s="72"/>
      <c r="P811" s="72"/>
      <c r="Q811" s="72"/>
      <c r="R811" s="72"/>
      <c r="S811" s="72"/>
      <c r="T811" s="72"/>
      <c r="U811" s="72"/>
      <c r="V811" s="72"/>
      <c r="W811" s="72"/>
      <c r="X811" s="72"/>
      <c r="Y811" s="72"/>
      <c r="Z811" s="72"/>
    </row>
    <row r="812" spans="1:26" ht="15.75" customHeight="1">
      <c r="A812" s="72"/>
      <c r="B812" s="72"/>
      <c r="C812" s="72"/>
      <c r="D812" s="72"/>
      <c r="E812" s="72"/>
      <c r="F812" s="72"/>
      <c r="G812" s="72"/>
      <c r="H812" s="72"/>
      <c r="I812" s="72"/>
      <c r="J812" s="72"/>
      <c r="K812" s="73"/>
      <c r="L812" s="74"/>
      <c r="M812" s="72"/>
      <c r="N812" s="72"/>
      <c r="O812" s="72"/>
      <c r="P812" s="72"/>
      <c r="Q812" s="72"/>
      <c r="R812" s="72"/>
      <c r="S812" s="72"/>
      <c r="T812" s="72"/>
      <c r="U812" s="72"/>
      <c r="V812" s="72"/>
      <c r="W812" s="72"/>
      <c r="X812" s="72"/>
      <c r="Y812" s="72"/>
      <c r="Z812" s="72"/>
    </row>
    <row r="813" spans="1:26" ht="15.75" customHeight="1">
      <c r="A813" s="72"/>
      <c r="B813" s="72"/>
      <c r="C813" s="72"/>
      <c r="D813" s="72"/>
      <c r="E813" s="72"/>
      <c r="F813" s="72"/>
      <c r="G813" s="72"/>
      <c r="H813" s="72"/>
      <c r="I813" s="72"/>
      <c r="J813" s="72"/>
      <c r="K813" s="73"/>
      <c r="L813" s="74"/>
      <c r="M813" s="72"/>
      <c r="N813" s="72"/>
      <c r="O813" s="72"/>
      <c r="P813" s="72"/>
      <c r="Q813" s="72"/>
      <c r="R813" s="72"/>
      <c r="S813" s="72"/>
      <c r="T813" s="72"/>
      <c r="U813" s="72"/>
      <c r="V813" s="72"/>
      <c r="W813" s="72"/>
      <c r="X813" s="72"/>
      <c r="Y813" s="72"/>
      <c r="Z813" s="72"/>
    </row>
    <row r="814" spans="1:26" ht="15.75" customHeight="1">
      <c r="A814" s="72"/>
      <c r="B814" s="72"/>
      <c r="C814" s="72"/>
      <c r="D814" s="72"/>
      <c r="E814" s="72"/>
      <c r="F814" s="72"/>
      <c r="G814" s="72"/>
      <c r="H814" s="72"/>
      <c r="I814" s="72"/>
      <c r="J814" s="72"/>
      <c r="K814" s="73"/>
      <c r="L814" s="74"/>
      <c r="M814" s="72"/>
      <c r="N814" s="72"/>
      <c r="O814" s="72"/>
      <c r="P814" s="72"/>
      <c r="Q814" s="72"/>
      <c r="R814" s="72"/>
      <c r="S814" s="72"/>
      <c r="T814" s="72"/>
      <c r="U814" s="72"/>
      <c r="V814" s="72"/>
      <c r="W814" s="72"/>
      <c r="X814" s="72"/>
      <c r="Y814" s="72"/>
      <c r="Z814" s="72"/>
    </row>
    <row r="815" spans="1:26" ht="15.75" customHeight="1">
      <c r="A815" s="72"/>
      <c r="B815" s="72"/>
      <c r="C815" s="72"/>
      <c r="D815" s="72"/>
      <c r="E815" s="72"/>
      <c r="F815" s="72"/>
      <c r="G815" s="72"/>
      <c r="H815" s="72"/>
      <c r="I815" s="72"/>
      <c r="J815" s="72"/>
      <c r="K815" s="73"/>
      <c r="L815" s="74"/>
      <c r="M815" s="72"/>
      <c r="N815" s="72"/>
      <c r="O815" s="72"/>
      <c r="P815" s="72"/>
      <c r="Q815" s="72"/>
      <c r="R815" s="72"/>
      <c r="S815" s="72"/>
      <c r="T815" s="72"/>
      <c r="U815" s="72"/>
      <c r="V815" s="72"/>
      <c r="W815" s="72"/>
      <c r="X815" s="72"/>
      <c r="Y815" s="72"/>
      <c r="Z815" s="72"/>
    </row>
    <row r="816" spans="1:26" ht="15.75" customHeight="1">
      <c r="A816" s="72"/>
      <c r="B816" s="72"/>
      <c r="C816" s="72"/>
      <c r="D816" s="72"/>
      <c r="E816" s="72"/>
      <c r="F816" s="72"/>
      <c r="G816" s="72"/>
      <c r="H816" s="72"/>
      <c r="I816" s="72"/>
      <c r="J816" s="72"/>
      <c r="K816" s="73"/>
      <c r="L816" s="74"/>
      <c r="M816" s="72"/>
      <c r="N816" s="72"/>
      <c r="O816" s="72"/>
      <c r="P816" s="72"/>
      <c r="Q816" s="72"/>
      <c r="R816" s="72"/>
      <c r="S816" s="72"/>
      <c r="T816" s="72"/>
      <c r="U816" s="72"/>
      <c r="V816" s="72"/>
      <c r="W816" s="72"/>
      <c r="X816" s="72"/>
      <c r="Y816" s="72"/>
      <c r="Z816" s="72"/>
    </row>
    <row r="817" spans="1:26" ht="15.75" customHeight="1">
      <c r="A817" s="72"/>
      <c r="B817" s="72"/>
      <c r="C817" s="72"/>
      <c r="D817" s="72"/>
      <c r="E817" s="72"/>
      <c r="F817" s="72"/>
      <c r="G817" s="72"/>
      <c r="H817" s="72"/>
      <c r="I817" s="72"/>
      <c r="J817" s="72"/>
      <c r="K817" s="73"/>
      <c r="L817" s="74"/>
      <c r="M817" s="72"/>
      <c r="N817" s="72"/>
      <c r="O817" s="72"/>
      <c r="P817" s="72"/>
      <c r="Q817" s="72"/>
      <c r="R817" s="72"/>
      <c r="S817" s="72"/>
      <c r="T817" s="72"/>
      <c r="U817" s="72"/>
      <c r="V817" s="72"/>
      <c r="W817" s="72"/>
      <c r="X817" s="72"/>
      <c r="Y817" s="72"/>
      <c r="Z817" s="72"/>
    </row>
    <row r="818" spans="1:26" ht="15.75" customHeight="1">
      <c r="A818" s="72"/>
      <c r="B818" s="72"/>
      <c r="C818" s="72"/>
      <c r="D818" s="72"/>
      <c r="E818" s="72"/>
      <c r="F818" s="72"/>
      <c r="G818" s="72"/>
      <c r="H818" s="72"/>
      <c r="I818" s="72"/>
      <c r="J818" s="72"/>
      <c r="K818" s="73"/>
      <c r="L818" s="74"/>
      <c r="M818" s="72"/>
      <c r="N818" s="72"/>
      <c r="O818" s="72"/>
      <c r="P818" s="72"/>
      <c r="Q818" s="72"/>
      <c r="R818" s="72"/>
      <c r="S818" s="72"/>
      <c r="T818" s="72"/>
      <c r="U818" s="72"/>
      <c r="V818" s="72"/>
      <c r="W818" s="72"/>
      <c r="X818" s="72"/>
      <c r="Y818" s="72"/>
      <c r="Z818" s="72"/>
    </row>
    <row r="819" spans="1:26" ht="15.75" customHeight="1">
      <c r="A819" s="72"/>
      <c r="B819" s="72"/>
      <c r="C819" s="72"/>
      <c r="D819" s="72"/>
      <c r="E819" s="72"/>
      <c r="F819" s="72"/>
      <c r="G819" s="72"/>
      <c r="H819" s="72"/>
      <c r="I819" s="72"/>
      <c r="J819" s="72"/>
      <c r="K819" s="73"/>
      <c r="L819" s="74"/>
      <c r="M819" s="72"/>
      <c r="N819" s="72"/>
      <c r="O819" s="72"/>
      <c r="P819" s="72"/>
      <c r="Q819" s="72"/>
      <c r="R819" s="72"/>
      <c r="S819" s="72"/>
      <c r="T819" s="72"/>
      <c r="U819" s="72"/>
      <c r="V819" s="72"/>
      <c r="W819" s="72"/>
      <c r="X819" s="72"/>
      <c r="Y819" s="72"/>
      <c r="Z819" s="72"/>
    </row>
    <row r="820" spans="1:26" ht="15.75" customHeight="1">
      <c r="A820" s="72"/>
      <c r="B820" s="72"/>
      <c r="C820" s="72"/>
      <c r="D820" s="72"/>
      <c r="E820" s="72"/>
      <c r="F820" s="72"/>
      <c r="G820" s="72"/>
      <c r="H820" s="72"/>
      <c r="I820" s="72"/>
      <c r="J820" s="72"/>
      <c r="K820" s="73"/>
      <c r="L820" s="74"/>
      <c r="M820" s="72"/>
      <c r="N820" s="72"/>
      <c r="O820" s="72"/>
      <c r="P820" s="72"/>
      <c r="Q820" s="72"/>
      <c r="R820" s="72"/>
      <c r="S820" s="72"/>
      <c r="T820" s="72"/>
      <c r="U820" s="72"/>
      <c r="V820" s="72"/>
      <c r="W820" s="72"/>
      <c r="X820" s="72"/>
      <c r="Y820" s="72"/>
      <c r="Z820" s="72"/>
    </row>
    <row r="821" spans="1:26" ht="15.75" customHeight="1">
      <c r="A821" s="72"/>
      <c r="B821" s="72"/>
      <c r="C821" s="72"/>
      <c r="D821" s="72"/>
      <c r="E821" s="72"/>
      <c r="F821" s="72"/>
      <c r="G821" s="72"/>
      <c r="H821" s="72"/>
      <c r="I821" s="72"/>
      <c r="J821" s="72"/>
      <c r="K821" s="73"/>
      <c r="L821" s="74"/>
      <c r="M821" s="72"/>
      <c r="N821" s="72"/>
      <c r="O821" s="72"/>
      <c r="P821" s="72"/>
      <c r="Q821" s="72"/>
      <c r="R821" s="72"/>
      <c r="S821" s="72"/>
      <c r="T821" s="72"/>
      <c r="U821" s="72"/>
      <c r="V821" s="72"/>
      <c r="W821" s="72"/>
      <c r="X821" s="72"/>
      <c r="Y821" s="72"/>
      <c r="Z821" s="72"/>
    </row>
    <row r="822" spans="1:26" ht="15.75" customHeight="1">
      <c r="A822" s="72"/>
      <c r="B822" s="72"/>
      <c r="C822" s="72"/>
      <c r="D822" s="72"/>
      <c r="E822" s="72"/>
      <c r="F822" s="72"/>
      <c r="G822" s="72"/>
      <c r="H822" s="72"/>
      <c r="I822" s="72"/>
      <c r="J822" s="72"/>
      <c r="K822" s="73"/>
      <c r="L822" s="74"/>
      <c r="M822" s="72"/>
      <c r="N822" s="72"/>
      <c r="O822" s="72"/>
      <c r="P822" s="72"/>
      <c r="Q822" s="72"/>
      <c r="R822" s="72"/>
      <c r="S822" s="72"/>
      <c r="T822" s="72"/>
      <c r="U822" s="72"/>
      <c r="V822" s="72"/>
      <c r="W822" s="72"/>
      <c r="X822" s="72"/>
      <c r="Y822" s="72"/>
      <c r="Z822" s="72"/>
    </row>
    <row r="823" spans="1:26" ht="15.75" customHeight="1">
      <c r="A823" s="72"/>
      <c r="B823" s="72"/>
      <c r="C823" s="72"/>
      <c r="D823" s="72"/>
      <c r="E823" s="72"/>
      <c r="F823" s="72"/>
      <c r="G823" s="72"/>
      <c r="H823" s="72"/>
      <c r="I823" s="72"/>
      <c r="J823" s="72"/>
      <c r="K823" s="73"/>
      <c r="L823" s="74"/>
      <c r="M823" s="72"/>
      <c r="N823" s="72"/>
      <c r="O823" s="72"/>
      <c r="P823" s="72"/>
      <c r="Q823" s="72"/>
      <c r="R823" s="72"/>
      <c r="S823" s="72"/>
      <c r="T823" s="72"/>
      <c r="U823" s="72"/>
      <c r="V823" s="72"/>
      <c r="W823" s="72"/>
      <c r="X823" s="72"/>
      <c r="Y823" s="72"/>
      <c r="Z823" s="72"/>
    </row>
    <row r="824" spans="1:26" ht="15.75" customHeight="1">
      <c r="A824" s="72"/>
      <c r="B824" s="72"/>
      <c r="C824" s="72"/>
      <c r="D824" s="72"/>
      <c r="E824" s="72"/>
      <c r="F824" s="72"/>
      <c r="G824" s="72"/>
      <c r="H824" s="72"/>
      <c r="I824" s="72"/>
      <c r="J824" s="72"/>
      <c r="K824" s="73"/>
      <c r="L824" s="74"/>
      <c r="M824" s="72"/>
      <c r="N824" s="72"/>
      <c r="O824" s="72"/>
      <c r="P824" s="72"/>
      <c r="Q824" s="72"/>
      <c r="R824" s="72"/>
      <c r="S824" s="72"/>
      <c r="T824" s="72"/>
      <c r="U824" s="72"/>
      <c r="V824" s="72"/>
      <c r="W824" s="72"/>
      <c r="X824" s="72"/>
      <c r="Y824" s="72"/>
      <c r="Z824" s="72"/>
    </row>
    <row r="825" spans="1:26" ht="15.75" customHeight="1">
      <c r="A825" s="72"/>
      <c r="B825" s="72"/>
      <c r="C825" s="72"/>
      <c r="D825" s="72"/>
      <c r="E825" s="72"/>
      <c r="F825" s="72"/>
      <c r="G825" s="72"/>
      <c r="H825" s="72"/>
      <c r="I825" s="72"/>
      <c r="J825" s="72"/>
      <c r="K825" s="73"/>
      <c r="L825" s="74"/>
      <c r="M825" s="72"/>
      <c r="N825" s="72"/>
      <c r="O825" s="72"/>
      <c r="P825" s="72"/>
      <c r="Q825" s="72"/>
      <c r="R825" s="72"/>
      <c r="S825" s="72"/>
      <c r="T825" s="72"/>
      <c r="U825" s="72"/>
      <c r="V825" s="72"/>
      <c r="W825" s="72"/>
      <c r="X825" s="72"/>
      <c r="Y825" s="72"/>
      <c r="Z825" s="72"/>
    </row>
    <row r="826" spans="1:26" ht="15.75" customHeight="1">
      <c r="A826" s="72"/>
      <c r="B826" s="72"/>
      <c r="C826" s="72"/>
      <c r="D826" s="72"/>
      <c r="E826" s="72"/>
      <c r="F826" s="72"/>
      <c r="G826" s="72"/>
      <c r="H826" s="72"/>
      <c r="I826" s="72"/>
      <c r="J826" s="72"/>
      <c r="K826" s="73"/>
      <c r="L826" s="74"/>
      <c r="M826" s="72"/>
      <c r="N826" s="72"/>
      <c r="O826" s="72"/>
      <c r="P826" s="72"/>
      <c r="Q826" s="72"/>
      <c r="R826" s="72"/>
      <c r="S826" s="72"/>
      <c r="T826" s="72"/>
      <c r="U826" s="72"/>
      <c r="V826" s="72"/>
      <c r="W826" s="72"/>
      <c r="X826" s="72"/>
      <c r="Y826" s="72"/>
      <c r="Z826" s="72"/>
    </row>
    <row r="827" spans="1:26" ht="15.75" customHeight="1">
      <c r="A827" s="72"/>
      <c r="B827" s="72"/>
      <c r="C827" s="72"/>
      <c r="D827" s="72"/>
      <c r="E827" s="72"/>
      <c r="F827" s="72"/>
      <c r="G827" s="72"/>
      <c r="H827" s="72"/>
      <c r="I827" s="72"/>
      <c r="J827" s="72"/>
      <c r="K827" s="73"/>
      <c r="L827" s="74"/>
      <c r="M827" s="72"/>
      <c r="N827" s="72"/>
      <c r="O827" s="72"/>
      <c r="P827" s="72"/>
      <c r="Q827" s="72"/>
      <c r="R827" s="72"/>
      <c r="S827" s="72"/>
      <c r="T827" s="72"/>
      <c r="U827" s="72"/>
      <c r="V827" s="72"/>
      <c r="W827" s="72"/>
      <c r="X827" s="72"/>
      <c r="Y827" s="72"/>
      <c r="Z827" s="72"/>
    </row>
    <row r="828" spans="1:26" ht="15.75" customHeight="1">
      <c r="A828" s="72"/>
      <c r="B828" s="72"/>
      <c r="C828" s="72"/>
      <c r="D828" s="72"/>
      <c r="E828" s="72"/>
      <c r="F828" s="72"/>
      <c r="G828" s="72"/>
      <c r="H828" s="72"/>
      <c r="I828" s="72"/>
      <c r="J828" s="72"/>
      <c r="K828" s="73"/>
      <c r="L828" s="74"/>
      <c r="M828" s="72"/>
      <c r="N828" s="72"/>
      <c r="O828" s="72"/>
      <c r="P828" s="72"/>
      <c r="Q828" s="72"/>
      <c r="R828" s="72"/>
      <c r="S828" s="72"/>
      <c r="T828" s="72"/>
      <c r="U828" s="72"/>
      <c r="V828" s="72"/>
      <c r="W828" s="72"/>
      <c r="X828" s="72"/>
      <c r="Y828" s="72"/>
      <c r="Z828" s="72"/>
    </row>
    <row r="829" spans="1:26" ht="15.75" customHeight="1">
      <c r="A829" s="72"/>
      <c r="B829" s="72"/>
      <c r="C829" s="72"/>
      <c r="D829" s="72"/>
      <c r="E829" s="72"/>
      <c r="F829" s="72"/>
      <c r="G829" s="72"/>
      <c r="H829" s="72"/>
      <c r="I829" s="72"/>
      <c r="J829" s="72"/>
      <c r="K829" s="73"/>
      <c r="L829" s="74"/>
      <c r="M829" s="72"/>
      <c r="N829" s="72"/>
      <c r="O829" s="72"/>
      <c r="P829" s="72"/>
      <c r="Q829" s="72"/>
      <c r="R829" s="72"/>
      <c r="S829" s="72"/>
      <c r="T829" s="72"/>
      <c r="U829" s="72"/>
      <c r="V829" s="72"/>
      <c r="W829" s="72"/>
      <c r="X829" s="72"/>
      <c r="Y829" s="72"/>
      <c r="Z829" s="72"/>
    </row>
    <row r="830" spans="1:26" ht="15.75" customHeight="1">
      <c r="A830" s="72"/>
      <c r="B830" s="72"/>
      <c r="C830" s="72"/>
      <c r="D830" s="72"/>
      <c r="E830" s="72"/>
      <c r="F830" s="72"/>
      <c r="G830" s="72"/>
      <c r="H830" s="72"/>
      <c r="I830" s="72"/>
      <c r="J830" s="72"/>
      <c r="K830" s="73"/>
      <c r="L830" s="74"/>
      <c r="M830" s="72"/>
      <c r="N830" s="72"/>
      <c r="O830" s="72"/>
      <c r="P830" s="72"/>
      <c r="Q830" s="72"/>
      <c r="R830" s="72"/>
      <c r="S830" s="72"/>
      <c r="T830" s="72"/>
      <c r="U830" s="72"/>
      <c r="V830" s="72"/>
      <c r="W830" s="72"/>
      <c r="X830" s="72"/>
      <c r="Y830" s="72"/>
      <c r="Z830" s="72"/>
    </row>
    <row r="831" spans="1:26" ht="15.75" customHeight="1">
      <c r="A831" s="72"/>
      <c r="B831" s="72"/>
      <c r="C831" s="72"/>
      <c r="D831" s="72"/>
      <c r="E831" s="72"/>
      <c r="F831" s="72"/>
      <c r="G831" s="72"/>
      <c r="H831" s="72"/>
      <c r="I831" s="72"/>
      <c r="J831" s="72"/>
      <c r="K831" s="73"/>
      <c r="L831" s="74"/>
      <c r="M831" s="72"/>
      <c r="N831" s="72"/>
      <c r="O831" s="72"/>
      <c r="P831" s="72"/>
      <c r="Q831" s="72"/>
      <c r="R831" s="72"/>
      <c r="S831" s="72"/>
      <c r="T831" s="72"/>
      <c r="U831" s="72"/>
      <c r="V831" s="72"/>
      <c r="W831" s="72"/>
      <c r="X831" s="72"/>
      <c r="Y831" s="72"/>
      <c r="Z831" s="72"/>
    </row>
    <row r="832" spans="1:26" ht="15.75" customHeight="1">
      <c r="A832" s="72"/>
      <c r="B832" s="72"/>
      <c r="C832" s="72"/>
      <c r="D832" s="72"/>
      <c r="E832" s="72"/>
      <c r="F832" s="72"/>
      <c r="G832" s="72"/>
      <c r="H832" s="72"/>
      <c r="I832" s="72"/>
      <c r="J832" s="72"/>
      <c r="K832" s="73"/>
      <c r="L832" s="74"/>
      <c r="M832" s="72"/>
      <c r="N832" s="72"/>
      <c r="O832" s="72"/>
      <c r="P832" s="72"/>
      <c r="Q832" s="72"/>
      <c r="R832" s="72"/>
      <c r="S832" s="72"/>
      <c r="T832" s="72"/>
      <c r="U832" s="72"/>
      <c r="V832" s="72"/>
      <c r="W832" s="72"/>
      <c r="X832" s="72"/>
      <c r="Y832" s="72"/>
      <c r="Z832" s="72"/>
    </row>
    <row r="833" spans="1:26" ht="15.75" customHeight="1">
      <c r="A833" s="72"/>
      <c r="B833" s="72"/>
      <c r="C833" s="72"/>
      <c r="D833" s="72"/>
      <c r="E833" s="72"/>
      <c r="F833" s="72"/>
      <c r="G833" s="72"/>
      <c r="H833" s="72"/>
      <c r="I833" s="72"/>
      <c r="J833" s="72"/>
      <c r="K833" s="73"/>
      <c r="L833" s="74"/>
      <c r="M833" s="72"/>
      <c r="N833" s="72"/>
      <c r="O833" s="72"/>
      <c r="P833" s="72"/>
      <c r="Q833" s="72"/>
      <c r="R833" s="72"/>
      <c r="S833" s="72"/>
      <c r="T833" s="72"/>
      <c r="U833" s="72"/>
      <c r="V833" s="72"/>
      <c r="W833" s="72"/>
      <c r="X833" s="72"/>
      <c r="Y833" s="72"/>
      <c r="Z833" s="72"/>
    </row>
    <row r="834" spans="1:26" ht="15.75" customHeight="1">
      <c r="A834" s="72"/>
      <c r="B834" s="72"/>
      <c r="C834" s="72"/>
      <c r="D834" s="72"/>
      <c r="E834" s="72"/>
      <c r="F834" s="72"/>
      <c r="G834" s="72"/>
      <c r="H834" s="72"/>
      <c r="I834" s="72"/>
      <c r="J834" s="72"/>
      <c r="K834" s="73"/>
      <c r="L834" s="74"/>
      <c r="M834" s="72"/>
      <c r="N834" s="72"/>
      <c r="O834" s="72"/>
      <c r="P834" s="72"/>
      <c r="Q834" s="72"/>
      <c r="R834" s="72"/>
      <c r="S834" s="72"/>
      <c r="T834" s="72"/>
      <c r="U834" s="72"/>
      <c r="V834" s="72"/>
      <c r="W834" s="72"/>
      <c r="X834" s="72"/>
      <c r="Y834" s="72"/>
      <c r="Z834" s="72"/>
    </row>
    <row r="835" spans="1:26" ht="15.75" customHeight="1">
      <c r="A835" s="72"/>
      <c r="B835" s="72"/>
      <c r="C835" s="72"/>
      <c r="D835" s="72"/>
      <c r="E835" s="72"/>
      <c r="F835" s="72"/>
      <c r="G835" s="72"/>
      <c r="H835" s="72"/>
      <c r="I835" s="72"/>
      <c r="J835" s="72"/>
      <c r="K835" s="73"/>
      <c r="L835" s="74"/>
      <c r="M835" s="72"/>
      <c r="N835" s="72"/>
      <c r="O835" s="72"/>
      <c r="P835" s="72"/>
      <c r="Q835" s="72"/>
      <c r="R835" s="72"/>
      <c r="S835" s="72"/>
      <c r="T835" s="72"/>
      <c r="U835" s="72"/>
      <c r="V835" s="72"/>
      <c r="W835" s="72"/>
      <c r="X835" s="72"/>
      <c r="Y835" s="72"/>
      <c r="Z835" s="72"/>
    </row>
    <row r="836" spans="1:26" ht="15.75" customHeight="1">
      <c r="A836" s="72"/>
      <c r="B836" s="72"/>
      <c r="C836" s="72"/>
      <c r="D836" s="72"/>
      <c r="E836" s="72"/>
      <c r="F836" s="72"/>
      <c r="G836" s="72"/>
      <c r="H836" s="72"/>
      <c r="I836" s="72"/>
      <c r="J836" s="72"/>
      <c r="K836" s="73"/>
      <c r="L836" s="74"/>
      <c r="M836" s="72"/>
      <c r="N836" s="72"/>
      <c r="O836" s="72"/>
      <c r="P836" s="72"/>
      <c r="Q836" s="72"/>
      <c r="R836" s="72"/>
      <c r="S836" s="72"/>
      <c r="T836" s="72"/>
      <c r="U836" s="72"/>
      <c r="V836" s="72"/>
      <c r="W836" s="72"/>
      <c r="X836" s="72"/>
      <c r="Y836" s="72"/>
      <c r="Z836" s="72"/>
    </row>
    <row r="837" spans="1:26" ht="15.75" customHeight="1">
      <c r="A837" s="72"/>
      <c r="B837" s="72"/>
      <c r="C837" s="72"/>
      <c r="D837" s="72"/>
      <c r="E837" s="72"/>
      <c r="F837" s="72"/>
      <c r="G837" s="72"/>
      <c r="H837" s="72"/>
      <c r="I837" s="72"/>
      <c r="J837" s="72"/>
      <c r="K837" s="73"/>
      <c r="L837" s="74"/>
      <c r="M837" s="72"/>
      <c r="N837" s="72"/>
      <c r="O837" s="72"/>
      <c r="P837" s="72"/>
      <c r="Q837" s="72"/>
      <c r="R837" s="72"/>
      <c r="S837" s="72"/>
      <c r="T837" s="72"/>
      <c r="U837" s="72"/>
      <c r="V837" s="72"/>
      <c r="W837" s="72"/>
      <c r="X837" s="72"/>
      <c r="Y837" s="72"/>
      <c r="Z837" s="72"/>
    </row>
    <row r="838" spans="1:26" ht="15.75" customHeight="1">
      <c r="A838" s="72"/>
      <c r="B838" s="72"/>
      <c r="C838" s="72"/>
      <c r="D838" s="72"/>
      <c r="E838" s="72"/>
      <c r="F838" s="72"/>
      <c r="G838" s="72"/>
      <c r="H838" s="72"/>
      <c r="I838" s="72"/>
      <c r="J838" s="72"/>
      <c r="K838" s="73"/>
      <c r="L838" s="74"/>
      <c r="M838" s="72"/>
      <c r="N838" s="72"/>
      <c r="O838" s="72"/>
      <c r="P838" s="72"/>
      <c r="Q838" s="72"/>
      <c r="R838" s="72"/>
      <c r="S838" s="72"/>
      <c r="T838" s="72"/>
      <c r="U838" s="72"/>
      <c r="V838" s="72"/>
      <c r="W838" s="72"/>
      <c r="X838" s="72"/>
      <c r="Y838" s="72"/>
      <c r="Z838" s="72"/>
    </row>
    <row r="839" spans="1:26" ht="15.75" customHeight="1">
      <c r="A839" s="72"/>
      <c r="B839" s="72"/>
      <c r="C839" s="72"/>
      <c r="D839" s="72"/>
      <c r="E839" s="72"/>
      <c r="F839" s="72"/>
      <c r="G839" s="72"/>
      <c r="H839" s="72"/>
      <c r="I839" s="72"/>
      <c r="J839" s="72"/>
      <c r="K839" s="73"/>
      <c r="L839" s="74"/>
      <c r="M839" s="72"/>
      <c r="N839" s="72"/>
      <c r="O839" s="72"/>
      <c r="P839" s="72"/>
      <c r="Q839" s="72"/>
      <c r="R839" s="72"/>
      <c r="S839" s="72"/>
      <c r="T839" s="72"/>
      <c r="U839" s="72"/>
      <c r="V839" s="72"/>
      <c r="W839" s="72"/>
      <c r="X839" s="72"/>
      <c r="Y839" s="72"/>
      <c r="Z839" s="72"/>
    </row>
    <row r="840" spans="1:26" ht="15.75" customHeight="1">
      <c r="A840" s="72"/>
      <c r="B840" s="72"/>
      <c r="C840" s="72"/>
      <c r="D840" s="72"/>
      <c r="E840" s="72"/>
      <c r="F840" s="72"/>
      <c r="G840" s="72"/>
      <c r="H840" s="72"/>
      <c r="I840" s="72"/>
      <c r="J840" s="72"/>
      <c r="K840" s="73"/>
      <c r="L840" s="74"/>
      <c r="M840" s="72"/>
      <c r="N840" s="72"/>
      <c r="O840" s="72"/>
      <c r="P840" s="72"/>
      <c r="Q840" s="72"/>
      <c r="R840" s="72"/>
      <c r="S840" s="72"/>
      <c r="T840" s="72"/>
      <c r="U840" s="72"/>
      <c r="V840" s="72"/>
      <c r="W840" s="72"/>
      <c r="X840" s="72"/>
      <c r="Y840" s="72"/>
      <c r="Z840" s="72"/>
    </row>
    <row r="841" spans="1:26" ht="15.75" customHeight="1">
      <c r="A841" s="72"/>
      <c r="B841" s="72"/>
      <c r="C841" s="72"/>
      <c r="D841" s="72"/>
      <c r="E841" s="72"/>
      <c r="F841" s="72"/>
      <c r="G841" s="72"/>
      <c r="H841" s="72"/>
      <c r="I841" s="72"/>
      <c r="J841" s="72"/>
      <c r="K841" s="73"/>
      <c r="L841" s="74"/>
      <c r="M841" s="72"/>
      <c r="N841" s="72"/>
      <c r="O841" s="72"/>
      <c r="P841" s="72"/>
      <c r="Q841" s="72"/>
      <c r="R841" s="72"/>
      <c r="S841" s="72"/>
      <c r="T841" s="72"/>
      <c r="U841" s="72"/>
      <c r="V841" s="72"/>
      <c r="W841" s="72"/>
      <c r="X841" s="72"/>
      <c r="Y841" s="72"/>
      <c r="Z841" s="72"/>
    </row>
    <row r="842" spans="1:26" ht="15.75" customHeight="1">
      <c r="A842" s="72"/>
      <c r="B842" s="72"/>
      <c r="C842" s="72"/>
      <c r="D842" s="72"/>
      <c r="E842" s="72"/>
      <c r="F842" s="72"/>
      <c r="G842" s="72"/>
      <c r="H842" s="72"/>
      <c r="I842" s="72"/>
      <c r="J842" s="72"/>
      <c r="K842" s="73"/>
      <c r="L842" s="74"/>
      <c r="M842" s="72"/>
      <c r="N842" s="72"/>
      <c r="O842" s="72"/>
      <c r="P842" s="72"/>
      <c r="Q842" s="72"/>
      <c r="R842" s="72"/>
      <c r="S842" s="72"/>
      <c r="T842" s="72"/>
      <c r="U842" s="72"/>
      <c r="V842" s="72"/>
      <c r="W842" s="72"/>
      <c r="X842" s="72"/>
      <c r="Y842" s="72"/>
      <c r="Z842" s="72"/>
    </row>
    <row r="843" spans="1:26" ht="15.75" customHeight="1">
      <c r="A843" s="72"/>
      <c r="B843" s="72"/>
      <c r="C843" s="72"/>
      <c r="D843" s="72"/>
      <c r="E843" s="72"/>
      <c r="F843" s="72"/>
      <c r="G843" s="72"/>
      <c r="H843" s="72"/>
      <c r="I843" s="72"/>
      <c r="J843" s="72"/>
      <c r="K843" s="73"/>
      <c r="L843" s="74"/>
      <c r="M843" s="72"/>
      <c r="N843" s="72"/>
      <c r="O843" s="72"/>
      <c r="P843" s="72"/>
      <c r="Q843" s="72"/>
      <c r="R843" s="72"/>
      <c r="S843" s="72"/>
      <c r="T843" s="72"/>
      <c r="U843" s="72"/>
      <c r="V843" s="72"/>
      <c r="W843" s="72"/>
      <c r="X843" s="72"/>
      <c r="Y843" s="72"/>
      <c r="Z843" s="72"/>
    </row>
    <row r="844" spans="1:26" ht="15.75" customHeight="1">
      <c r="A844" s="72"/>
      <c r="B844" s="72"/>
      <c r="C844" s="72"/>
      <c r="D844" s="72"/>
      <c r="E844" s="72"/>
      <c r="F844" s="72"/>
      <c r="G844" s="72"/>
      <c r="H844" s="72"/>
      <c r="I844" s="72"/>
      <c r="J844" s="72"/>
      <c r="K844" s="73"/>
      <c r="L844" s="74"/>
      <c r="M844" s="72"/>
      <c r="N844" s="72"/>
      <c r="O844" s="72"/>
      <c r="P844" s="72"/>
      <c r="Q844" s="72"/>
      <c r="R844" s="72"/>
      <c r="S844" s="72"/>
      <c r="T844" s="72"/>
      <c r="U844" s="72"/>
      <c r="V844" s="72"/>
      <c r="W844" s="72"/>
      <c r="X844" s="72"/>
      <c r="Y844" s="72"/>
      <c r="Z844" s="72"/>
    </row>
    <row r="845" spans="1:26" ht="15.75" customHeight="1">
      <c r="A845" s="72"/>
      <c r="B845" s="72"/>
      <c r="C845" s="72"/>
      <c r="D845" s="72"/>
      <c r="E845" s="72"/>
      <c r="F845" s="72"/>
      <c r="G845" s="72"/>
      <c r="H845" s="72"/>
      <c r="I845" s="72"/>
      <c r="J845" s="72"/>
      <c r="K845" s="73"/>
      <c r="L845" s="74"/>
      <c r="M845" s="72"/>
      <c r="N845" s="72"/>
      <c r="O845" s="72"/>
      <c r="P845" s="72"/>
      <c r="Q845" s="72"/>
      <c r="R845" s="72"/>
      <c r="S845" s="72"/>
      <c r="T845" s="72"/>
      <c r="U845" s="72"/>
      <c r="V845" s="72"/>
      <c r="W845" s="72"/>
      <c r="X845" s="72"/>
      <c r="Y845" s="72"/>
      <c r="Z845" s="72"/>
    </row>
    <row r="846" spans="1:26" ht="15.75" customHeight="1">
      <c r="A846" s="72"/>
      <c r="B846" s="72"/>
      <c r="C846" s="72"/>
      <c r="D846" s="72"/>
      <c r="E846" s="72"/>
      <c r="F846" s="72"/>
      <c r="G846" s="72"/>
      <c r="H846" s="72"/>
      <c r="I846" s="72"/>
      <c r="J846" s="72"/>
      <c r="K846" s="73"/>
      <c r="L846" s="74"/>
      <c r="M846" s="72"/>
      <c r="N846" s="72"/>
      <c r="O846" s="72"/>
      <c r="P846" s="72"/>
      <c r="Q846" s="72"/>
      <c r="R846" s="72"/>
      <c r="S846" s="72"/>
      <c r="T846" s="72"/>
      <c r="U846" s="72"/>
      <c r="V846" s="72"/>
      <c r="W846" s="72"/>
      <c r="X846" s="72"/>
      <c r="Y846" s="72"/>
      <c r="Z846" s="72"/>
    </row>
    <row r="847" spans="1:26" ht="15.75" customHeight="1">
      <c r="A847" s="72"/>
      <c r="B847" s="72"/>
      <c r="C847" s="72"/>
      <c r="D847" s="72"/>
      <c r="E847" s="72"/>
      <c r="F847" s="72"/>
      <c r="G847" s="72"/>
      <c r="H847" s="72"/>
      <c r="I847" s="72"/>
      <c r="J847" s="72"/>
      <c r="K847" s="73"/>
      <c r="L847" s="74"/>
      <c r="M847" s="72"/>
      <c r="N847" s="72"/>
      <c r="O847" s="72"/>
      <c r="P847" s="72"/>
      <c r="Q847" s="72"/>
      <c r="R847" s="72"/>
      <c r="S847" s="72"/>
      <c r="T847" s="72"/>
      <c r="U847" s="72"/>
      <c r="V847" s="72"/>
      <c r="W847" s="72"/>
      <c r="X847" s="72"/>
      <c r="Y847" s="72"/>
      <c r="Z847" s="72"/>
    </row>
    <row r="848" spans="1:26" ht="15.75" customHeight="1">
      <c r="A848" s="72"/>
      <c r="B848" s="72"/>
      <c r="C848" s="72"/>
      <c r="D848" s="72"/>
      <c r="E848" s="72"/>
      <c r="F848" s="72"/>
      <c r="G848" s="72"/>
      <c r="H848" s="72"/>
      <c r="I848" s="72"/>
      <c r="J848" s="72"/>
      <c r="K848" s="73"/>
      <c r="L848" s="74"/>
      <c r="M848" s="72"/>
      <c r="N848" s="72"/>
      <c r="O848" s="72"/>
      <c r="P848" s="72"/>
      <c r="Q848" s="72"/>
      <c r="R848" s="72"/>
      <c r="S848" s="72"/>
      <c r="T848" s="72"/>
      <c r="U848" s="72"/>
      <c r="V848" s="72"/>
      <c r="W848" s="72"/>
      <c r="X848" s="72"/>
      <c r="Y848" s="72"/>
      <c r="Z848" s="72"/>
    </row>
    <row r="849" spans="1:26" ht="15.75" customHeight="1">
      <c r="A849" s="72"/>
      <c r="B849" s="72"/>
      <c r="C849" s="72"/>
      <c r="D849" s="72"/>
      <c r="E849" s="72"/>
      <c r="F849" s="72"/>
      <c r="G849" s="72"/>
      <c r="H849" s="72"/>
      <c r="I849" s="72"/>
      <c r="J849" s="72"/>
      <c r="K849" s="73"/>
      <c r="L849" s="74"/>
      <c r="M849" s="72"/>
      <c r="N849" s="72"/>
      <c r="O849" s="72"/>
      <c r="P849" s="72"/>
      <c r="Q849" s="72"/>
      <c r="R849" s="72"/>
      <c r="S849" s="72"/>
      <c r="T849" s="72"/>
      <c r="U849" s="72"/>
      <c r="V849" s="72"/>
      <c r="W849" s="72"/>
      <c r="X849" s="72"/>
      <c r="Y849" s="72"/>
      <c r="Z849" s="72"/>
    </row>
    <row r="850" spans="1:26" ht="15.75" customHeight="1">
      <c r="A850" s="72"/>
      <c r="B850" s="72"/>
      <c r="C850" s="72"/>
      <c r="D850" s="72"/>
      <c r="E850" s="72"/>
      <c r="F850" s="72"/>
      <c r="G850" s="72"/>
      <c r="H850" s="72"/>
      <c r="I850" s="72"/>
      <c r="J850" s="72"/>
      <c r="K850" s="73"/>
      <c r="L850" s="74"/>
      <c r="M850" s="72"/>
      <c r="N850" s="72"/>
      <c r="O850" s="72"/>
      <c r="P850" s="72"/>
      <c r="Q850" s="72"/>
      <c r="R850" s="72"/>
      <c r="S850" s="72"/>
      <c r="T850" s="72"/>
      <c r="U850" s="72"/>
      <c r="V850" s="72"/>
      <c r="W850" s="72"/>
      <c r="X850" s="72"/>
      <c r="Y850" s="72"/>
      <c r="Z850" s="72"/>
    </row>
    <row r="851" spans="1:26" ht="15.75" customHeight="1">
      <c r="A851" s="72"/>
      <c r="B851" s="72"/>
      <c r="C851" s="72"/>
      <c r="D851" s="72"/>
      <c r="E851" s="72"/>
      <c r="F851" s="72"/>
      <c r="G851" s="72"/>
      <c r="H851" s="72"/>
      <c r="I851" s="72"/>
      <c r="J851" s="72"/>
      <c r="K851" s="73"/>
      <c r="L851" s="74"/>
      <c r="M851" s="72"/>
      <c r="N851" s="72"/>
      <c r="O851" s="72"/>
      <c r="P851" s="72"/>
      <c r="Q851" s="72"/>
      <c r="R851" s="72"/>
      <c r="S851" s="72"/>
      <c r="T851" s="72"/>
      <c r="U851" s="72"/>
      <c r="V851" s="72"/>
      <c r="W851" s="72"/>
      <c r="X851" s="72"/>
      <c r="Y851" s="72"/>
      <c r="Z851" s="72"/>
    </row>
    <row r="852" spans="1:26" ht="15.75" customHeight="1">
      <c r="A852" s="72"/>
      <c r="B852" s="72"/>
      <c r="C852" s="72"/>
      <c r="D852" s="72"/>
      <c r="E852" s="72"/>
      <c r="F852" s="72"/>
      <c r="G852" s="72"/>
      <c r="H852" s="72"/>
      <c r="I852" s="72"/>
      <c r="J852" s="72"/>
      <c r="K852" s="73"/>
      <c r="L852" s="74"/>
      <c r="M852" s="72"/>
      <c r="N852" s="72"/>
      <c r="O852" s="72"/>
      <c r="P852" s="72"/>
      <c r="Q852" s="72"/>
      <c r="R852" s="72"/>
      <c r="S852" s="72"/>
      <c r="T852" s="72"/>
      <c r="U852" s="72"/>
      <c r="V852" s="72"/>
      <c r="W852" s="72"/>
      <c r="X852" s="72"/>
      <c r="Y852" s="72"/>
      <c r="Z852" s="72"/>
    </row>
    <row r="853" spans="1:26" ht="15.75" customHeight="1">
      <c r="A853" s="72"/>
      <c r="B853" s="72"/>
      <c r="C853" s="72"/>
      <c r="D853" s="72"/>
      <c r="E853" s="72"/>
      <c r="F853" s="72"/>
      <c r="G853" s="72"/>
      <c r="H853" s="72"/>
      <c r="I853" s="72"/>
      <c r="J853" s="72"/>
      <c r="K853" s="73"/>
      <c r="L853" s="74"/>
      <c r="M853" s="72"/>
      <c r="N853" s="72"/>
      <c r="O853" s="72"/>
      <c r="P853" s="72"/>
      <c r="Q853" s="72"/>
      <c r="R853" s="72"/>
      <c r="S853" s="72"/>
      <c r="T853" s="72"/>
      <c r="U853" s="72"/>
      <c r="V853" s="72"/>
      <c r="W853" s="72"/>
      <c r="X853" s="72"/>
      <c r="Y853" s="72"/>
      <c r="Z853" s="72"/>
    </row>
    <row r="854" spans="1:26" ht="15.75" customHeight="1">
      <c r="A854" s="72"/>
      <c r="B854" s="72"/>
      <c r="C854" s="72"/>
      <c r="D854" s="72"/>
      <c r="E854" s="72"/>
      <c r="F854" s="72"/>
      <c r="G854" s="72"/>
      <c r="H854" s="72"/>
      <c r="I854" s="72"/>
      <c r="J854" s="72"/>
      <c r="K854" s="73"/>
      <c r="L854" s="74"/>
      <c r="M854" s="72"/>
      <c r="N854" s="72"/>
      <c r="O854" s="72"/>
      <c r="P854" s="72"/>
      <c r="Q854" s="72"/>
      <c r="R854" s="72"/>
      <c r="S854" s="72"/>
      <c r="T854" s="72"/>
      <c r="U854" s="72"/>
      <c r="V854" s="72"/>
      <c r="W854" s="72"/>
      <c r="X854" s="72"/>
      <c r="Y854" s="72"/>
      <c r="Z854" s="72"/>
    </row>
    <row r="855" spans="1:26" ht="15.75" customHeight="1">
      <c r="A855" s="72"/>
      <c r="B855" s="72"/>
      <c r="C855" s="72"/>
      <c r="D855" s="72"/>
      <c r="E855" s="72"/>
      <c r="F855" s="72"/>
      <c r="G855" s="72"/>
      <c r="H855" s="72"/>
      <c r="I855" s="72"/>
      <c r="J855" s="72"/>
      <c r="K855" s="73"/>
      <c r="L855" s="74"/>
      <c r="M855" s="72"/>
      <c r="N855" s="72"/>
      <c r="O855" s="72"/>
      <c r="P855" s="72"/>
      <c r="Q855" s="72"/>
      <c r="R855" s="72"/>
      <c r="S855" s="72"/>
      <c r="T855" s="72"/>
      <c r="U855" s="72"/>
      <c r="V855" s="72"/>
      <c r="W855" s="72"/>
      <c r="X855" s="72"/>
      <c r="Y855" s="72"/>
      <c r="Z855" s="72"/>
    </row>
    <row r="856" spans="1:26" ht="15.75" customHeight="1">
      <c r="A856" s="72"/>
      <c r="B856" s="72"/>
      <c r="C856" s="72"/>
      <c r="D856" s="72"/>
      <c r="E856" s="72"/>
      <c r="F856" s="72"/>
      <c r="G856" s="72"/>
      <c r="H856" s="72"/>
      <c r="I856" s="72"/>
      <c r="J856" s="72"/>
      <c r="K856" s="73"/>
      <c r="L856" s="74"/>
      <c r="M856" s="72"/>
      <c r="N856" s="72"/>
      <c r="O856" s="72"/>
      <c r="P856" s="72"/>
      <c r="Q856" s="72"/>
      <c r="R856" s="72"/>
      <c r="S856" s="72"/>
      <c r="T856" s="72"/>
      <c r="U856" s="72"/>
      <c r="V856" s="72"/>
      <c r="W856" s="72"/>
      <c r="X856" s="72"/>
      <c r="Y856" s="72"/>
      <c r="Z856" s="72"/>
    </row>
    <row r="857" spans="1:26" ht="15.75" customHeight="1">
      <c r="A857" s="72"/>
      <c r="B857" s="72"/>
      <c r="C857" s="72"/>
      <c r="D857" s="72"/>
      <c r="E857" s="72"/>
      <c r="F857" s="72"/>
      <c r="G857" s="72"/>
      <c r="H857" s="72"/>
      <c r="I857" s="72"/>
      <c r="J857" s="72"/>
      <c r="K857" s="73"/>
      <c r="L857" s="74"/>
      <c r="M857" s="72"/>
      <c r="N857" s="72"/>
      <c r="O857" s="72"/>
      <c r="P857" s="72"/>
      <c r="Q857" s="72"/>
      <c r="R857" s="72"/>
      <c r="S857" s="72"/>
      <c r="T857" s="72"/>
      <c r="U857" s="72"/>
      <c r="V857" s="72"/>
      <c r="W857" s="72"/>
      <c r="X857" s="72"/>
      <c r="Y857" s="72"/>
      <c r="Z857" s="72"/>
    </row>
    <row r="858" spans="1:26" ht="15.75" customHeight="1">
      <c r="A858" s="72"/>
      <c r="B858" s="72"/>
      <c r="C858" s="72"/>
      <c r="D858" s="72"/>
      <c r="E858" s="72"/>
      <c r="F858" s="72"/>
      <c r="G858" s="72"/>
      <c r="H858" s="72"/>
      <c r="I858" s="72"/>
      <c r="J858" s="72"/>
      <c r="K858" s="73"/>
      <c r="L858" s="74"/>
      <c r="M858" s="72"/>
      <c r="N858" s="72"/>
      <c r="O858" s="72"/>
      <c r="P858" s="72"/>
      <c r="Q858" s="72"/>
      <c r="R858" s="72"/>
      <c r="S858" s="72"/>
      <c r="T858" s="72"/>
      <c r="U858" s="72"/>
      <c r="V858" s="72"/>
      <c r="W858" s="72"/>
      <c r="X858" s="72"/>
      <c r="Y858" s="72"/>
      <c r="Z858" s="72"/>
    </row>
    <row r="859" spans="1:26" ht="15.75" customHeight="1">
      <c r="A859" s="72"/>
      <c r="B859" s="72"/>
      <c r="C859" s="72"/>
      <c r="D859" s="72"/>
      <c r="E859" s="72"/>
      <c r="F859" s="72"/>
      <c r="G859" s="72"/>
      <c r="H859" s="72"/>
      <c r="I859" s="72"/>
      <c r="J859" s="72"/>
      <c r="K859" s="73"/>
      <c r="L859" s="74"/>
      <c r="M859" s="72"/>
      <c r="N859" s="72"/>
      <c r="O859" s="72"/>
      <c r="P859" s="72"/>
      <c r="Q859" s="72"/>
      <c r="R859" s="72"/>
      <c r="S859" s="72"/>
      <c r="T859" s="72"/>
      <c r="U859" s="72"/>
      <c r="V859" s="72"/>
      <c r="W859" s="72"/>
      <c r="X859" s="72"/>
      <c r="Y859" s="72"/>
      <c r="Z859" s="72"/>
    </row>
    <row r="860" spans="1:26" ht="15.75" customHeight="1">
      <c r="A860" s="72"/>
      <c r="B860" s="72"/>
      <c r="C860" s="72"/>
      <c r="D860" s="72"/>
      <c r="E860" s="72"/>
      <c r="F860" s="72"/>
      <c r="G860" s="72"/>
      <c r="H860" s="72"/>
      <c r="I860" s="72"/>
      <c r="J860" s="72"/>
      <c r="K860" s="73"/>
      <c r="L860" s="74"/>
      <c r="M860" s="72"/>
      <c r="N860" s="72"/>
      <c r="O860" s="72"/>
      <c r="P860" s="72"/>
      <c r="Q860" s="72"/>
      <c r="R860" s="72"/>
      <c r="S860" s="72"/>
      <c r="T860" s="72"/>
      <c r="U860" s="72"/>
      <c r="V860" s="72"/>
      <c r="W860" s="72"/>
      <c r="X860" s="72"/>
      <c r="Y860" s="72"/>
      <c r="Z860" s="72"/>
    </row>
    <row r="861" spans="1:26" ht="15.75" customHeight="1">
      <c r="A861" s="72"/>
      <c r="B861" s="72"/>
      <c r="C861" s="72"/>
      <c r="D861" s="72"/>
      <c r="E861" s="72"/>
      <c r="F861" s="72"/>
      <c r="G861" s="72"/>
      <c r="H861" s="72"/>
      <c r="I861" s="72"/>
      <c r="J861" s="72"/>
      <c r="K861" s="73"/>
      <c r="L861" s="74"/>
      <c r="M861" s="72"/>
      <c r="N861" s="72"/>
      <c r="O861" s="72"/>
      <c r="P861" s="72"/>
      <c r="Q861" s="72"/>
      <c r="R861" s="72"/>
      <c r="S861" s="72"/>
      <c r="T861" s="72"/>
      <c r="U861" s="72"/>
      <c r="V861" s="72"/>
      <c r="W861" s="72"/>
      <c r="X861" s="72"/>
      <c r="Y861" s="72"/>
      <c r="Z861" s="72"/>
    </row>
    <row r="862" spans="1:26" ht="15.75" customHeight="1">
      <c r="A862" s="72"/>
      <c r="B862" s="72"/>
      <c r="C862" s="72"/>
      <c r="D862" s="72"/>
      <c r="E862" s="72"/>
      <c r="F862" s="72"/>
      <c r="G862" s="72"/>
      <c r="H862" s="72"/>
      <c r="I862" s="72"/>
      <c r="J862" s="72"/>
      <c r="K862" s="73"/>
      <c r="L862" s="74"/>
      <c r="M862" s="72"/>
      <c r="N862" s="72"/>
      <c r="O862" s="72"/>
      <c r="P862" s="72"/>
      <c r="Q862" s="72"/>
      <c r="R862" s="72"/>
      <c r="S862" s="72"/>
      <c r="T862" s="72"/>
      <c r="U862" s="72"/>
      <c r="V862" s="72"/>
      <c r="W862" s="72"/>
      <c r="X862" s="72"/>
      <c r="Y862" s="72"/>
      <c r="Z862" s="72"/>
    </row>
    <row r="863" spans="1:26" ht="15.75" customHeight="1">
      <c r="A863" s="72"/>
      <c r="B863" s="72"/>
      <c r="C863" s="72"/>
      <c r="D863" s="72"/>
      <c r="E863" s="72"/>
      <c r="F863" s="72"/>
      <c r="G863" s="72"/>
      <c r="H863" s="72"/>
      <c r="I863" s="72"/>
      <c r="J863" s="72"/>
      <c r="K863" s="73"/>
      <c r="L863" s="74"/>
      <c r="M863" s="72"/>
      <c r="N863" s="72"/>
      <c r="O863" s="72"/>
      <c r="P863" s="72"/>
      <c r="Q863" s="72"/>
      <c r="R863" s="72"/>
      <c r="S863" s="72"/>
      <c r="T863" s="72"/>
      <c r="U863" s="72"/>
      <c r="V863" s="72"/>
      <c r="W863" s="72"/>
      <c r="X863" s="72"/>
      <c r="Y863" s="72"/>
      <c r="Z863" s="72"/>
    </row>
    <row r="864" spans="1:26" ht="15.75" customHeight="1">
      <c r="A864" s="72"/>
      <c r="B864" s="72"/>
      <c r="C864" s="72"/>
      <c r="D864" s="72"/>
      <c r="E864" s="72"/>
      <c r="F864" s="72"/>
      <c r="G864" s="72"/>
      <c r="H864" s="72"/>
      <c r="I864" s="72"/>
      <c r="J864" s="72"/>
      <c r="K864" s="73"/>
      <c r="L864" s="74"/>
      <c r="M864" s="72"/>
      <c r="N864" s="72"/>
      <c r="O864" s="72"/>
      <c r="P864" s="72"/>
      <c r="Q864" s="72"/>
      <c r="R864" s="72"/>
      <c r="S864" s="72"/>
      <c r="T864" s="72"/>
      <c r="U864" s="72"/>
      <c r="V864" s="72"/>
      <c r="W864" s="72"/>
      <c r="X864" s="72"/>
      <c r="Y864" s="72"/>
      <c r="Z864" s="72"/>
    </row>
    <row r="865" spans="1:26" ht="15.75" customHeight="1">
      <c r="A865" s="72"/>
      <c r="B865" s="72"/>
      <c r="C865" s="72"/>
      <c r="D865" s="72"/>
      <c r="E865" s="72"/>
      <c r="F865" s="72"/>
      <c r="G865" s="72"/>
      <c r="H865" s="72"/>
      <c r="I865" s="72"/>
      <c r="J865" s="72"/>
      <c r="K865" s="73"/>
      <c r="L865" s="74"/>
      <c r="M865" s="72"/>
      <c r="N865" s="72"/>
      <c r="O865" s="72"/>
      <c r="P865" s="72"/>
      <c r="Q865" s="72"/>
      <c r="R865" s="72"/>
      <c r="S865" s="72"/>
      <c r="T865" s="72"/>
      <c r="U865" s="72"/>
      <c r="V865" s="72"/>
      <c r="W865" s="72"/>
      <c r="X865" s="72"/>
      <c r="Y865" s="72"/>
      <c r="Z865" s="72"/>
    </row>
    <row r="866" spans="1:26" ht="15.75" customHeight="1">
      <c r="A866" s="72"/>
      <c r="B866" s="72"/>
      <c r="C866" s="72"/>
      <c r="D866" s="72"/>
      <c r="E866" s="72"/>
      <c r="F866" s="72"/>
      <c r="G866" s="72"/>
      <c r="H866" s="72"/>
      <c r="I866" s="72"/>
      <c r="J866" s="72"/>
      <c r="K866" s="73"/>
      <c r="L866" s="74"/>
      <c r="M866" s="72"/>
      <c r="N866" s="72"/>
      <c r="O866" s="72"/>
      <c r="P866" s="72"/>
      <c r="Q866" s="72"/>
      <c r="R866" s="72"/>
      <c r="S866" s="72"/>
      <c r="T866" s="72"/>
      <c r="U866" s="72"/>
      <c r="V866" s="72"/>
      <c r="W866" s="72"/>
      <c r="X866" s="72"/>
      <c r="Y866" s="72"/>
      <c r="Z866" s="72"/>
    </row>
    <row r="867" spans="1:26" ht="15.75" customHeight="1">
      <c r="A867" s="72"/>
      <c r="B867" s="72"/>
      <c r="C867" s="72"/>
      <c r="D867" s="72"/>
      <c r="E867" s="72"/>
      <c r="F867" s="72"/>
      <c r="G867" s="72"/>
      <c r="H867" s="72"/>
      <c r="I867" s="72"/>
      <c r="J867" s="72"/>
      <c r="K867" s="73"/>
      <c r="L867" s="74"/>
      <c r="M867" s="72"/>
      <c r="N867" s="72"/>
      <c r="O867" s="72"/>
      <c r="P867" s="72"/>
      <c r="Q867" s="72"/>
      <c r="R867" s="72"/>
      <c r="S867" s="72"/>
      <c r="T867" s="72"/>
      <c r="U867" s="72"/>
      <c r="V867" s="72"/>
      <c r="W867" s="72"/>
      <c r="X867" s="72"/>
      <c r="Y867" s="72"/>
      <c r="Z867" s="72"/>
    </row>
    <row r="868" spans="1:26" ht="15.75" customHeight="1">
      <c r="A868" s="72"/>
      <c r="B868" s="72"/>
      <c r="C868" s="72"/>
      <c r="D868" s="72"/>
      <c r="E868" s="72"/>
      <c r="F868" s="72"/>
      <c r="G868" s="72"/>
      <c r="H868" s="72"/>
      <c r="I868" s="72"/>
      <c r="J868" s="72"/>
      <c r="K868" s="73"/>
      <c r="L868" s="74"/>
      <c r="M868" s="72"/>
      <c r="N868" s="72"/>
      <c r="O868" s="72"/>
      <c r="P868" s="72"/>
      <c r="Q868" s="72"/>
      <c r="R868" s="72"/>
      <c r="S868" s="72"/>
      <c r="T868" s="72"/>
      <c r="U868" s="72"/>
      <c r="V868" s="72"/>
      <c r="W868" s="72"/>
      <c r="X868" s="72"/>
      <c r="Y868" s="72"/>
      <c r="Z868" s="72"/>
    </row>
    <row r="869" spans="1:26" ht="15.75" customHeight="1">
      <c r="A869" s="72"/>
      <c r="B869" s="72"/>
      <c r="C869" s="72"/>
      <c r="D869" s="72"/>
      <c r="E869" s="72"/>
      <c r="F869" s="72"/>
      <c r="G869" s="72"/>
      <c r="H869" s="72"/>
      <c r="I869" s="72"/>
      <c r="J869" s="72"/>
      <c r="K869" s="73"/>
      <c r="L869" s="74"/>
      <c r="M869" s="72"/>
      <c r="N869" s="72"/>
      <c r="O869" s="72"/>
      <c r="P869" s="72"/>
      <c r="Q869" s="72"/>
      <c r="R869" s="72"/>
      <c r="S869" s="72"/>
      <c r="T869" s="72"/>
      <c r="U869" s="72"/>
      <c r="V869" s="72"/>
      <c r="W869" s="72"/>
      <c r="X869" s="72"/>
      <c r="Y869" s="72"/>
      <c r="Z869" s="72"/>
    </row>
    <row r="870" spans="1:26" ht="15.75" customHeight="1">
      <c r="A870" s="72"/>
      <c r="B870" s="72"/>
      <c r="C870" s="72"/>
      <c r="D870" s="72"/>
      <c r="E870" s="72"/>
      <c r="F870" s="72"/>
      <c r="G870" s="72"/>
      <c r="H870" s="72"/>
      <c r="I870" s="72"/>
      <c r="J870" s="72"/>
      <c r="K870" s="73"/>
      <c r="L870" s="74"/>
      <c r="M870" s="72"/>
      <c r="N870" s="72"/>
      <c r="O870" s="72"/>
      <c r="P870" s="72"/>
      <c r="Q870" s="72"/>
      <c r="R870" s="72"/>
      <c r="S870" s="72"/>
      <c r="T870" s="72"/>
      <c r="U870" s="72"/>
      <c r="V870" s="72"/>
      <c r="W870" s="72"/>
      <c r="X870" s="72"/>
      <c r="Y870" s="72"/>
      <c r="Z870" s="72"/>
    </row>
    <row r="871" spans="1:26" ht="15.75" customHeight="1">
      <c r="A871" s="72"/>
      <c r="B871" s="72"/>
      <c r="C871" s="72"/>
      <c r="D871" s="72"/>
      <c r="E871" s="72"/>
      <c r="F871" s="72"/>
      <c r="G871" s="72"/>
      <c r="H871" s="72"/>
      <c r="I871" s="72"/>
      <c r="J871" s="72"/>
      <c r="K871" s="73"/>
      <c r="L871" s="74"/>
      <c r="M871" s="72"/>
      <c r="N871" s="72"/>
      <c r="O871" s="72"/>
      <c r="P871" s="72"/>
      <c r="Q871" s="72"/>
      <c r="R871" s="72"/>
      <c r="S871" s="72"/>
      <c r="T871" s="72"/>
      <c r="U871" s="72"/>
      <c r="V871" s="72"/>
      <c r="W871" s="72"/>
      <c r="X871" s="72"/>
      <c r="Y871" s="72"/>
      <c r="Z871" s="72"/>
    </row>
    <row r="872" spans="1:26" ht="15.75" customHeight="1">
      <c r="A872" s="72"/>
      <c r="B872" s="72"/>
      <c r="C872" s="72"/>
      <c r="D872" s="72"/>
      <c r="E872" s="72"/>
      <c r="F872" s="72"/>
      <c r="G872" s="72"/>
      <c r="H872" s="72"/>
      <c r="I872" s="72"/>
      <c r="J872" s="72"/>
      <c r="K872" s="73"/>
      <c r="L872" s="74"/>
      <c r="M872" s="72"/>
      <c r="N872" s="72"/>
      <c r="O872" s="72"/>
      <c r="P872" s="72"/>
      <c r="Q872" s="72"/>
      <c r="R872" s="72"/>
      <c r="S872" s="72"/>
      <c r="T872" s="72"/>
      <c r="U872" s="72"/>
      <c r="V872" s="72"/>
      <c r="W872" s="72"/>
      <c r="X872" s="72"/>
      <c r="Y872" s="72"/>
      <c r="Z872" s="72"/>
    </row>
    <row r="873" spans="1:26" ht="15.75" customHeight="1">
      <c r="A873" s="72"/>
      <c r="B873" s="72"/>
      <c r="C873" s="72"/>
      <c r="D873" s="72"/>
      <c r="E873" s="72"/>
      <c r="F873" s="72"/>
      <c r="G873" s="72"/>
      <c r="H873" s="72"/>
      <c r="I873" s="72"/>
      <c r="J873" s="72"/>
      <c r="K873" s="73"/>
      <c r="L873" s="74"/>
      <c r="M873" s="72"/>
      <c r="N873" s="72"/>
      <c r="O873" s="72"/>
      <c r="P873" s="72"/>
      <c r="Q873" s="72"/>
      <c r="R873" s="72"/>
      <c r="S873" s="72"/>
      <c r="T873" s="72"/>
      <c r="U873" s="72"/>
      <c r="V873" s="72"/>
      <c r="W873" s="72"/>
      <c r="X873" s="72"/>
      <c r="Y873" s="72"/>
      <c r="Z873" s="72"/>
    </row>
    <row r="874" spans="1:26" ht="15.75" customHeight="1">
      <c r="A874" s="72"/>
      <c r="B874" s="72"/>
      <c r="C874" s="72"/>
      <c r="D874" s="72"/>
      <c r="E874" s="72"/>
      <c r="F874" s="72"/>
      <c r="G874" s="72"/>
      <c r="H874" s="72"/>
      <c r="I874" s="72"/>
      <c r="J874" s="72"/>
      <c r="K874" s="73"/>
      <c r="L874" s="74"/>
      <c r="M874" s="72"/>
      <c r="N874" s="72"/>
      <c r="O874" s="72"/>
      <c r="P874" s="72"/>
      <c r="Q874" s="72"/>
      <c r="R874" s="72"/>
      <c r="S874" s="72"/>
      <c r="T874" s="72"/>
      <c r="U874" s="72"/>
      <c r="V874" s="72"/>
      <c r="W874" s="72"/>
      <c r="X874" s="72"/>
      <c r="Y874" s="72"/>
      <c r="Z874" s="72"/>
    </row>
    <row r="875" spans="1:26" ht="15.75" customHeight="1">
      <c r="A875" s="72"/>
      <c r="B875" s="72"/>
      <c r="C875" s="72"/>
      <c r="D875" s="72"/>
      <c r="E875" s="72"/>
      <c r="F875" s="72"/>
      <c r="G875" s="72"/>
      <c r="H875" s="72"/>
      <c r="I875" s="72"/>
      <c r="J875" s="72"/>
      <c r="K875" s="73"/>
      <c r="L875" s="74"/>
      <c r="M875" s="72"/>
      <c r="N875" s="72"/>
      <c r="O875" s="72"/>
      <c r="P875" s="72"/>
      <c r="Q875" s="72"/>
      <c r="R875" s="72"/>
      <c r="S875" s="72"/>
      <c r="T875" s="72"/>
      <c r="U875" s="72"/>
      <c r="V875" s="72"/>
      <c r="W875" s="72"/>
      <c r="X875" s="72"/>
      <c r="Y875" s="72"/>
      <c r="Z875" s="72"/>
    </row>
    <row r="876" spans="1:26" ht="15.75" customHeight="1">
      <c r="A876" s="72"/>
      <c r="B876" s="72"/>
      <c r="C876" s="72"/>
      <c r="D876" s="72"/>
      <c r="E876" s="72"/>
      <c r="F876" s="72"/>
      <c r="G876" s="72"/>
      <c r="H876" s="72"/>
      <c r="I876" s="72"/>
      <c r="J876" s="72"/>
      <c r="K876" s="73"/>
      <c r="L876" s="74"/>
      <c r="M876" s="72"/>
      <c r="N876" s="72"/>
      <c r="O876" s="72"/>
      <c r="P876" s="72"/>
      <c r="Q876" s="72"/>
      <c r="R876" s="72"/>
      <c r="S876" s="72"/>
      <c r="T876" s="72"/>
      <c r="U876" s="72"/>
      <c r="V876" s="72"/>
      <c r="W876" s="72"/>
      <c r="X876" s="72"/>
      <c r="Y876" s="72"/>
      <c r="Z876" s="72"/>
    </row>
    <row r="877" spans="1:26" ht="15.75" customHeight="1">
      <c r="A877" s="72"/>
      <c r="B877" s="72"/>
      <c r="C877" s="72"/>
      <c r="D877" s="72"/>
      <c r="E877" s="72"/>
      <c r="F877" s="72"/>
      <c r="G877" s="72"/>
      <c r="H877" s="72"/>
      <c r="I877" s="72"/>
      <c r="J877" s="72"/>
      <c r="K877" s="73"/>
      <c r="L877" s="74"/>
      <c r="M877" s="72"/>
      <c r="N877" s="72"/>
      <c r="O877" s="72"/>
      <c r="P877" s="72"/>
      <c r="Q877" s="72"/>
      <c r="R877" s="72"/>
      <c r="S877" s="72"/>
      <c r="T877" s="72"/>
      <c r="U877" s="72"/>
      <c r="V877" s="72"/>
      <c r="W877" s="72"/>
      <c r="X877" s="72"/>
      <c r="Y877" s="72"/>
      <c r="Z877" s="72"/>
    </row>
    <row r="878" spans="1:26" ht="15.75" customHeight="1">
      <c r="A878" s="72"/>
      <c r="B878" s="72"/>
      <c r="C878" s="72"/>
      <c r="D878" s="72"/>
      <c r="E878" s="72"/>
      <c r="F878" s="72"/>
      <c r="G878" s="72"/>
      <c r="H878" s="72"/>
      <c r="I878" s="72"/>
      <c r="J878" s="72"/>
      <c r="K878" s="73"/>
      <c r="L878" s="74"/>
      <c r="M878" s="72"/>
      <c r="N878" s="72"/>
      <c r="O878" s="72"/>
      <c r="P878" s="72"/>
      <c r="Q878" s="72"/>
      <c r="R878" s="72"/>
      <c r="S878" s="72"/>
      <c r="T878" s="72"/>
      <c r="U878" s="72"/>
      <c r="V878" s="72"/>
      <c r="W878" s="72"/>
      <c r="X878" s="72"/>
      <c r="Y878" s="72"/>
      <c r="Z878" s="72"/>
    </row>
    <row r="879" spans="1:26" ht="15.75" customHeight="1">
      <c r="A879" s="72"/>
      <c r="B879" s="72"/>
      <c r="C879" s="72"/>
      <c r="D879" s="72"/>
      <c r="E879" s="72"/>
      <c r="F879" s="72"/>
      <c r="G879" s="72"/>
      <c r="H879" s="72"/>
      <c r="I879" s="72"/>
      <c r="J879" s="72"/>
      <c r="K879" s="73"/>
      <c r="L879" s="74"/>
      <c r="M879" s="72"/>
      <c r="N879" s="72"/>
      <c r="O879" s="72"/>
      <c r="P879" s="72"/>
      <c r="Q879" s="72"/>
      <c r="R879" s="72"/>
      <c r="S879" s="72"/>
      <c r="T879" s="72"/>
      <c r="U879" s="72"/>
      <c r="V879" s="72"/>
      <c r="W879" s="72"/>
      <c r="X879" s="72"/>
      <c r="Y879" s="72"/>
      <c r="Z879" s="72"/>
    </row>
    <row r="880" spans="1:26" ht="15.75" customHeight="1">
      <c r="A880" s="72"/>
      <c r="B880" s="72"/>
      <c r="C880" s="72"/>
      <c r="D880" s="72"/>
      <c r="E880" s="72"/>
      <c r="F880" s="72"/>
      <c r="G880" s="72"/>
      <c r="H880" s="72"/>
      <c r="I880" s="72"/>
      <c r="J880" s="72"/>
      <c r="K880" s="73"/>
      <c r="L880" s="74"/>
      <c r="M880" s="72"/>
      <c r="N880" s="72"/>
      <c r="O880" s="72"/>
      <c r="P880" s="72"/>
      <c r="Q880" s="72"/>
      <c r="R880" s="72"/>
      <c r="S880" s="72"/>
      <c r="T880" s="72"/>
      <c r="U880" s="72"/>
      <c r="V880" s="72"/>
      <c r="W880" s="72"/>
      <c r="X880" s="72"/>
      <c r="Y880" s="72"/>
      <c r="Z880" s="72"/>
    </row>
    <row r="881" spans="1:26" ht="15.75" customHeight="1">
      <c r="A881" s="72"/>
      <c r="B881" s="72"/>
      <c r="C881" s="72"/>
      <c r="D881" s="72"/>
      <c r="E881" s="72"/>
      <c r="F881" s="72"/>
      <c r="G881" s="72"/>
      <c r="H881" s="72"/>
      <c r="I881" s="72"/>
      <c r="J881" s="72"/>
      <c r="K881" s="73"/>
      <c r="L881" s="74"/>
      <c r="M881" s="72"/>
      <c r="N881" s="72"/>
      <c r="O881" s="72"/>
      <c r="P881" s="72"/>
      <c r="Q881" s="72"/>
      <c r="R881" s="72"/>
      <c r="S881" s="72"/>
      <c r="T881" s="72"/>
      <c r="U881" s="72"/>
      <c r="V881" s="72"/>
      <c r="W881" s="72"/>
      <c r="X881" s="72"/>
      <c r="Y881" s="72"/>
      <c r="Z881" s="72"/>
    </row>
    <row r="882" spans="1:26" ht="15.75" customHeight="1">
      <c r="A882" s="72"/>
      <c r="B882" s="72"/>
      <c r="C882" s="72"/>
      <c r="D882" s="72"/>
      <c r="E882" s="72"/>
      <c r="F882" s="72"/>
      <c r="G882" s="72"/>
      <c r="H882" s="72"/>
      <c r="I882" s="72"/>
      <c r="J882" s="72"/>
      <c r="K882" s="73"/>
      <c r="L882" s="74"/>
      <c r="M882" s="72"/>
      <c r="N882" s="72"/>
      <c r="O882" s="72"/>
      <c r="P882" s="72"/>
      <c r="Q882" s="72"/>
      <c r="R882" s="72"/>
      <c r="S882" s="72"/>
      <c r="T882" s="72"/>
      <c r="U882" s="72"/>
      <c r="V882" s="72"/>
      <c r="W882" s="72"/>
      <c r="X882" s="72"/>
      <c r="Y882" s="72"/>
      <c r="Z882" s="72"/>
    </row>
    <row r="883" spans="1:26" ht="15.75" customHeight="1">
      <c r="A883" s="72"/>
      <c r="B883" s="72"/>
      <c r="C883" s="72"/>
      <c r="D883" s="72"/>
      <c r="E883" s="72"/>
      <c r="F883" s="72"/>
      <c r="G883" s="72"/>
      <c r="H883" s="72"/>
      <c r="I883" s="72"/>
      <c r="J883" s="72"/>
      <c r="K883" s="73"/>
      <c r="L883" s="74"/>
      <c r="M883" s="72"/>
      <c r="N883" s="72"/>
      <c r="O883" s="72"/>
      <c r="P883" s="72"/>
      <c r="Q883" s="72"/>
      <c r="R883" s="72"/>
      <c r="S883" s="72"/>
      <c r="T883" s="72"/>
      <c r="U883" s="72"/>
      <c r="V883" s="72"/>
      <c r="W883" s="72"/>
      <c r="X883" s="72"/>
      <c r="Y883" s="72"/>
      <c r="Z883" s="72"/>
    </row>
    <row r="884" spans="1:26" ht="15.75" customHeight="1">
      <c r="A884" s="72"/>
      <c r="B884" s="72"/>
      <c r="C884" s="72"/>
      <c r="D884" s="72"/>
      <c r="E884" s="72"/>
      <c r="F884" s="72"/>
      <c r="G884" s="72"/>
      <c r="H884" s="72"/>
      <c r="I884" s="72"/>
      <c r="J884" s="72"/>
      <c r="K884" s="73"/>
      <c r="L884" s="74"/>
      <c r="M884" s="72"/>
      <c r="N884" s="72"/>
      <c r="O884" s="72"/>
      <c r="P884" s="72"/>
      <c r="Q884" s="72"/>
      <c r="R884" s="72"/>
      <c r="S884" s="72"/>
      <c r="T884" s="72"/>
      <c r="U884" s="72"/>
      <c r="V884" s="72"/>
      <c r="W884" s="72"/>
      <c r="X884" s="72"/>
      <c r="Y884" s="72"/>
      <c r="Z884" s="72"/>
    </row>
    <row r="885" spans="1:26" ht="15.75" customHeight="1">
      <c r="A885" s="72"/>
      <c r="B885" s="72"/>
      <c r="C885" s="72"/>
      <c r="D885" s="72"/>
      <c r="E885" s="72"/>
      <c r="F885" s="72"/>
      <c r="G885" s="72"/>
      <c r="H885" s="72"/>
      <c r="I885" s="72"/>
      <c r="J885" s="72"/>
      <c r="K885" s="73"/>
      <c r="L885" s="74"/>
      <c r="M885" s="72"/>
      <c r="N885" s="72"/>
      <c r="O885" s="72"/>
      <c r="P885" s="72"/>
      <c r="Q885" s="72"/>
      <c r="R885" s="72"/>
      <c r="S885" s="72"/>
      <c r="T885" s="72"/>
      <c r="U885" s="72"/>
      <c r="V885" s="72"/>
      <c r="W885" s="72"/>
      <c r="X885" s="72"/>
      <c r="Y885" s="72"/>
      <c r="Z885" s="72"/>
    </row>
    <row r="886" spans="1:26" ht="15.75" customHeight="1">
      <c r="A886" s="72"/>
      <c r="B886" s="72"/>
      <c r="C886" s="72"/>
      <c r="D886" s="72"/>
      <c r="E886" s="72"/>
      <c r="F886" s="72"/>
      <c r="G886" s="72"/>
      <c r="H886" s="72"/>
      <c r="I886" s="72"/>
      <c r="J886" s="72"/>
      <c r="K886" s="73"/>
      <c r="L886" s="74"/>
      <c r="M886" s="72"/>
      <c r="N886" s="72"/>
      <c r="O886" s="72"/>
      <c r="P886" s="72"/>
      <c r="Q886" s="72"/>
      <c r="R886" s="72"/>
      <c r="S886" s="72"/>
      <c r="T886" s="72"/>
      <c r="U886" s="72"/>
      <c r="V886" s="72"/>
      <c r="W886" s="72"/>
      <c r="X886" s="72"/>
      <c r="Y886" s="72"/>
      <c r="Z886" s="72"/>
    </row>
    <row r="887" spans="1:26" ht="15.75" customHeight="1">
      <c r="A887" s="72"/>
      <c r="B887" s="72"/>
      <c r="C887" s="72"/>
      <c r="D887" s="72"/>
      <c r="E887" s="72"/>
      <c r="F887" s="72"/>
      <c r="G887" s="72"/>
      <c r="H887" s="72"/>
      <c r="I887" s="72"/>
      <c r="J887" s="72"/>
      <c r="K887" s="73"/>
      <c r="L887" s="74"/>
      <c r="M887" s="72"/>
      <c r="N887" s="72"/>
      <c r="O887" s="72"/>
      <c r="P887" s="72"/>
      <c r="Q887" s="72"/>
      <c r="R887" s="72"/>
      <c r="S887" s="72"/>
      <c r="T887" s="72"/>
      <c r="U887" s="72"/>
      <c r="V887" s="72"/>
      <c r="W887" s="72"/>
      <c r="X887" s="72"/>
      <c r="Y887" s="72"/>
      <c r="Z887" s="72"/>
    </row>
    <row r="888" spans="1:26" ht="15.75" customHeight="1">
      <c r="A888" s="72"/>
      <c r="B888" s="72"/>
      <c r="C888" s="72"/>
      <c r="D888" s="72"/>
      <c r="E888" s="72"/>
      <c r="F888" s="72"/>
      <c r="G888" s="72"/>
      <c r="H888" s="72"/>
      <c r="I888" s="72"/>
      <c r="J888" s="72"/>
      <c r="K888" s="73"/>
      <c r="L888" s="74"/>
      <c r="M888" s="72"/>
      <c r="N888" s="72"/>
      <c r="O888" s="72"/>
      <c r="P888" s="72"/>
      <c r="Q888" s="72"/>
      <c r="R888" s="72"/>
      <c r="S888" s="72"/>
      <c r="T888" s="72"/>
      <c r="U888" s="72"/>
      <c r="V888" s="72"/>
      <c r="W888" s="72"/>
      <c r="X888" s="72"/>
      <c r="Y888" s="72"/>
      <c r="Z888" s="72"/>
    </row>
    <row r="889" spans="1:26" ht="15.75" customHeight="1">
      <c r="A889" s="72"/>
      <c r="B889" s="72"/>
      <c r="C889" s="72"/>
      <c r="D889" s="72"/>
      <c r="E889" s="72"/>
      <c r="F889" s="72"/>
      <c r="G889" s="72"/>
      <c r="H889" s="72"/>
      <c r="I889" s="72"/>
      <c r="J889" s="72"/>
      <c r="K889" s="73"/>
      <c r="L889" s="74"/>
      <c r="M889" s="72"/>
      <c r="N889" s="72"/>
      <c r="O889" s="72"/>
      <c r="P889" s="72"/>
      <c r="Q889" s="72"/>
      <c r="R889" s="72"/>
      <c r="S889" s="72"/>
      <c r="T889" s="72"/>
      <c r="U889" s="72"/>
      <c r="V889" s="72"/>
      <c r="W889" s="72"/>
      <c r="X889" s="72"/>
      <c r="Y889" s="72"/>
      <c r="Z889" s="72"/>
    </row>
    <row r="890" spans="1:26" ht="15.75" customHeight="1">
      <c r="A890" s="72"/>
      <c r="B890" s="72"/>
      <c r="C890" s="72"/>
      <c r="D890" s="72"/>
      <c r="E890" s="72"/>
      <c r="F890" s="72"/>
      <c r="G890" s="72"/>
      <c r="H890" s="72"/>
      <c r="I890" s="72"/>
      <c r="J890" s="72"/>
      <c r="K890" s="73"/>
      <c r="L890" s="74"/>
      <c r="M890" s="72"/>
      <c r="N890" s="72"/>
      <c r="O890" s="72"/>
      <c r="P890" s="72"/>
      <c r="Q890" s="72"/>
      <c r="R890" s="72"/>
      <c r="S890" s="72"/>
      <c r="T890" s="72"/>
      <c r="U890" s="72"/>
      <c r="V890" s="72"/>
      <c r="W890" s="72"/>
      <c r="X890" s="72"/>
      <c r="Y890" s="72"/>
      <c r="Z890" s="72"/>
    </row>
    <row r="891" spans="1:26" ht="15.75" customHeight="1">
      <c r="A891" s="72"/>
      <c r="B891" s="72"/>
      <c r="C891" s="72"/>
      <c r="D891" s="72"/>
      <c r="E891" s="72"/>
      <c r="F891" s="72"/>
      <c r="G891" s="72"/>
      <c r="H891" s="72"/>
      <c r="I891" s="72"/>
      <c r="J891" s="72"/>
      <c r="K891" s="73"/>
      <c r="L891" s="74"/>
      <c r="M891" s="72"/>
      <c r="N891" s="72"/>
      <c r="O891" s="72"/>
      <c r="P891" s="72"/>
      <c r="Q891" s="72"/>
      <c r="R891" s="72"/>
      <c r="S891" s="72"/>
      <c r="T891" s="72"/>
      <c r="U891" s="72"/>
      <c r="V891" s="72"/>
      <c r="W891" s="72"/>
      <c r="X891" s="72"/>
      <c r="Y891" s="72"/>
      <c r="Z891" s="72"/>
    </row>
    <row r="892" spans="1:26" ht="15.75" customHeight="1">
      <c r="A892" s="72"/>
      <c r="B892" s="72"/>
      <c r="C892" s="72"/>
      <c r="D892" s="72"/>
      <c r="E892" s="72"/>
      <c r="F892" s="72"/>
      <c r="G892" s="72"/>
      <c r="H892" s="72"/>
      <c r="I892" s="72"/>
      <c r="J892" s="72"/>
      <c r="K892" s="73"/>
      <c r="L892" s="74"/>
      <c r="M892" s="72"/>
      <c r="N892" s="72"/>
      <c r="O892" s="72"/>
      <c r="P892" s="72"/>
      <c r="Q892" s="72"/>
      <c r="R892" s="72"/>
      <c r="S892" s="72"/>
      <c r="T892" s="72"/>
      <c r="U892" s="72"/>
      <c r="V892" s="72"/>
      <c r="W892" s="72"/>
      <c r="X892" s="72"/>
      <c r="Y892" s="72"/>
      <c r="Z892" s="72"/>
    </row>
    <row r="893" spans="1:26" ht="15.75" customHeight="1">
      <c r="A893" s="72"/>
      <c r="B893" s="72"/>
      <c r="C893" s="72"/>
      <c r="D893" s="72"/>
      <c r="E893" s="72"/>
      <c r="F893" s="72"/>
      <c r="G893" s="72"/>
      <c r="H893" s="72"/>
      <c r="I893" s="72"/>
      <c r="J893" s="72"/>
      <c r="K893" s="73"/>
      <c r="L893" s="74"/>
      <c r="M893" s="72"/>
      <c r="N893" s="72"/>
      <c r="O893" s="72"/>
      <c r="P893" s="72"/>
      <c r="Q893" s="72"/>
      <c r="R893" s="72"/>
      <c r="S893" s="72"/>
      <c r="T893" s="72"/>
      <c r="U893" s="72"/>
      <c r="V893" s="72"/>
      <c r="W893" s="72"/>
      <c r="X893" s="72"/>
      <c r="Y893" s="72"/>
      <c r="Z893" s="72"/>
    </row>
    <row r="894" spans="1:26" ht="15.75" customHeight="1">
      <c r="A894" s="72"/>
      <c r="B894" s="72"/>
      <c r="C894" s="72"/>
      <c r="D894" s="72"/>
      <c r="E894" s="72"/>
      <c r="F894" s="72"/>
      <c r="G894" s="72"/>
      <c r="H894" s="72"/>
      <c r="I894" s="72"/>
      <c r="J894" s="72"/>
      <c r="K894" s="73"/>
      <c r="L894" s="74"/>
      <c r="M894" s="72"/>
      <c r="N894" s="72"/>
      <c r="O894" s="72"/>
      <c r="P894" s="72"/>
      <c r="Q894" s="72"/>
      <c r="R894" s="72"/>
      <c r="S894" s="72"/>
      <c r="T894" s="72"/>
      <c r="U894" s="72"/>
      <c r="V894" s="72"/>
      <c r="W894" s="72"/>
      <c r="X894" s="72"/>
      <c r="Y894" s="72"/>
      <c r="Z894" s="72"/>
    </row>
    <row r="895" spans="1:26" ht="15.75" customHeight="1">
      <c r="A895" s="72"/>
      <c r="B895" s="72"/>
      <c r="C895" s="72"/>
      <c r="D895" s="72"/>
      <c r="E895" s="72"/>
      <c r="F895" s="72"/>
      <c r="G895" s="72"/>
      <c r="H895" s="72"/>
      <c r="I895" s="72"/>
      <c r="J895" s="72"/>
      <c r="K895" s="73"/>
      <c r="L895" s="74"/>
      <c r="M895" s="72"/>
      <c r="N895" s="72"/>
      <c r="O895" s="72"/>
      <c r="P895" s="72"/>
      <c r="Q895" s="72"/>
      <c r="R895" s="72"/>
      <c r="S895" s="72"/>
      <c r="T895" s="72"/>
      <c r="U895" s="72"/>
      <c r="V895" s="72"/>
      <c r="W895" s="72"/>
      <c r="X895" s="72"/>
      <c r="Y895" s="72"/>
      <c r="Z895" s="72"/>
    </row>
    <row r="896" spans="1:26" ht="15.75" customHeight="1">
      <c r="A896" s="72"/>
      <c r="B896" s="72"/>
      <c r="C896" s="72"/>
      <c r="D896" s="72"/>
      <c r="E896" s="72"/>
      <c r="F896" s="72"/>
      <c r="G896" s="72"/>
      <c r="H896" s="72"/>
      <c r="I896" s="72"/>
      <c r="J896" s="72"/>
      <c r="K896" s="73"/>
      <c r="L896" s="74"/>
      <c r="M896" s="72"/>
      <c r="N896" s="72"/>
      <c r="O896" s="72"/>
      <c r="P896" s="72"/>
      <c r="Q896" s="72"/>
      <c r="R896" s="72"/>
      <c r="S896" s="72"/>
      <c r="T896" s="72"/>
      <c r="U896" s="72"/>
      <c r="V896" s="72"/>
      <c r="W896" s="72"/>
      <c r="X896" s="72"/>
      <c r="Y896" s="72"/>
      <c r="Z896" s="72"/>
    </row>
    <row r="897" spans="1:26" ht="15.75" customHeight="1">
      <c r="A897" s="72"/>
      <c r="B897" s="72"/>
      <c r="C897" s="72"/>
      <c r="D897" s="72"/>
      <c r="E897" s="72"/>
      <c r="F897" s="72"/>
      <c r="G897" s="72"/>
      <c r="H897" s="72"/>
      <c r="I897" s="72"/>
      <c r="J897" s="72"/>
      <c r="K897" s="73"/>
      <c r="L897" s="74"/>
      <c r="M897" s="72"/>
      <c r="N897" s="72"/>
      <c r="O897" s="72"/>
      <c r="P897" s="72"/>
      <c r="Q897" s="72"/>
      <c r="R897" s="72"/>
      <c r="S897" s="72"/>
      <c r="T897" s="72"/>
      <c r="U897" s="72"/>
      <c r="V897" s="72"/>
      <c r="W897" s="72"/>
      <c r="X897" s="72"/>
      <c r="Y897" s="72"/>
      <c r="Z897" s="72"/>
    </row>
    <row r="898" spans="1:26" ht="15.75" customHeight="1">
      <c r="A898" s="72"/>
      <c r="B898" s="72"/>
      <c r="C898" s="72"/>
      <c r="D898" s="72"/>
      <c r="E898" s="72"/>
      <c r="F898" s="72"/>
      <c r="G898" s="72"/>
      <c r="H898" s="72"/>
      <c r="I898" s="72"/>
      <c r="J898" s="72"/>
      <c r="K898" s="73"/>
      <c r="L898" s="74"/>
      <c r="M898" s="72"/>
      <c r="N898" s="72"/>
      <c r="O898" s="72"/>
      <c r="P898" s="72"/>
      <c r="Q898" s="72"/>
      <c r="R898" s="72"/>
      <c r="S898" s="72"/>
      <c r="T898" s="72"/>
      <c r="U898" s="72"/>
      <c r="V898" s="72"/>
      <c r="W898" s="72"/>
      <c r="X898" s="72"/>
      <c r="Y898" s="72"/>
      <c r="Z898" s="72"/>
    </row>
    <row r="899" spans="1:26" ht="15.75" customHeight="1">
      <c r="A899" s="72"/>
      <c r="B899" s="72"/>
      <c r="C899" s="72"/>
      <c r="D899" s="72"/>
      <c r="E899" s="72"/>
      <c r="F899" s="72"/>
      <c r="G899" s="72"/>
      <c r="H899" s="72"/>
      <c r="I899" s="72"/>
      <c r="J899" s="72"/>
      <c r="K899" s="73"/>
      <c r="L899" s="74"/>
      <c r="M899" s="72"/>
      <c r="N899" s="72"/>
      <c r="O899" s="72"/>
      <c r="P899" s="72"/>
      <c r="Q899" s="72"/>
      <c r="R899" s="72"/>
      <c r="S899" s="72"/>
      <c r="T899" s="72"/>
      <c r="U899" s="72"/>
      <c r="V899" s="72"/>
      <c r="W899" s="72"/>
      <c r="X899" s="72"/>
      <c r="Y899" s="72"/>
      <c r="Z899" s="72"/>
    </row>
    <row r="900" spans="1:26" ht="15.75" customHeight="1">
      <c r="A900" s="72"/>
      <c r="B900" s="72"/>
      <c r="C900" s="72"/>
      <c r="D900" s="72"/>
      <c r="E900" s="72"/>
      <c r="F900" s="72"/>
      <c r="G900" s="72"/>
      <c r="H900" s="72"/>
      <c r="I900" s="72"/>
      <c r="J900" s="72"/>
      <c r="K900" s="73"/>
      <c r="L900" s="74"/>
      <c r="M900" s="72"/>
      <c r="N900" s="72"/>
      <c r="O900" s="72"/>
      <c r="P900" s="72"/>
      <c r="Q900" s="72"/>
      <c r="R900" s="72"/>
      <c r="S900" s="72"/>
      <c r="T900" s="72"/>
      <c r="U900" s="72"/>
      <c r="V900" s="72"/>
      <c r="W900" s="72"/>
      <c r="X900" s="72"/>
      <c r="Y900" s="72"/>
      <c r="Z900" s="72"/>
    </row>
    <row r="901" spans="1:26" ht="15.75" customHeight="1">
      <c r="A901" s="72"/>
      <c r="B901" s="72"/>
      <c r="C901" s="72"/>
      <c r="D901" s="72"/>
      <c r="E901" s="72"/>
      <c r="F901" s="72"/>
      <c r="G901" s="72"/>
      <c r="H901" s="72"/>
      <c r="I901" s="72"/>
      <c r="J901" s="72"/>
      <c r="K901" s="73"/>
      <c r="L901" s="74"/>
      <c r="M901" s="72"/>
      <c r="N901" s="72"/>
      <c r="O901" s="72"/>
      <c r="P901" s="72"/>
      <c r="Q901" s="72"/>
      <c r="R901" s="72"/>
      <c r="S901" s="72"/>
      <c r="T901" s="72"/>
      <c r="U901" s="72"/>
      <c r="V901" s="72"/>
      <c r="W901" s="72"/>
      <c r="X901" s="72"/>
      <c r="Y901" s="72"/>
      <c r="Z901" s="72"/>
    </row>
    <row r="902" spans="1:26" ht="15.75" customHeight="1">
      <c r="A902" s="72"/>
      <c r="B902" s="72"/>
      <c r="C902" s="72"/>
      <c r="D902" s="72"/>
      <c r="E902" s="72"/>
      <c r="F902" s="72"/>
      <c r="G902" s="72"/>
      <c r="H902" s="72"/>
      <c r="I902" s="72"/>
      <c r="J902" s="72"/>
      <c r="K902" s="73"/>
      <c r="L902" s="74"/>
      <c r="M902" s="72"/>
      <c r="N902" s="72"/>
      <c r="O902" s="72"/>
      <c r="P902" s="72"/>
      <c r="Q902" s="72"/>
      <c r="R902" s="72"/>
      <c r="S902" s="72"/>
      <c r="T902" s="72"/>
      <c r="U902" s="72"/>
      <c r="V902" s="72"/>
      <c r="W902" s="72"/>
      <c r="X902" s="72"/>
      <c r="Y902" s="72"/>
      <c r="Z902" s="72"/>
    </row>
    <row r="903" spans="1:26" ht="15.75" customHeight="1">
      <c r="A903" s="72"/>
      <c r="B903" s="72"/>
      <c r="C903" s="72"/>
      <c r="D903" s="72"/>
      <c r="E903" s="72"/>
      <c r="F903" s="72"/>
      <c r="G903" s="72"/>
      <c r="H903" s="72"/>
      <c r="I903" s="72"/>
      <c r="J903" s="72"/>
      <c r="K903" s="73"/>
      <c r="L903" s="74"/>
      <c r="M903" s="72"/>
      <c r="N903" s="72"/>
      <c r="O903" s="72"/>
      <c r="P903" s="72"/>
      <c r="Q903" s="72"/>
      <c r="R903" s="72"/>
      <c r="S903" s="72"/>
      <c r="T903" s="72"/>
      <c r="U903" s="72"/>
      <c r="V903" s="72"/>
      <c r="W903" s="72"/>
      <c r="X903" s="72"/>
      <c r="Y903" s="72"/>
      <c r="Z903" s="72"/>
    </row>
    <row r="904" spans="1:26" ht="15.75" customHeight="1">
      <c r="A904" s="72"/>
      <c r="B904" s="72"/>
      <c r="C904" s="72"/>
      <c r="D904" s="72"/>
      <c r="E904" s="72"/>
      <c r="F904" s="72"/>
      <c r="G904" s="72"/>
      <c r="H904" s="72"/>
      <c r="I904" s="72"/>
      <c r="J904" s="72"/>
      <c r="K904" s="73"/>
      <c r="L904" s="74"/>
      <c r="M904" s="72"/>
      <c r="N904" s="72"/>
      <c r="O904" s="72"/>
      <c r="P904" s="72"/>
      <c r="Q904" s="72"/>
      <c r="R904" s="72"/>
      <c r="S904" s="72"/>
      <c r="T904" s="72"/>
      <c r="U904" s="72"/>
      <c r="V904" s="72"/>
      <c r="W904" s="72"/>
      <c r="X904" s="72"/>
      <c r="Y904" s="72"/>
      <c r="Z904" s="72"/>
    </row>
    <row r="905" spans="1:26" ht="15.75" customHeight="1">
      <c r="A905" s="72"/>
      <c r="B905" s="72"/>
      <c r="C905" s="72"/>
      <c r="D905" s="72"/>
      <c r="E905" s="72"/>
      <c r="F905" s="72"/>
      <c r="G905" s="72"/>
      <c r="H905" s="72"/>
      <c r="I905" s="72"/>
      <c r="J905" s="72"/>
      <c r="K905" s="73"/>
      <c r="L905" s="74"/>
      <c r="M905" s="72"/>
      <c r="N905" s="72"/>
      <c r="O905" s="72"/>
      <c r="P905" s="72"/>
      <c r="Q905" s="72"/>
      <c r="R905" s="72"/>
      <c r="S905" s="72"/>
      <c r="T905" s="72"/>
      <c r="U905" s="72"/>
      <c r="V905" s="72"/>
      <c r="W905" s="72"/>
      <c r="X905" s="72"/>
      <c r="Y905" s="72"/>
      <c r="Z905" s="72"/>
    </row>
    <row r="906" spans="1:26" ht="15.75" customHeight="1">
      <c r="A906" s="72"/>
      <c r="B906" s="72"/>
      <c r="C906" s="72"/>
      <c r="D906" s="72"/>
      <c r="E906" s="72"/>
      <c r="F906" s="72"/>
      <c r="G906" s="72"/>
      <c r="H906" s="72"/>
      <c r="I906" s="72"/>
      <c r="J906" s="72"/>
      <c r="K906" s="73"/>
      <c r="L906" s="74"/>
      <c r="M906" s="72"/>
      <c r="N906" s="72"/>
      <c r="O906" s="72"/>
      <c r="P906" s="72"/>
      <c r="Q906" s="72"/>
      <c r="R906" s="72"/>
      <c r="S906" s="72"/>
      <c r="T906" s="72"/>
      <c r="U906" s="72"/>
      <c r="V906" s="72"/>
      <c r="W906" s="72"/>
      <c r="X906" s="72"/>
      <c r="Y906" s="72"/>
      <c r="Z906" s="72"/>
    </row>
    <row r="907" spans="1:26" ht="15.75" customHeight="1">
      <c r="A907" s="72"/>
      <c r="B907" s="72"/>
      <c r="C907" s="72"/>
      <c r="D907" s="72"/>
      <c r="E907" s="72"/>
      <c r="F907" s="72"/>
      <c r="G907" s="72"/>
      <c r="H907" s="72"/>
      <c r="I907" s="72"/>
      <c r="J907" s="72"/>
      <c r="K907" s="73"/>
      <c r="L907" s="74"/>
      <c r="M907" s="72"/>
      <c r="N907" s="72"/>
      <c r="O907" s="72"/>
      <c r="P907" s="72"/>
      <c r="Q907" s="72"/>
      <c r="R907" s="72"/>
      <c r="S907" s="72"/>
      <c r="T907" s="72"/>
      <c r="U907" s="72"/>
      <c r="V907" s="72"/>
      <c r="W907" s="72"/>
      <c r="X907" s="72"/>
      <c r="Y907" s="72"/>
      <c r="Z907" s="72"/>
    </row>
    <row r="908" spans="1:26" ht="15.75" customHeight="1">
      <c r="A908" s="72"/>
      <c r="B908" s="72"/>
      <c r="C908" s="72"/>
      <c r="D908" s="72"/>
      <c r="E908" s="72"/>
      <c r="F908" s="72"/>
      <c r="G908" s="72"/>
      <c r="H908" s="72"/>
      <c r="I908" s="72"/>
      <c r="J908" s="72"/>
      <c r="K908" s="73"/>
      <c r="L908" s="74"/>
      <c r="M908" s="72"/>
      <c r="N908" s="72"/>
      <c r="O908" s="72"/>
      <c r="P908" s="72"/>
      <c r="Q908" s="72"/>
      <c r="R908" s="72"/>
      <c r="S908" s="72"/>
      <c r="T908" s="72"/>
      <c r="U908" s="72"/>
      <c r="V908" s="72"/>
      <c r="W908" s="72"/>
      <c r="X908" s="72"/>
      <c r="Y908" s="72"/>
      <c r="Z908" s="72"/>
    </row>
    <row r="909" spans="1:26" ht="15.75" customHeight="1">
      <c r="A909" s="72"/>
      <c r="B909" s="72"/>
      <c r="C909" s="72"/>
      <c r="D909" s="72"/>
      <c r="E909" s="72"/>
      <c r="F909" s="72"/>
      <c r="G909" s="72"/>
      <c r="H909" s="72"/>
      <c r="I909" s="72"/>
      <c r="J909" s="72"/>
      <c r="K909" s="73"/>
      <c r="L909" s="74"/>
      <c r="M909" s="72"/>
      <c r="N909" s="72"/>
      <c r="O909" s="72"/>
      <c r="P909" s="72"/>
      <c r="Q909" s="72"/>
      <c r="R909" s="72"/>
      <c r="S909" s="72"/>
      <c r="T909" s="72"/>
      <c r="U909" s="72"/>
      <c r="V909" s="72"/>
      <c r="W909" s="72"/>
      <c r="X909" s="72"/>
      <c r="Y909" s="72"/>
      <c r="Z909" s="72"/>
    </row>
    <row r="910" spans="1:26" ht="15.75" customHeight="1">
      <c r="A910" s="72"/>
      <c r="B910" s="72"/>
      <c r="C910" s="72"/>
      <c r="D910" s="72"/>
      <c r="E910" s="72"/>
      <c r="F910" s="72"/>
      <c r="G910" s="72"/>
      <c r="H910" s="72"/>
      <c r="I910" s="72"/>
      <c r="J910" s="72"/>
      <c r="K910" s="73"/>
      <c r="L910" s="74"/>
      <c r="M910" s="72"/>
      <c r="N910" s="72"/>
      <c r="O910" s="72"/>
      <c r="P910" s="72"/>
      <c r="Q910" s="72"/>
      <c r="R910" s="72"/>
      <c r="S910" s="72"/>
      <c r="T910" s="72"/>
      <c r="U910" s="72"/>
      <c r="V910" s="72"/>
      <c r="W910" s="72"/>
      <c r="X910" s="72"/>
      <c r="Y910" s="72"/>
      <c r="Z910" s="72"/>
    </row>
    <row r="911" spans="1:26" ht="15.75" customHeight="1">
      <c r="A911" s="72"/>
      <c r="B911" s="72"/>
      <c r="C911" s="72"/>
      <c r="D911" s="72"/>
      <c r="E911" s="72"/>
      <c r="F911" s="72"/>
      <c r="G911" s="72"/>
      <c r="H911" s="72"/>
      <c r="I911" s="72"/>
      <c r="J911" s="72"/>
      <c r="K911" s="73"/>
      <c r="L911" s="74"/>
      <c r="M911" s="72"/>
      <c r="N911" s="72"/>
      <c r="O911" s="72"/>
      <c r="P911" s="72"/>
      <c r="Q911" s="72"/>
      <c r="R911" s="72"/>
      <c r="S911" s="72"/>
      <c r="T911" s="72"/>
      <c r="U911" s="72"/>
      <c r="V911" s="72"/>
      <c r="W911" s="72"/>
      <c r="X911" s="72"/>
      <c r="Y911" s="72"/>
      <c r="Z911" s="72"/>
    </row>
    <row r="912" spans="1:26" ht="15.75" customHeight="1">
      <c r="A912" s="72"/>
      <c r="B912" s="72"/>
      <c r="C912" s="72"/>
      <c r="D912" s="72"/>
      <c r="E912" s="72"/>
      <c r="F912" s="72"/>
      <c r="G912" s="72"/>
      <c r="H912" s="72"/>
      <c r="I912" s="72"/>
      <c r="J912" s="72"/>
      <c r="K912" s="73"/>
      <c r="L912" s="74"/>
      <c r="M912" s="72"/>
      <c r="N912" s="72"/>
      <c r="O912" s="72"/>
      <c r="P912" s="72"/>
      <c r="Q912" s="72"/>
      <c r="R912" s="72"/>
      <c r="S912" s="72"/>
      <c r="T912" s="72"/>
      <c r="U912" s="72"/>
      <c r="V912" s="72"/>
      <c r="W912" s="72"/>
      <c r="X912" s="72"/>
      <c r="Y912" s="72"/>
      <c r="Z912" s="72"/>
    </row>
    <row r="913" spans="1:26" ht="15.75" customHeight="1">
      <c r="A913" s="72"/>
      <c r="B913" s="72"/>
      <c r="C913" s="72"/>
      <c r="D913" s="72"/>
      <c r="E913" s="72"/>
      <c r="F913" s="72"/>
      <c r="G913" s="72"/>
      <c r="H913" s="72"/>
      <c r="I913" s="72"/>
      <c r="J913" s="72"/>
      <c r="K913" s="73"/>
      <c r="L913" s="74"/>
      <c r="M913" s="72"/>
      <c r="N913" s="72"/>
      <c r="O913" s="72"/>
      <c r="P913" s="72"/>
      <c r="Q913" s="72"/>
      <c r="R913" s="72"/>
      <c r="S913" s="72"/>
      <c r="T913" s="72"/>
      <c r="U913" s="72"/>
      <c r="V913" s="72"/>
      <c r="W913" s="72"/>
      <c r="X913" s="72"/>
      <c r="Y913" s="72"/>
      <c r="Z913" s="72"/>
    </row>
    <row r="914" spans="1:26" ht="15.75" customHeight="1">
      <c r="A914" s="72"/>
      <c r="B914" s="72"/>
      <c r="C914" s="72"/>
      <c r="D914" s="72"/>
      <c r="E914" s="72"/>
      <c r="F914" s="72"/>
      <c r="G914" s="72"/>
      <c r="H914" s="72"/>
      <c r="I914" s="72"/>
      <c r="J914" s="72"/>
      <c r="K914" s="73"/>
      <c r="L914" s="74"/>
      <c r="M914" s="72"/>
      <c r="N914" s="72"/>
      <c r="O914" s="72"/>
      <c r="P914" s="72"/>
      <c r="Q914" s="72"/>
      <c r="R914" s="72"/>
      <c r="S914" s="72"/>
      <c r="T914" s="72"/>
      <c r="U914" s="72"/>
      <c r="V914" s="72"/>
      <c r="W914" s="72"/>
      <c r="X914" s="72"/>
      <c r="Y914" s="72"/>
      <c r="Z914" s="72"/>
    </row>
    <row r="915" spans="1:26" ht="15.75" customHeight="1">
      <c r="A915" s="72"/>
      <c r="B915" s="72"/>
      <c r="C915" s="72"/>
      <c r="D915" s="72"/>
      <c r="E915" s="72"/>
      <c r="F915" s="72"/>
      <c r="G915" s="72"/>
      <c r="H915" s="72"/>
      <c r="I915" s="72"/>
      <c r="J915" s="72"/>
      <c r="K915" s="73"/>
      <c r="L915" s="74"/>
      <c r="M915" s="72"/>
      <c r="N915" s="72"/>
      <c r="O915" s="72"/>
      <c r="P915" s="72"/>
      <c r="Q915" s="72"/>
      <c r="R915" s="72"/>
      <c r="S915" s="72"/>
      <c r="T915" s="72"/>
      <c r="U915" s="72"/>
      <c r="V915" s="72"/>
      <c r="W915" s="72"/>
      <c r="X915" s="72"/>
      <c r="Y915" s="72"/>
      <c r="Z915" s="72"/>
    </row>
    <row r="916" spans="1:26" ht="15.75" customHeight="1">
      <c r="A916" s="72"/>
      <c r="B916" s="72"/>
      <c r="C916" s="72"/>
      <c r="D916" s="72"/>
      <c r="E916" s="72"/>
      <c r="F916" s="72"/>
      <c r="G916" s="72"/>
      <c r="H916" s="72"/>
      <c r="I916" s="72"/>
      <c r="J916" s="72"/>
      <c r="K916" s="73"/>
      <c r="L916" s="74"/>
      <c r="M916" s="72"/>
      <c r="N916" s="72"/>
      <c r="O916" s="72"/>
      <c r="P916" s="72"/>
      <c r="Q916" s="72"/>
      <c r="R916" s="72"/>
      <c r="S916" s="72"/>
      <c r="T916" s="72"/>
      <c r="U916" s="72"/>
      <c r="V916" s="72"/>
      <c r="W916" s="72"/>
      <c r="X916" s="72"/>
      <c r="Y916" s="72"/>
      <c r="Z916" s="72"/>
    </row>
    <row r="917" spans="1:26" ht="15.75" customHeight="1">
      <c r="A917" s="72"/>
      <c r="B917" s="72"/>
      <c r="C917" s="72"/>
      <c r="D917" s="72"/>
      <c r="E917" s="72"/>
      <c r="F917" s="72"/>
      <c r="G917" s="72"/>
      <c r="H917" s="72"/>
      <c r="I917" s="72"/>
      <c r="J917" s="72"/>
      <c r="K917" s="73"/>
      <c r="L917" s="74"/>
      <c r="M917" s="72"/>
      <c r="N917" s="72"/>
      <c r="O917" s="72"/>
      <c r="P917" s="72"/>
      <c r="Q917" s="72"/>
      <c r="R917" s="72"/>
      <c r="S917" s="72"/>
      <c r="T917" s="72"/>
      <c r="U917" s="72"/>
      <c r="V917" s="72"/>
      <c r="W917" s="72"/>
      <c r="X917" s="72"/>
      <c r="Y917" s="72"/>
      <c r="Z917" s="72"/>
    </row>
    <row r="918" spans="1:26" ht="15.75" customHeight="1">
      <c r="A918" s="72"/>
      <c r="B918" s="72"/>
      <c r="C918" s="72"/>
      <c r="D918" s="72"/>
      <c r="E918" s="72"/>
      <c r="F918" s="72"/>
      <c r="G918" s="72"/>
      <c r="H918" s="72"/>
      <c r="I918" s="72"/>
      <c r="J918" s="72"/>
      <c r="K918" s="73"/>
      <c r="L918" s="74"/>
      <c r="M918" s="72"/>
      <c r="N918" s="72"/>
      <c r="O918" s="72"/>
      <c r="P918" s="72"/>
      <c r="Q918" s="72"/>
      <c r="R918" s="72"/>
      <c r="S918" s="72"/>
      <c r="T918" s="72"/>
      <c r="U918" s="72"/>
      <c r="V918" s="72"/>
      <c r="W918" s="72"/>
      <c r="X918" s="72"/>
      <c r="Y918" s="72"/>
      <c r="Z918" s="72"/>
    </row>
    <row r="919" spans="1:26" ht="15.75" customHeight="1">
      <c r="A919" s="72"/>
      <c r="B919" s="72"/>
      <c r="C919" s="72"/>
      <c r="D919" s="72"/>
      <c r="E919" s="72"/>
      <c r="F919" s="72"/>
      <c r="G919" s="72"/>
      <c r="H919" s="72"/>
      <c r="I919" s="72"/>
      <c r="J919" s="72"/>
      <c r="K919" s="73"/>
      <c r="L919" s="74"/>
      <c r="M919" s="72"/>
      <c r="N919" s="72"/>
      <c r="O919" s="72"/>
      <c r="P919" s="72"/>
      <c r="Q919" s="72"/>
      <c r="R919" s="72"/>
      <c r="S919" s="72"/>
      <c r="T919" s="72"/>
      <c r="U919" s="72"/>
      <c r="V919" s="72"/>
      <c r="W919" s="72"/>
      <c r="X919" s="72"/>
      <c r="Y919" s="72"/>
      <c r="Z919" s="72"/>
    </row>
    <row r="920" spans="1:26" ht="15.75" customHeight="1">
      <c r="A920" s="72"/>
      <c r="B920" s="72"/>
      <c r="C920" s="72"/>
      <c r="D920" s="72"/>
      <c r="E920" s="72"/>
      <c r="F920" s="72"/>
      <c r="G920" s="72"/>
      <c r="H920" s="72"/>
      <c r="I920" s="72"/>
      <c r="J920" s="72"/>
      <c r="K920" s="73"/>
      <c r="L920" s="74"/>
      <c r="M920" s="72"/>
      <c r="N920" s="72"/>
      <c r="O920" s="72"/>
      <c r="P920" s="72"/>
      <c r="Q920" s="72"/>
      <c r="R920" s="72"/>
      <c r="S920" s="72"/>
      <c r="T920" s="72"/>
      <c r="U920" s="72"/>
      <c r="V920" s="72"/>
      <c r="W920" s="72"/>
      <c r="X920" s="72"/>
      <c r="Y920" s="72"/>
      <c r="Z920" s="72"/>
    </row>
    <row r="921" spans="1:26" ht="15.75" customHeight="1">
      <c r="A921" s="72"/>
      <c r="B921" s="72"/>
      <c r="C921" s="72"/>
      <c r="D921" s="72"/>
      <c r="E921" s="72"/>
      <c r="F921" s="72"/>
      <c r="G921" s="72"/>
      <c r="H921" s="72"/>
      <c r="I921" s="72"/>
      <c r="J921" s="72"/>
      <c r="K921" s="73"/>
      <c r="L921" s="74"/>
      <c r="M921" s="72"/>
      <c r="N921" s="72"/>
      <c r="O921" s="72"/>
      <c r="P921" s="72"/>
      <c r="Q921" s="72"/>
      <c r="R921" s="72"/>
      <c r="S921" s="72"/>
      <c r="T921" s="72"/>
      <c r="U921" s="72"/>
      <c r="V921" s="72"/>
      <c r="W921" s="72"/>
      <c r="X921" s="72"/>
      <c r="Y921" s="72"/>
      <c r="Z921" s="72"/>
    </row>
    <row r="922" spans="1:26" ht="15.75" customHeight="1">
      <c r="A922" s="72"/>
      <c r="B922" s="72"/>
      <c r="C922" s="72"/>
      <c r="D922" s="72"/>
      <c r="E922" s="72"/>
      <c r="F922" s="72"/>
      <c r="G922" s="72"/>
      <c r="H922" s="72"/>
      <c r="I922" s="72"/>
      <c r="J922" s="72"/>
      <c r="K922" s="73"/>
      <c r="L922" s="74"/>
      <c r="M922" s="72"/>
      <c r="N922" s="72"/>
      <c r="O922" s="72"/>
      <c r="P922" s="72"/>
      <c r="Q922" s="72"/>
      <c r="R922" s="72"/>
      <c r="S922" s="72"/>
      <c r="T922" s="72"/>
      <c r="U922" s="72"/>
      <c r="V922" s="72"/>
      <c r="W922" s="72"/>
      <c r="X922" s="72"/>
      <c r="Y922" s="72"/>
      <c r="Z922" s="72"/>
    </row>
    <row r="923" spans="1:26" ht="15.75" customHeight="1">
      <c r="A923" s="72"/>
      <c r="B923" s="72"/>
      <c r="C923" s="72"/>
      <c r="D923" s="72"/>
      <c r="E923" s="72"/>
      <c r="F923" s="72"/>
      <c r="G923" s="72"/>
      <c r="H923" s="72"/>
      <c r="I923" s="72"/>
      <c r="J923" s="72"/>
      <c r="K923" s="73"/>
      <c r="L923" s="74"/>
      <c r="M923" s="72"/>
      <c r="N923" s="72"/>
      <c r="O923" s="72"/>
      <c r="P923" s="72"/>
      <c r="Q923" s="72"/>
      <c r="R923" s="72"/>
      <c r="S923" s="72"/>
      <c r="T923" s="72"/>
      <c r="U923" s="72"/>
      <c r="V923" s="72"/>
      <c r="W923" s="72"/>
      <c r="X923" s="72"/>
      <c r="Y923" s="72"/>
      <c r="Z923" s="72"/>
    </row>
    <row r="924" spans="1:26" ht="15.75" customHeight="1">
      <c r="A924" s="72"/>
      <c r="B924" s="72"/>
      <c r="C924" s="72"/>
      <c r="D924" s="72"/>
      <c r="E924" s="72"/>
      <c r="F924" s="72"/>
      <c r="G924" s="72"/>
      <c r="H924" s="72"/>
      <c r="I924" s="72"/>
      <c r="J924" s="72"/>
      <c r="K924" s="73"/>
      <c r="L924" s="74"/>
      <c r="M924" s="72"/>
      <c r="N924" s="72"/>
      <c r="O924" s="72"/>
      <c r="P924" s="72"/>
      <c r="Q924" s="72"/>
      <c r="R924" s="72"/>
      <c r="S924" s="72"/>
      <c r="T924" s="72"/>
      <c r="U924" s="72"/>
      <c r="V924" s="72"/>
      <c r="W924" s="72"/>
      <c r="X924" s="72"/>
      <c r="Y924" s="72"/>
      <c r="Z924" s="72"/>
    </row>
    <row r="925" spans="1:26" ht="15.75" customHeight="1">
      <c r="A925" s="72"/>
      <c r="B925" s="72"/>
      <c r="C925" s="72"/>
      <c r="D925" s="72"/>
      <c r="E925" s="72"/>
      <c r="F925" s="72"/>
      <c r="G925" s="72"/>
      <c r="H925" s="72"/>
      <c r="I925" s="72"/>
      <c r="J925" s="72"/>
      <c r="K925" s="73"/>
      <c r="L925" s="74"/>
      <c r="M925" s="72"/>
      <c r="N925" s="72"/>
      <c r="O925" s="72"/>
      <c r="P925" s="72"/>
      <c r="Q925" s="72"/>
      <c r="R925" s="72"/>
      <c r="S925" s="72"/>
      <c r="T925" s="72"/>
      <c r="U925" s="72"/>
      <c r="V925" s="72"/>
      <c r="W925" s="72"/>
      <c r="X925" s="72"/>
      <c r="Y925" s="72"/>
      <c r="Z925" s="72"/>
    </row>
    <row r="926" spans="1:26" ht="15.75" customHeight="1">
      <c r="A926" s="72"/>
      <c r="B926" s="72"/>
      <c r="C926" s="72"/>
      <c r="D926" s="72"/>
      <c r="E926" s="72"/>
      <c r="F926" s="72"/>
      <c r="G926" s="72"/>
      <c r="H926" s="72"/>
      <c r="I926" s="72"/>
      <c r="J926" s="72"/>
      <c r="K926" s="73"/>
      <c r="L926" s="74"/>
      <c r="M926" s="72"/>
      <c r="N926" s="72"/>
      <c r="O926" s="72"/>
      <c r="P926" s="72"/>
      <c r="Q926" s="72"/>
      <c r="R926" s="72"/>
      <c r="S926" s="72"/>
      <c r="T926" s="72"/>
      <c r="U926" s="72"/>
      <c r="V926" s="72"/>
      <c r="W926" s="72"/>
      <c r="X926" s="72"/>
      <c r="Y926" s="72"/>
      <c r="Z926" s="72"/>
    </row>
    <row r="927" spans="1:26" ht="15.75" customHeight="1">
      <c r="A927" s="72"/>
      <c r="B927" s="72"/>
      <c r="C927" s="72"/>
      <c r="D927" s="72"/>
      <c r="E927" s="72"/>
      <c r="F927" s="72"/>
      <c r="G927" s="72"/>
      <c r="H927" s="72"/>
      <c r="I927" s="72"/>
      <c r="J927" s="72"/>
      <c r="K927" s="73"/>
      <c r="L927" s="74"/>
      <c r="M927" s="72"/>
      <c r="N927" s="72"/>
      <c r="O927" s="72"/>
      <c r="P927" s="72"/>
      <c r="Q927" s="72"/>
      <c r="R927" s="72"/>
      <c r="S927" s="72"/>
      <c r="T927" s="72"/>
      <c r="U927" s="72"/>
      <c r="V927" s="72"/>
      <c r="W927" s="72"/>
      <c r="X927" s="72"/>
      <c r="Y927" s="72"/>
      <c r="Z927" s="72"/>
    </row>
    <row r="928" spans="1:26" ht="15.75" customHeight="1">
      <c r="A928" s="72"/>
      <c r="B928" s="72"/>
      <c r="C928" s="72"/>
      <c r="D928" s="72"/>
      <c r="E928" s="72"/>
      <c r="F928" s="72"/>
      <c r="G928" s="72"/>
      <c r="H928" s="72"/>
      <c r="I928" s="72"/>
      <c r="J928" s="72"/>
      <c r="K928" s="73"/>
      <c r="L928" s="74"/>
      <c r="M928" s="72"/>
      <c r="N928" s="72"/>
      <c r="O928" s="72"/>
      <c r="P928" s="72"/>
      <c r="Q928" s="72"/>
      <c r="R928" s="72"/>
      <c r="S928" s="72"/>
      <c r="T928" s="72"/>
      <c r="U928" s="72"/>
      <c r="V928" s="72"/>
      <c r="W928" s="72"/>
      <c r="X928" s="72"/>
      <c r="Y928" s="72"/>
      <c r="Z928" s="72"/>
    </row>
    <row r="929" spans="1:26" ht="15.75" customHeight="1">
      <c r="A929" s="72"/>
      <c r="B929" s="72"/>
      <c r="C929" s="72"/>
      <c r="D929" s="72"/>
      <c r="E929" s="72"/>
      <c r="F929" s="72"/>
      <c r="G929" s="72"/>
      <c r="H929" s="72"/>
      <c r="I929" s="72"/>
      <c r="J929" s="72"/>
      <c r="K929" s="73"/>
      <c r="L929" s="74"/>
      <c r="M929" s="72"/>
      <c r="N929" s="72"/>
      <c r="O929" s="72"/>
      <c r="P929" s="72"/>
      <c r="Q929" s="72"/>
      <c r="R929" s="72"/>
      <c r="S929" s="72"/>
      <c r="T929" s="72"/>
      <c r="U929" s="72"/>
      <c r="V929" s="72"/>
      <c r="W929" s="72"/>
      <c r="X929" s="72"/>
      <c r="Y929" s="72"/>
      <c r="Z929" s="72"/>
    </row>
    <row r="930" spans="1:26" ht="15.75" customHeight="1">
      <c r="A930" s="72"/>
      <c r="B930" s="72"/>
      <c r="C930" s="72"/>
      <c r="D930" s="72"/>
      <c r="E930" s="72"/>
      <c r="F930" s="72"/>
      <c r="G930" s="72"/>
      <c r="H930" s="72"/>
      <c r="I930" s="72"/>
      <c r="J930" s="72"/>
      <c r="K930" s="73"/>
      <c r="L930" s="74"/>
      <c r="M930" s="72"/>
      <c r="N930" s="72"/>
      <c r="O930" s="72"/>
      <c r="P930" s="72"/>
      <c r="Q930" s="72"/>
      <c r="R930" s="72"/>
      <c r="S930" s="72"/>
      <c r="T930" s="72"/>
      <c r="U930" s="72"/>
      <c r="V930" s="72"/>
      <c r="W930" s="72"/>
      <c r="X930" s="72"/>
      <c r="Y930" s="72"/>
      <c r="Z930" s="72"/>
    </row>
    <row r="931" spans="1:26" ht="15.75" customHeight="1">
      <c r="A931" s="72"/>
      <c r="B931" s="72"/>
      <c r="C931" s="72"/>
      <c r="D931" s="72"/>
      <c r="E931" s="72"/>
      <c r="F931" s="72"/>
      <c r="G931" s="72"/>
      <c r="H931" s="72"/>
      <c r="I931" s="72"/>
      <c r="J931" s="72"/>
      <c r="K931" s="73"/>
      <c r="L931" s="74"/>
      <c r="M931" s="72"/>
      <c r="N931" s="72"/>
      <c r="O931" s="72"/>
      <c r="P931" s="72"/>
      <c r="Q931" s="72"/>
      <c r="R931" s="72"/>
      <c r="S931" s="72"/>
      <c r="T931" s="72"/>
      <c r="U931" s="72"/>
      <c r="V931" s="72"/>
      <c r="W931" s="72"/>
      <c r="X931" s="72"/>
      <c r="Y931" s="72"/>
      <c r="Z931" s="72"/>
    </row>
    <row r="932" spans="1:26" ht="15.75" customHeight="1">
      <c r="A932" s="72"/>
      <c r="B932" s="72"/>
      <c r="C932" s="72"/>
      <c r="D932" s="72"/>
      <c r="E932" s="72"/>
      <c r="F932" s="72"/>
      <c r="G932" s="72"/>
      <c r="H932" s="72"/>
      <c r="I932" s="72"/>
      <c r="J932" s="72"/>
      <c r="K932" s="73"/>
      <c r="L932" s="74"/>
      <c r="M932" s="72"/>
      <c r="N932" s="72"/>
      <c r="O932" s="72"/>
      <c r="P932" s="72"/>
      <c r="Q932" s="72"/>
      <c r="R932" s="72"/>
      <c r="S932" s="72"/>
      <c r="T932" s="72"/>
      <c r="U932" s="72"/>
      <c r="V932" s="72"/>
      <c r="W932" s="72"/>
      <c r="X932" s="72"/>
      <c r="Y932" s="72"/>
      <c r="Z932" s="72"/>
    </row>
    <row r="933" spans="1:26" ht="15.75" customHeight="1">
      <c r="A933" s="72"/>
      <c r="B933" s="72"/>
      <c r="C933" s="72"/>
      <c r="D933" s="72"/>
      <c r="E933" s="72"/>
      <c r="F933" s="72"/>
      <c r="G933" s="72"/>
      <c r="H933" s="72"/>
      <c r="I933" s="72"/>
      <c r="J933" s="72"/>
      <c r="K933" s="73"/>
      <c r="L933" s="74"/>
      <c r="M933" s="72"/>
      <c r="N933" s="72"/>
      <c r="O933" s="72"/>
      <c r="P933" s="72"/>
      <c r="Q933" s="72"/>
      <c r="R933" s="72"/>
      <c r="S933" s="72"/>
      <c r="T933" s="72"/>
      <c r="U933" s="72"/>
      <c r="V933" s="72"/>
      <c r="W933" s="72"/>
      <c r="X933" s="72"/>
      <c r="Y933" s="72"/>
      <c r="Z933" s="72"/>
    </row>
    <row r="934" spans="1:26" ht="15.75" customHeight="1">
      <c r="A934" s="72"/>
      <c r="B934" s="72"/>
      <c r="C934" s="72"/>
      <c r="D934" s="72"/>
      <c r="E934" s="72"/>
      <c r="F934" s="72"/>
      <c r="G934" s="72"/>
      <c r="H934" s="72"/>
      <c r="I934" s="72"/>
      <c r="J934" s="72"/>
      <c r="K934" s="73"/>
      <c r="L934" s="74"/>
      <c r="M934" s="72"/>
      <c r="N934" s="72"/>
      <c r="O934" s="72"/>
      <c r="P934" s="72"/>
      <c r="Q934" s="72"/>
      <c r="R934" s="72"/>
      <c r="S934" s="72"/>
      <c r="T934" s="72"/>
      <c r="U934" s="72"/>
      <c r="V934" s="72"/>
      <c r="W934" s="72"/>
      <c r="X934" s="72"/>
      <c r="Y934" s="72"/>
      <c r="Z934" s="72"/>
    </row>
    <row r="935" spans="1:26" ht="15.75" customHeight="1">
      <c r="A935" s="72"/>
      <c r="B935" s="72"/>
      <c r="C935" s="72"/>
      <c r="D935" s="72"/>
      <c r="E935" s="72"/>
      <c r="F935" s="72"/>
      <c r="G935" s="72"/>
      <c r="H935" s="72"/>
      <c r="I935" s="72"/>
      <c r="J935" s="72"/>
      <c r="K935" s="73"/>
      <c r="L935" s="74"/>
      <c r="M935" s="72"/>
      <c r="N935" s="72"/>
      <c r="O935" s="72"/>
      <c r="P935" s="72"/>
      <c r="Q935" s="72"/>
      <c r="R935" s="72"/>
      <c r="S935" s="72"/>
      <c r="T935" s="72"/>
      <c r="U935" s="72"/>
      <c r="V935" s="72"/>
      <c r="W935" s="72"/>
      <c r="X935" s="72"/>
      <c r="Y935" s="72"/>
      <c r="Z935" s="72"/>
    </row>
    <row r="936" spans="1:26" ht="15.75" customHeight="1">
      <c r="A936" s="72"/>
      <c r="B936" s="72"/>
      <c r="C936" s="72"/>
      <c r="D936" s="72"/>
      <c r="E936" s="72"/>
      <c r="F936" s="72"/>
      <c r="G936" s="72"/>
      <c r="H936" s="72"/>
      <c r="I936" s="72"/>
      <c r="J936" s="72"/>
      <c r="K936" s="73"/>
      <c r="L936" s="74"/>
      <c r="M936" s="72"/>
      <c r="N936" s="72"/>
      <c r="O936" s="72"/>
      <c r="P936" s="72"/>
      <c r="Q936" s="72"/>
      <c r="R936" s="72"/>
      <c r="S936" s="72"/>
      <c r="T936" s="72"/>
      <c r="U936" s="72"/>
      <c r="V936" s="72"/>
      <c r="W936" s="72"/>
      <c r="X936" s="72"/>
      <c r="Y936" s="72"/>
      <c r="Z936" s="72"/>
    </row>
    <row r="937" spans="1:26" ht="15.75" customHeight="1">
      <c r="A937" s="72"/>
      <c r="B937" s="72"/>
      <c r="C937" s="72"/>
      <c r="D937" s="72"/>
      <c r="E937" s="72"/>
      <c r="F937" s="72"/>
      <c r="G937" s="72"/>
      <c r="H937" s="72"/>
      <c r="I937" s="72"/>
      <c r="J937" s="72"/>
      <c r="K937" s="73"/>
      <c r="L937" s="74"/>
      <c r="M937" s="72"/>
      <c r="N937" s="72"/>
      <c r="O937" s="72"/>
      <c r="P937" s="72"/>
      <c r="Q937" s="72"/>
      <c r="R937" s="72"/>
      <c r="S937" s="72"/>
      <c r="T937" s="72"/>
      <c r="U937" s="72"/>
      <c r="V937" s="72"/>
      <c r="W937" s="72"/>
      <c r="X937" s="72"/>
      <c r="Y937" s="72"/>
      <c r="Z937" s="72"/>
    </row>
    <row r="938" spans="1:26" ht="15.75" customHeight="1">
      <c r="A938" s="72"/>
      <c r="B938" s="72"/>
      <c r="C938" s="72"/>
      <c r="D938" s="72"/>
      <c r="E938" s="72"/>
      <c r="F938" s="72"/>
      <c r="G938" s="72"/>
      <c r="H938" s="72"/>
      <c r="I938" s="72"/>
      <c r="J938" s="72"/>
      <c r="K938" s="73"/>
      <c r="L938" s="74"/>
      <c r="M938" s="72"/>
      <c r="N938" s="72"/>
      <c r="O938" s="72"/>
      <c r="P938" s="72"/>
      <c r="Q938" s="72"/>
      <c r="R938" s="72"/>
      <c r="S938" s="72"/>
      <c r="T938" s="72"/>
      <c r="U938" s="72"/>
      <c r="V938" s="72"/>
      <c r="W938" s="72"/>
      <c r="X938" s="72"/>
      <c r="Y938" s="72"/>
      <c r="Z938" s="72"/>
    </row>
    <row r="939" spans="1:26" ht="15.75" customHeight="1">
      <c r="A939" s="72"/>
      <c r="B939" s="72"/>
      <c r="C939" s="72"/>
      <c r="D939" s="72"/>
      <c r="E939" s="72"/>
      <c r="F939" s="72"/>
      <c r="G939" s="72"/>
      <c r="H939" s="72"/>
      <c r="I939" s="72"/>
      <c r="J939" s="72"/>
      <c r="K939" s="73"/>
      <c r="L939" s="74"/>
      <c r="M939" s="72"/>
      <c r="N939" s="72"/>
      <c r="O939" s="72"/>
      <c r="P939" s="72"/>
      <c r="Q939" s="72"/>
      <c r="R939" s="72"/>
      <c r="S939" s="72"/>
      <c r="T939" s="72"/>
      <c r="U939" s="72"/>
      <c r="V939" s="72"/>
      <c r="W939" s="72"/>
      <c r="X939" s="72"/>
      <c r="Y939" s="72"/>
      <c r="Z939" s="72"/>
    </row>
    <row r="940" spans="1:26" ht="15.75" customHeight="1">
      <c r="A940" s="72"/>
      <c r="B940" s="72"/>
      <c r="C940" s="72"/>
      <c r="D940" s="72"/>
      <c r="E940" s="72"/>
      <c r="F940" s="72"/>
      <c r="G940" s="72"/>
      <c r="H940" s="72"/>
      <c r="I940" s="72"/>
      <c r="J940" s="72"/>
      <c r="K940" s="73"/>
      <c r="L940" s="74"/>
      <c r="M940" s="72"/>
      <c r="N940" s="72"/>
      <c r="O940" s="72"/>
      <c r="P940" s="72"/>
      <c r="Q940" s="72"/>
      <c r="R940" s="72"/>
      <c r="S940" s="72"/>
      <c r="T940" s="72"/>
      <c r="U940" s="72"/>
      <c r="V940" s="72"/>
      <c r="W940" s="72"/>
      <c r="X940" s="72"/>
      <c r="Y940" s="72"/>
      <c r="Z940" s="72"/>
    </row>
    <row r="941" spans="1:26" ht="15.75" customHeight="1">
      <c r="A941" s="72"/>
      <c r="B941" s="72"/>
      <c r="C941" s="72"/>
      <c r="D941" s="72"/>
      <c r="E941" s="72"/>
      <c r="F941" s="72"/>
      <c r="G941" s="72"/>
      <c r="H941" s="72"/>
      <c r="I941" s="72"/>
      <c r="J941" s="72"/>
      <c r="K941" s="73"/>
      <c r="L941" s="74"/>
      <c r="M941" s="72"/>
      <c r="N941" s="72"/>
      <c r="O941" s="72"/>
      <c r="P941" s="72"/>
      <c r="Q941" s="72"/>
      <c r="R941" s="72"/>
      <c r="S941" s="72"/>
      <c r="T941" s="72"/>
      <c r="U941" s="72"/>
      <c r="V941" s="72"/>
      <c r="W941" s="72"/>
      <c r="X941" s="72"/>
      <c r="Y941" s="72"/>
      <c r="Z941" s="72"/>
    </row>
    <row r="942" spans="1:26" ht="15.75" customHeight="1">
      <c r="A942" s="72"/>
      <c r="B942" s="72"/>
      <c r="C942" s="72"/>
      <c r="D942" s="72"/>
      <c r="E942" s="72"/>
      <c r="F942" s="72"/>
      <c r="G942" s="72"/>
      <c r="H942" s="72"/>
      <c r="I942" s="72"/>
      <c r="J942" s="72"/>
      <c r="K942" s="73"/>
      <c r="L942" s="74"/>
      <c r="M942" s="72"/>
      <c r="N942" s="72"/>
      <c r="O942" s="72"/>
      <c r="P942" s="72"/>
      <c r="Q942" s="72"/>
      <c r="R942" s="72"/>
      <c r="S942" s="72"/>
      <c r="T942" s="72"/>
      <c r="U942" s="72"/>
      <c r="V942" s="72"/>
      <c r="W942" s="72"/>
      <c r="X942" s="72"/>
      <c r="Y942" s="72"/>
      <c r="Z942" s="72"/>
    </row>
    <row r="943" spans="1:26" ht="15.75" customHeight="1">
      <c r="A943" s="72"/>
      <c r="B943" s="72"/>
      <c r="C943" s="72"/>
      <c r="D943" s="72"/>
      <c r="E943" s="72"/>
      <c r="F943" s="72"/>
      <c r="G943" s="72"/>
      <c r="H943" s="72"/>
      <c r="I943" s="72"/>
      <c r="J943" s="72"/>
      <c r="K943" s="73"/>
      <c r="L943" s="74"/>
      <c r="M943" s="72"/>
      <c r="N943" s="72"/>
      <c r="O943" s="72"/>
      <c r="P943" s="72"/>
      <c r="Q943" s="72"/>
      <c r="R943" s="72"/>
      <c r="S943" s="72"/>
      <c r="T943" s="72"/>
      <c r="U943" s="72"/>
      <c r="V943" s="72"/>
      <c r="W943" s="72"/>
      <c r="X943" s="72"/>
      <c r="Y943" s="72"/>
      <c r="Z943" s="72"/>
    </row>
    <row r="944" spans="1:26" ht="15.75" customHeight="1">
      <c r="A944" s="72"/>
      <c r="B944" s="72"/>
      <c r="C944" s="72"/>
      <c r="D944" s="72"/>
      <c r="E944" s="72"/>
      <c r="F944" s="72"/>
      <c r="G944" s="72"/>
      <c r="H944" s="72"/>
      <c r="I944" s="72"/>
      <c r="J944" s="72"/>
      <c r="K944" s="73"/>
      <c r="L944" s="74"/>
      <c r="M944" s="72"/>
      <c r="N944" s="72"/>
      <c r="O944" s="72"/>
      <c r="P944" s="72"/>
      <c r="Q944" s="72"/>
      <c r="R944" s="72"/>
      <c r="S944" s="72"/>
      <c r="T944" s="72"/>
      <c r="U944" s="72"/>
      <c r="V944" s="72"/>
      <c r="W944" s="72"/>
      <c r="X944" s="72"/>
      <c r="Y944" s="72"/>
      <c r="Z944" s="72"/>
    </row>
    <row r="945" spans="1:26" ht="15.75" customHeight="1">
      <c r="A945" s="72"/>
      <c r="B945" s="72"/>
      <c r="C945" s="72"/>
      <c r="D945" s="72"/>
      <c r="E945" s="72"/>
      <c r="F945" s="72"/>
      <c r="G945" s="72"/>
      <c r="H945" s="72"/>
      <c r="I945" s="72"/>
      <c r="J945" s="72"/>
      <c r="K945" s="73"/>
      <c r="L945" s="74"/>
      <c r="M945" s="72"/>
      <c r="N945" s="72"/>
      <c r="O945" s="72"/>
      <c r="P945" s="72"/>
      <c r="Q945" s="72"/>
      <c r="R945" s="72"/>
      <c r="S945" s="72"/>
      <c r="T945" s="72"/>
      <c r="U945" s="72"/>
      <c r="V945" s="72"/>
      <c r="W945" s="72"/>
      <c r="X945" s="72"/>
      <c r="Y945" s="72"/>
      <c r="Z945" s="72"/>
    </row>
    <row r="946" spans="1:26" ht="15.75" customHeight="1">
      <c r="A946" s="72"/>
      <c r="B946" s="72"/>
      <c r="C946" s="72"/>
      <c r="D946" s="72"/>
      <c r="E946" s="72"/>
      <c r="F946" s="72"/>
      <c r="G946" s="72"/>
      <c r="H946" s="72"/>
      <c r="I946" s="72"/>
      <c r="J946" s="72"/>
      <c r="K946" s="73"/>
      <c r="L946" s="74"/>
      <c r="M946" s="72"/>
      <c r="N946" s="72"/>
      <c r="O946" s="72"/>
      <c r="P946" s="72"/>
      <c r="Q946" s="72"/>
      <c r="R946" s="72"/>
      <c r="S946" s="72"/>
      <c r="T946" s="72"/>
      <c r="U946" s="72"/>
      <c r="V946" s="72"/>
      <c r="W946" s="72"/>
      <c r="X946" s="72"/>
      <c r="Y946" s="72"/>
      <c r="Z946" s="72"/>
    </row>
    <row r="947" spans="1:26" ht="15.75" customHeight="1">
      <c r="A947" s="72"/>
      <c r="B947" s="72"/>
      <c r="C947" s="72"/>
      <c r="D947" s="72"/>
      <c r="E947" s="72"/>
      <c r="F947" s="72"/>
      <c r="G947" s="72"/>
      <c r="H947" s="72"/>
      <c r="I947" s="72"/>
      <c r="J947" s="72"/>
      <c r="K947" s="73"/>
      <c r="L947" s="74"/>
      <c r="M947" s="72"/>
      <c r="N947" s="72"/>
      <c r="O947" s="72"/>
      <c r="P947" s="72"/>
      <c r="Q947" s="72"/>
      <c r="R947" s="72"/>
      <c r="S947" s="72"/>
      <c r="T947" s="72"/>
      <c r="U947" s="72"/>
      <c r="V947" s="72"/>
      <c r="W947" s="72"/>
      <c r="X947" s="72"/>
      <c r="Y947" s="72"/>
      <c r="Z947" s="72"/>
    </row>
    <row r="948" spans="1:26" ht="15.75" customHeight="1">
      <c r="A948" s="72"/>
      <c r="B948" s="72"/>
      <c r="C948" s="72"/>
      <c r="D948" s="72"/>
      <c r="E948" s="72"/>
      <c r="F948" s="72"/>
      <c r="G948" s="72"/>
      <c r="H948" s="72"/>
      <c r="I948" s="72"/>
      <c r="J948" s="72"/>
      <c r="K948" s="73"/>
      <c r="L948" s="74"/>
      <c r="M948" s="72"/>
      <c r="N948" s="72"/>
      <c r="O948" s="72"/>
      <c r="P948" s="72"/>
      <c r="Q948" s="72"/>
      <c r="R948" s="72"/>
      <c r="S948" s="72"/>
      <c r="T948" s="72"/>
      <c r="U948" s="72"/>
      <c r="V948" s="72"/>
      <c r="W948" s="72"/>
      <c r="X948" s="72"/>
      <c r="Y948" s="72"/>
      <c r="Z948" s="72"/>
    </row>
    <row r="949" spans="1:26" ht="15.75" customHeight="1">
      <c r="A949" s="72"/>
      <c r="B949" s="72"/>
      <c r="C949" s="72"/>
      <c r="D949" s="72"/>
      <c r="E949" s="72"/>
      <c r="F949" s="72"/>
      <c r="G949" s="72"/>
      <c r="H949" s="72"/>
      <c r="I949" s="72"/>
      <c r="J949" s="72"/>
      <c r="K949" s="73"/>
      <c r="L949" s="74"/>
      <c r="M949" s="72"/>
      <c r="N949" s="72"/>
      <c r="O949" s="72"/>
      <c r="P949" s="72"/>
      <c r="Q949" s="72"/>
      <c r="R949" s="72"/>
      <c r="S949" s="72"/>
      <c r="T949" s="72"/>
      <c r="U949" s="72"/>
      <c r="V949" s="72"/>
      <c r="W949" s="72"/>
      <c r="X949" s="72"/>
      <c r="Y949" s="72"/>
      <c r="Z949" s="72"/>
    </row>
    <row r="950" spans="1:26" ht="15.75" customHeight="1">
      <c r="A950" s="72"/>
      <c r="B950" s="72"/>
      <c r="C950" s="72"/>
      <c r="D950" s="72"/>
      <c r="E950" s="72"/>
      <c r="F950" s="72"/>
      <c r="G950" s="72"/>
      <c r="H950" s="72"/>
      <c r="I950" s="72"/>
      <c r="J950" s="72"/>
      <c r="K950" s="73"/>
      <c r="L950" s="74"/>
      <c r="M950" s="72"/>
      <c r="N950" s="72"/>
      <c r="O950" s="72"/>
      <c r="P950" s="72"/>
      <c r="Q950" s="72"/>
      <c r="R950" s="72"/>
      <c r="S950" s="72"/>
      <c r="T950" s="72"/>
      <c r="U950" s="72"/>
      <c r="V950" s="72"/>
      <c r="W950" s="72"/>
      <c r="X950" s="72"/>
      <c r="Y950" s="72"/>
      <c r="Z950" s="72"/>
    </row>
    <row r="951" spans="1:26" ht="15.75" customHeight="1">
      <c r="A951" s="72"/>
      <c r="B951" s="72"/>
      <c r="C951" s="72"/>
      <c r="D951" s="72"/>
      <c r="E951" s="72"/>
      <c r="F951" s="72"/>
      <c r="G951" s="72"/>
      <c r="H951" s="72"/>
      <c r="I951" s="72"/>
      <c r="J951" s="72"/>
      <c r="K951" s="73"/>
      <c r="L951" s="74"/>
      <c r="M951" s="72"/>
      <c r="N951" s="72"/>
      <c r="O951" s="72"/>
      <c r="P951" s="72"/>
      <c r="Q951" s="72"/>
      <c r="R951" s="72"/>
      <c r="S951" s="72"/>
      <c r="T951" s="72"/>
      <c r="U951" s="72"/>
      <c r="V951" s="72"/>
      <c r="W951" s="72"/>
      <c r="X951" s="72"/>
      <c r="Y951" s="72"/>
      <c r="Z951" s="72"/>
    </row>
    <row r="952" spans="1:26" ht="15.75" customHeight="1">
      <c r="A952" s="72"/>
      <c r="B952" s="72"/>
      <c r="C952" s="72"/>
      <c r="D952" s="72"/>
      <c r="E952" s="72"/>
      <c r="F952" s="72"/>
      <c r="G952" s="72"/>
      <c r="H952" s="72"/>
      <c r="I952" s="72"/>
      <c r="J952" s="72"/>
      <c r="K952" s="73"/>
      <c r="L952" s="74"/>
      <c r="M952" s="72"/>
      <c r="N952" s="72"/>
      <c r="O952" s="72"/>
      <c r="P952" s="72"/>
      <c r="Q952" s="72"/>
      <c r="R952" s="72"/>
      <c r="S952" s="72"/>
      <c r="T952" s="72"/>
      <c r="U952" s="72"/>
      <c r="V952" s="72"/>
      <c r="W952" s="72"/>
      <c r="X952" s="72"/>
      <c r="Y952" s="72"/>
      <c r="Z952" s="72"/>
    </row>
    <row r="953" spans="1:26" ht="15.75" customHeight="1">
      <c r="A953" s="72"/>
      <c r="B953" s="72"/>
      <c r="C953" s="72"/>
      <c r="D953" s="72"/>
      <c r="E953" s="72"/>
      <c r="F953" s="72"/>
      <c r="G953" s="72"/>
      <c r="H953" s="72"/>
      <c r="I953" s="72"/>
      <c r="J953" s="72"/>
      <c r="K953" s="73"/>
      <c r="L953" s="74"/>
      <c r="M953" s="72"/>
      <c r="N953" s="72"/>
      <c r="O953" s="72"/>
      <c r="P953" s="72"/>
      <c r="Q953" s="72"/>
      <c r="R953" s="72"/>
      <c r="S953" s="72"/>
      <c r="T953" s="72"/>
      <c r="U953" s="72"/>
      <c r="V953" s="72"/>
      <c r="W953" s="72"/>
      <c r="X953" s="72"/>
      <c r="Y953" s="72"/>
      <c r="Z953" s="72"/>
    </row>
    <row r="954" spans="1:26" ht="15.75" customHeight="1">
      <c r="A954" s="72"/>
      <c r="B954" s="72"/>
      <c r="C954" s="72"/>
      <c r="D954" s="72"/>
      <c r="E954" s="72"/>
      <c r="F954" s="72"/>
      <c r="G954" s="72"/>
      <c r="H954" s="72"/>
      <c r="I954" s="72"/>
      <c r="J954" s="72"/>
      <c r="K954" s="73"/>
      <c r="L954" s="74"/>
      <c r="M954" s="72"/>
      <c r="N954" s="72"/>
      <c r="O954" s="72"/>
      <c r="P954" s="72"/>
      <c r="Q954" s="72"/>
      <c r="R954" s="72"/>
      <c r="S954" s="72"/>
      <c r="T954" s="72"/>
      <c r="U954" s="72"/>
      <c r="V954" s="72"/>
      <c r="W954" s="72"/>
      <c r="X954" s="72"/>
      <c r="Y954" s="72"/>
      <c r="Z954" s="72"/>
    </row>
    <row r="955" spans="1:26" ht="15.75" customHeight="1">
      <c r="A955" s="72"/>
      <c r="B955" s="72"/>
      <c r="C955" s="72"/>
      <c r="D955" s="72"/>
      <c r="E955" s="72"/>
      <c r="F955" s="72"/>
      <c r="G955" s="72"/>
      <c r="H955" s="72"/>
      <c r="I955" s="72"/>
      <c r="J955" s="72"/>
      <c r="K955" s="73"/>
      <c r="L955" s="74"/>
      <c r="M955" s="72"/>
      <c r="N955" s="72"/>
      <c r="O955" s="72"/>
      <c r="P955" s="72"/>
      <c r="Q955" s="72"/>
      <c r="R955" s="72"/>
      <c r="S955" s="72"/>
      <c r="T955" s="72"/>
      <c r="U955" s="72"/>
      <c r="V955" s="72"/>
      <c r="W955" s="72"/>
      <c r="X955" s="72"/>
      <c r="Y955" s="72"/>
      <c r="Z955" s="72"/>
    </row>
    <row r="956" spans="1:26" ht="15.75" customHeight="1">
      <c r="A956" s="72"/>
      <c r="B956" s="72"/>
      <c r="C956" s="72"/>
      <c r="D956" s="72"/>
      <c r="E956" s="72"/>
      <c r="F956" s="72"/>
      <c r="G956" s="72"/>
      <c r="H956" s="72"/>
      <c r="I956" s="72"/>
      <c r="J956" s="72"/>
      <c r="K956" s="73"/>
      <c r="L956" s="74"/>
      <c r="M956" s="72"/>
      <c r="N956" s="72"/>
      <c r="O956" s="72"/>
      <c r="P956" s="72"/>
      <c r="Q956" s="72"/>
      <c r="R956" s="72"/>
      <c r="S956" s="72"/>
      <c r="T956" s="72"/>
      <c r="U956" s="72"/>
      <c r="V956" s="72"/>
      <c r="W956" s="72"/>
      <c r="X956" s="72"/>
      <c r="Y956" s="72"/>
      <c r="Z956" s="72"/>
    </row>
    <row r="957" spans="1:26" ht="15.75" customHeight="1">
      <c r="A957" s="72"/>
      <c r="B957" s="72"/>
      <c r="C957" s="72"/>
      <c r="D957" s="72"/>
      <c r="E957" s="72"/>
      <c r="F957" s="72"/>
      <c r="G957" s="72"/>
      <c r="H957" s="72"/>
      <c r="I957" s="72"/>
      <c r="J957" s="72"/>
      <c r="K957" s="73"/>
      <c r="L957" s="74"/>
      <c r="M957" s="72"/>
      <c r="N957" s="72"/>
      <c r="O957" s="72"/>
      <c r="P957" s="72"/>
      <c r="Q957" s="72"/>
      <c r="R957" s="72"/>
      <c r="S957" s="72"/>
      <c r="T957" s="72"/>
      <c r="U957" s="72"/>
      <c r="V957" s="72"/>
      <c r="W957" s="72"/>
      <c r="X957" s="72"/>
      <c r="Y957" s="72"/>
      <c r="Z957" s="72"/>
    </row>
    <row r="958" spans="1:26" ht="15.75" customHeight="1">
      <c r="A958" s="72"/>
      <c r="B958" s="72"/>
      <c r="C958" s="72"/>
      <c r="D958" s="72"/>
      <c r="E958" s="72"/>
      <c r="F958" s="72"/>
      <c r="G958" s="72"/>
      <c r="H958" s="72"/>
      <c r="I958" s="72"/>
      <c r="J958" s="72"/>
      <c r="K958" s="73"/>
      <c r="L958" s="74"/>
      <c r="M958" s="72"/>
      <c r="N958" s="72"/>
      <c r="O958" s="72"/>
      <c r="P958" s="72"/>
      <c r="Q958" s="72"/>
      <c r="R958" s="72"/>
      <c r="S958" s="72"/>
      <c r="T958" s="72"/>
      <c r="U958" s="72"/>
      <c r="V958" s="72"/>
      <c r="W958" s="72"/>
      <c r="X958" s="72"/>
      <c r="Y958" s="72"/>
      <c r="Z958" s="72"/>
    </row>
    <row r="959" spans="1:26" ht="15.75" customHeight="1">
      <c r="A959" s="72"/>
      <c r="B959" s="72"/>
      <c r="C959" s="72"/>
      <c r="D959" s="72"/>
      <c r="E959" s="72"/>
      <c r="F959" s="72"/>
      <c r="G959" s="72"/>
      <c r="H959" s="72"/>
      <c r="I959" s="72"/>
      <c r="J959" s="72"/>
      <c r="K959" s="73"/>
      <c r="L959" s="74"/>
      <c r="M959" s="72"/>
      <c r="N959" s="72"/>
      <c r="O959" s="72"/>
      <c r="P959" s="72"/>
      <c r="Q959" s="72"/>
      <c r="R959" s="72"/>
      <c r="S959" s="72"/>
      <c r="T959" s="72"/>
      <c r="U959" s="72"/>
      <c r="V959" s="72"/>
      <c r="W959" s="72"/>
      <c r="X959" s="72"/>
      <c r="Y959" s="72"/>
      <c r="Z959" s="72"/>
    </row>
    <row r="960" spans="1:26" ht="15.75" customHeight="1">
      <c r="A960" s="72"/>
      <c r="B960" s="72"/>
      <c r="C960" s="72"/>
      <c r="D960" s="72"/>
      <c r="E960" s="72"/>
      <c r="F960" s="72"/>
      <c r="G960" s="72"/>
      <c r="H960" s="72"/>
      <c r="I960" s="72"/>
      <c r="J960" s="72"/>
      <c r="K960" s="73"/>
      <c r="L960" s="74"/>
      <c r="M960" s="72"/>
      <c r="N960" s="72"/>
      <c r="O960" s="72"/>
      <c r="P960" s="72"/>
      <c r="Q960" s="72"/>
      <c r="R960" s="72"/>
      <c r="S960" s="72"/>
      <c r="T960" s="72"/>
      <c r="U960" s="72"/>
      <c r="V960" s="72"/>
      <c r="W960" s="72"/>
      <c r="X960" s="72"/>
      <c r="Y960" s="72"/>
      <c r="Z960" s="72"/>
    </row>
    <row r="961" spans="1:26" ht="15.75" customHeight="1">
      <c r="A961" s="72"/>
      <c r="B961" s="72"/>
      <c r="C961" s="72"/>
      <c r="D961" s="72"/>
      <c r="E961" s="72"/>
      <c r="F961" s="72"/>
      <c r="G961" s="72"/>
      <c r="H961" s="72"/>
      <c r="I961" s="72"/>
      <c r="J961" s="72"/>
      <c r="K961" s="73"/>
      <c r="L961" s="74"/>
      <c r="M961" s="72"/>
      <c r="N961" s="72"/>
      <c r="O961" s="72"/>
      <c r="P961" s="72"/>
      <c r="Q961" s="72"/>
      <c r="R961" s="72"/>
      <c r="S961" s="72"/>
      <c r="T961" s="72"/>
      <c r="U961" s="72"/>
      <c r="V961" s="72"/>
      <c r="W961" s="72"/>
      <c r="X961" s="72"/>
      <c r="Y961" s="72"/>
      <c r="Z961" s="72"/>
    </row>
    <row r="962" spans="1:26" ht="15.75" customHeight="1">
      <c r="A962" s="72"/>
      <c r="B962" s="72"/>
      <c r="C962" s="72"/>
      <c r="D962" s="72"/>
      <c r="E962" s="72"/>
      <c r="F962" s="72"/>
      <c r="G962" s="72"/>
      <c r="H962" s="72"/>
      <c r="I962" s="72"/>
      <c r="J962" s="72"/>
      <c r="K962" s="73"/>
      <c r="L962" s="74"/>
      <c r="M962" s="72"/>
      <c r="N962" s="72"/>
      <c r="O962" s="72"/>
      <c r="P962" s="72"/>
      <c r="Q962" s="72"/>
      <c r="R962" s="72"/>
      <c r="S962" s="72"/>
      <c r="T962" s="72"/>
      <c r="U962" s="72"/>
      <c r="V962" s="72"/>
      <c r="W962" s="72"/>
      <c r="X962" s="72"/>
      <c r="Y962" s="72"/>
      <c r="Z962" s="72"/>
    </row>
    <row r="963" spans="1:26" ht="15.75" customHeight="1">
      <c r="A963" s="72"/>
      <c r="B963" s="72"/>
      <c r="C963" s="72"/>
      <c r="D963" s="72"/>
      <c r="E963" s="72"/>
      <c r="F963" s="72"/>
      <c r="G963" s="72"/>
      <c r="H963" s="72"/>
      <c r="I963" s="72"/>
      <c r="J963" s="72"/>
      <c r="K963" s="73"/>
      <c r="L963" s="74"/>
      <c r="M963" s="72"/>
      <c r="N963" s="72"/>
      <c r="O963" s="72"/>
      <c r="P963" s="72"/>
      <c r="Q963" s="72"/>
      <c r="R963" s="72"/>
      <c r="S963" s="72"/>
      <c r="T963" s="72"/>
      <c r="U963" s="72"/>
      <c r="V963" s="72"/>
      <c r="W963" s="72"/>
      <c r="X963" s="72"/>
      <c r="Y963" s="72"/>
      <c r="Z963" s="72"/>
    </row>
    <row r="964" spans="1:26" ht="15.75" customHeight="1">
      <c r="A964" s="72"/>
      <c r="B964" s="72"/>
      <c r="C964" s="72"/>
      <c r="D964" s="72"/>
      <c r="E964" s="72"/>
      <c r="F964" s="72"/>
      <c r="G964" s="72"/>
      <c r="H964" s="72"/>
      <c r="I964" s="72"/>
      <c r="J964" s="72"/>
      <c r="K964" s="73"/>
      <c r="L964" s="74"/>
      <c r="M964" s="72"/>
      <c r="N964" s="72"/>
      <c r="O964" s="72"/>
      <c r="P964" s="72"/>
      <c r="Q964" s="72"/>
      <c r="R964" s="72"/>
      <c r="S964" s="72"/>
      <c r="T964" s="72"/>
      <c r="U964" s="72"/>
      <c r="V964" s="72"/>
      <c r="W964" s="72"/>
      <c r="X964" s="72"/>
      <c r="Y964" s="72"/>
      <c r="Z964" s="72"/>
    </row>
    <row r="965" spans="1:26" ht="15.75" customHeight="1">
      <c r="A965" s="72"/>
      <c r="B965" s="72"/>
      <c r="C965" s="72"/>
      <c r="D965" s="72"/>
      <c r="E965" s="72"/>
      <c r="F965" s="72"/>
      <c r="G965" s="72"/>
      <c r="H965" s="72"/>
      <c r="I965" s="72"/>
      <c r="J965" s="72"/>
      <c r="K965" s="73"/>
      <c r="L965" s="74"/>
      <c r="M965" s="72"/>
      <c r="N965" s="72"/>
      <c r="O965" s="72"/>
      <c r="P965" s="72"/>
      <c r="Q965" s="72"/>
      <c r="R965" s="72"/>
      <c r="S965" s="72"/>
      <c r="T965" s="72"/>
      <c r="U965" s="72"/>
      <c r="V965" s="72"/>
      <c r="W965" s="72"/>
      <c r="X965" s="72"/>
      <c r="Y965" s="72"/>
      <c r="Z965" s="72"/>
    </row>
    <row r="966" spans="1:26" ht="15.75" customHeight="1">
      <c r="A966" s="72"/>
      <c r="B966" s="72"/>
      <c r="C966" s="72"/>
      <c r="D966" s="72"/>
      <c r="E966" s="72"/>
      <c r="F966" s="72"/>
      <c r="G966" s="72"/>
      <c r="H966" s="72"/>
      <c r="I966" s="72"/>
      <c r="J966" s="72"/>
      <c r="K966" s="73"/>
      <c r="L966" s="74"/>
      <c r="M966" s="72"/>
      <c r="N966" s="72"/>
      <c r="O966" s="72"/>
      <c r="P966" s="72"/>
      <c r="Q966" s="72"/>
      <c r="R966" s="72"/>
      <c r="S966" s="72"/>
      <c r="T966" s="72"/>
      <c r="U966" s="72"/>
      <c r="V966" s="72"/>
      <c r="W966" s="72"/>
      <c r="X966" s="72"/>
      <c r="Y966" s="72"/>
      <c r="Z966" s="72"/>
    </row>
    <row r="967" spans="1:26" ht="15.75" customHeight="1">
      <c r="A967" s="72"/>
      <c r="B967" s="72"/>
      <c r="C967" s="72"/>
      <c r="D967" s="72"/>
      <c r="E967" s="72"/>
      <c r="F967" s="72"/>
      <c r="G967" s="72"/>
      <c r="H967" s="72"/>
      <c r="I967" s="72"/>
      <c r="J967" s="72"/>
      <c r="K967" s="73"/>
      <c r="L967" s="74"/>
      <c r="M967" s="72"/>
      <c r="N967" s="72"/>
      <c r="O967" s="72"/>
      <c r="P967" s="72"/>
      <c r="Q967" s="72"/>
      <c r="R967" s="72"/>
      <c r="S967" s="72"/>
      <c r="T967" s="72"/>
      <c r="U967" s="72"/>
      <c r="V967" s="72"/>
      <c r="W967" s="72"/>
      <c r="X967" s="72"/>
      <c r="Y967" s="72"/>
      <c r="Z967" s="72"/>
    </row>
    <row r="968" spans="1:26" ht="15.75" customHeight="1">
      <c r="A968" s="72"/>
      <c r="B968" s="72"/>
      <c r="C968" s="72"/>
      <c r="D968" s="72"/>
      <c r="E968" s="72"/>
      <c r="F968" s="72"/>
      <c r="G968" s="72"/>
      <c r="H968" s="72"/>
      <c r="I968" s="72"/>
      <c r="J968" s="72"/>
      <c r="K968" s="73"/>
      <c r="L968" s="74"/>
      <c r="M968" s="72"/>
      <c r="N968" s="72"/>
      <c r="O968" s="72"/>
      <c r="P968" s="72"/>
      <c r="Q968" s="72"/>
      <c r="R968" s="72"/>
      <c r="S968" s="72"/>
      <c r="T968" s="72"/>
      <c r="U968" s="72"/>
      <c r="V968" s="72"/>
      <c r="W968" s="72"/>
      <c r="X968" s="72"/>
      <c r="Y968" s="72"/>
      <c r="Z968" s="72"/>
    </row>
    <row r="969" spans="1:26" ht="15.75" customHeight="1">
      <c r="A969" s="72"/>
      <c r="B969" s="72"/>
      <c r="C969" s="72"/>
      <c r="D969" s="72"/>
      <c r="E969" s="72"/>
      <c r="F969" s="72"/>
      <c r="G969" s="72"/>
      <c r="H969" s="72"/>
      <c r="I969" s="72"/>
      <c r="J969" s="72"/>
      <c r="K969" s="73"/>
      <c r="L969" s="74"/>
      <c r="M969" s="72"/>
      <c r="N969" s="72"/>
      <c r="O969" s="72"/>
      <c r="P969" s="72"/>
      <c r="Q969" s="72"/>
      <c r="R969" s="72"/>
      <c r="S969" s="72"/>
      <c r="T969" s="72"/>
      <c r="U969" s="72"/>
      <c r="V969" s="72"/>
      <c r="W969" s="72"/>
      <c r="X969" s="72"/>
      <c r="Y969" s="72"/>
      <c r="Z969" s="72"/>
    </row>
    <row r="970" spans="1:26" ht="15.75" customHeight="1">
      <c r="A970" s="72"/>
      <c r="B970" s="72"/>
      <c r="C970" s="72"/>
      <c r="D970" s="72"/>
      <c r="E970" s="72"/>
      <c r="F970" s="72"/>
      <c r="G970" s="72"/>
      <c r="H970" s="72"/>
      <c r="I970" s="72"/>
      <c r="J970" s="72"/>
      <c r="K970" s="73"/>
      <c r="L970" s="74"/>
      <c r="M970" s="72"/>
      <c r="N970" s="72"/>
      <c r="O970" s="72"/>
      <c r="P970" s="72"/>
      <c r="Q970" s="72"/>
      <c r="R970" s="72"/>
      <c r="S970" s="72"/>
      <c r="T970" s="72"/>
      <c r="U970" s="72"/>
      <c r="V970" s="72"/>
      <c r="W970" s="72"/>
      <c r="X970" s="72"/>
      <c r="Y970" s="72"/>
      <c r="Z970" s="72"/>
    </row>
    <row r="971" spans="1:26" ht="15.75" customHeight="1">
      <c r="A971" s="72"/>
      <c r="B971" s="72"/>
      <c r="C971" s="72"/>
      <c r="D971" s="72"/>
      <c r="E971" s="72"/>
      <c r="F971" s="72"/>
      <c r="G971" s="72"/>
      <c r="H971" s="72"/>
      <c r="I971" s="72"/>
      <c r="J971" s="72"/>
      <c r="K971" s="73"/>
      <c r="L971" s="74"/>
      <c r="M971" s="72"/>
      <c r="N971" s="72"/>
      <c r="O971" s="72"/>
      <c r="P971" s="72"/>
      <c r="Q971" s="72"/>
      <c r="R971" s="72"/>
      <c r="S971" s="72"/>
      <c r="T971" s="72"/>
      <c r="U971" s="72"/>
      <c r="V971" s="72"/>
      <c r="W971" s="72"/>
      <c r="X971" s="72"/>
      <c r="Y971" s="72"/>
      <c r="Z971" s="72"/>
    </row>
    <row r="972" spans="1:26" ht="15.75" customHeight="1">
      <c r="A972" s="72"/>
      <c r="B972" s="72"/>
      <c r="C972" s="72"/>
      <c r="D972" s="72"/>
      <c r="E972" s="72"/>
      <c r="F972" s="72"/>
      <c r="G972" s="72"/>
      <c r="H972" s="72"/>
      <c r="I972" s="72"/>
      <c r="J972" s="72"/>
      <c r="K972" s="73"/>
      <c r="L972" s="74"/>
      <c r="M972" s="72"/>
      <c r="N972" s="72"/>
      <c r="O972" s="72"/>
      <c r="P972" s="72"/>
      <c r="Q972" s="72"/>
      <c r="R972" s="72"/>
      <c r="S972" s="72"/>
      <c r="T972" s="72"/>
      <c r="U972" s="72"/>
      <c r="V972" s="72"/>
      <c r="W972" s="72"/>
      <c r="X972" s="72"/>
      <c r="Y972" s="72"/>
      <c r="Z972" s="72"/>
    </row>
    <row r="973" spans="1:26" ht="15.75" customHeight="1">
      <c r="A973" s="72"/>
      <c r="B973" s="72"/>
      <c r="C973" s="72"/>
      <c r="D973" s="72"/>
      <c r="E973" s="72"/>
      <c r="F973" s="72"/>
      <c r="G973" s="72"/>
      <c r="H973" s="72"/>
      <c r="I973" s="72"/>
      <c r="J973" s="72"/>
      <c r="K973" s="73"/>
      <c r="L973" s="74"/>
      <c r="M973" s="72"/>
      <c r="N973" s="72"/>
      <c r="O973" s="72"/>
      <c r="P973" s="72"/>
      <c r="Q973" s="72"/>
      <c r="R973" s="72"/>
      <c r="S973" s="72"/>
      <c r="T973" s="72"/>
      <c r="U973" s="72"/>
      <c r="V973" s="72"/>
      <c r="W973" s="72"/>
      <c r="X973" s="72"/>
      <c r="Y973" s="72"/>
      <c r="Z973" s="72"/>
    </row>
    <row r="974" spans="1:26" ht="15.75" customHeight="1">
      <c r="A974" s="72"/>
      <c r="B974" s="72"/>
      <c r="C974" s="72"/>
      <c r="D974" s="72"/>
      <c r="E974" s="72"/>
      <c r="F974" s="72"/>
      <c r="G974" s="72"/>
      <c r="H974" s="72"/>
      <c r="I974" s="72"/>
      <c r="J974" s="72"/>
      <c r="K974" s="73"/>
      <c r="L974" s="74"/>
      <c r="M974" s="72"/>
      <c r="N974" s="72"/>
      <c r="O974" s="72"/>
      <c r="P974" s="72"/>
      <c r="Q974" s="72"/>
      <c r="R974" s="72"/>
      <c r="S974" s="72"/>
      <c r="T974" s="72"/>
      <c r="U974" s="72"/>
      <c r="V974" s="72"/>
      <c r="W974" s="72"/>
      <c r="X974" s="72"/>
      <c r="Y974" s="72"/>
      <c r="Z974" s="72"/>
    </row>
    <row r="975" spans="1:26" ht="15.75" customHeight="1">
      <c r="A975" s="72"/>
      <c r="B975" s="72"/>
      <c r="C975" s="72"/>
      <c r="D975" s="72"/>
      <c r="E975" s="72"/>
      <c r="F975" s="72"/>
      <c r="G975" s="72"/>
      <c r="H975" s="72"/>
      <c r="I975" s="72"/>
      <c r="J975" s="72"/>
      <c r="K975" s="73"/>
      <c r="L975" s="74"/>
      <c r="M975" s="72"/>
      <c r="N975" s="72"/>
      <c r="O975" s="72"/>
      <c r="P975" s="72"/>
      <c r="Q975" s="72"/>
      <c r="R975" s="72"/>
      <c r="S975" s="72"/>
      <c r="T975" s="72"/>
      <c r="U975" s="72"/>
      <c r="V975" s="72"/>
      <c r="W975" s="72"/>
      <c r="X975" s="72"/>
      <c r="Y975" s="72"/>
      <c r="Z975" s="72"/>
    </row>
    <row r="976" spans="1:26" ht="15.75" customHeight="1">
      <c r="A976" s="72"/>
      <c r="B976" s="72"/>
      <c r="C976" s="72"/>
      <c r="D976" s="72"/>
      <c r="E976" s="72"/>
      <c r="F976" s="72"/>
      <c r="G976" s="72"/>
      <c r="H976" s="72"/>
      <c r="I976" s="72"/>
      <c r="J976" s="72"/>
      <c r="K976" s="73"/>
      <c r="L976" s="74"/>
      <c r="M976" s="72"/>
      <c r="N976" s="72"/>
      <c r="O976" s="72"/>
      <c r="P976" s="72"/>
      <c r="Q976" s="72"/>
      <c r="R976" s="72"/>
      <c r="S976" s="72"/>
      <c r="T976" s="72"/>
      <c r="U976" s="72"/>
      <c r="V976" s="72"/>
      <c r="W976" s="72"/>
      <c r="X976" s="72"/>
      <c r="Y976" s="72"/>
      <c r="Z976" s="72"/>
    </row>
    <row r="977" spans="1:26" ht="15.75" customHeight="1">
      <c r="A977" s="72"/>
      <c r="B977" s="72"/>
      <c r="C977" s="72"/>
      <c r="D977" s="72"/>
      <c r="E977" s="72"/>
      <c r="F977" s="72"/>
      <c r="G977" s="72"/>
      <c r="H977" s="72"/>
      <c r="I977" s="72"/>
      <c r="J977" s="72"/>
      <c r="K977" s="73"/>
      <c r="L977" s="74"/>
      <c r="M977" s="72"/>
      <c r="N977" s="72"/>
      <c r="O977" s="72"/>
      <c r="P977" s="72"/>
      <c r="Q977" s="72"/>
      <c r="R977" s="72"/>
      <c r="S977" s="72"/>
      <c r="T977" s="72"/>
      <c r="U977" s="72"/>
      <c r="V977" s="72"/>
      <c r="W977" s="72"/>
      <c r="X977" s="72"/>
      <c r="Y977" s="72"/>
      <c r="Z977" s="72"/>
    </row>
    <row r="978" spans="1:26" ht="15.75" customHeight="1">
      <c r="A978" s="72"/>
      <c r="B978" s="72"/>
      <c r="C978" s="72"/>
      <c r="D978" s="72"/>
      <c r="E978" s="72"/>
      <c r="F978" s="72"/>
      <c r="G978" s="72"/>
      <c r="H978" s="72"/>
      <c r="I978" s="72"/>
      <c r="J978" s="72"/>
      <c r="K978" s="73"/>
      <c r="L978" s="74"/>
      <c r="M978" s="72"/>
      <c r="N978" s="72"/>
      <c r="O978" s="72"/>
      <c r="P978" s="72"/>
      <c r="Q978" s="72"/>
      <c r="R978" s="72"/>
      <c r="S978" s="72"/>
      <c r="T978" s="72"/>
      <c r="U978" s="72"/>
      <c r="V978" s="72"/>
      <c r="W978" s="72"/>
      <c r="X978" s="72"/>
      <c r="Y978" s="72"/>
      <c r="Z978" s="72"/>
    </row>
    <row r="979" spans="1:26" ht="15.75" customHeight="1">
      <c r="A979" s="72"/>
      <c r="B979" s="72"/>
      <c r="C979" s="72"/>
      <c r="D979" s="72"/>
      <c r="E979" s="72"/>
      <c r="F979" s="72"/>
      <c r="G979" s="72"/>
      <c r="H979" s="72"/>
      <c r="I979" s="72"/>
      <c r="J979" s="72"/>
      <c r="K979" s="73"/>
      <c r="L979" s="74"/>
      <c r="M979" s="72"/>
      <c r="N979" s="72"/>
      <c r="O979" s="72"/>
      <c r="P979" s="72"/>
      <c r="Q979" s="72"/>
      <c r="R979" s="72"/>
      <c r="S979" s="72"/>
      <c r="T979" s="72"/>
      <c r="U979" s="72"/>
      <c r="V979" s="72"/>
      <c r="W979" s="72"/>
      <c r="X979" s="72"/>
      <c r="Y979" s="72"/>
      <c r="Z979" s="72"/>
    </row>
    <row r="980" spans="1:26" ht="15.75" customHeight="1">
      <c r="A980" s="72"/>
      <c r="B980" s="72"/>
      <c r="C980" s="72"/>
      <c r="D980" s="72"/>
      <c r="E980" s="72"/>
      <c r="F980" s="72"/>
      <c r="G980" s="72"/>
      <c r="H980" s="72"/>
      <c r="I980" s="72"/>
      <c r="J980" s="72"/>
      <c r="K980" s="73"/>
      <c r="L980" s="74"/>
      <c r="M980" s="72"/>
      <c r="N980" s="72"/>
      <c r="O980" s="72"/>
      <c r="P980" s="72"/>
      <c r="Q980" s="72"/>
      <c r="R980" s="72"/>
      <c r="S980" s="72"/>
      <c r="T980" s="72"/>
      <c r="U980" s="72"/>
      <c r="V980" s="72"/>
      <c r="W980" s="72"/>
      <c r="X980" s="72"/>
      <c r="Y980" s="72"/>
      <c r="Z980" s="72"/>
    </row>
    <row r="981" spans="1:26" ht="15.75" customHeight="1">
      <c r="A981" s="72"/>
      <c r="B981" s="72"/>
      <c r="C981" s="72"/>
      <c r="D981" s="72"/>
      <c r="E981" s="72"/>
      <c r="F981" s="72"/>
      <c r="G981" s="72"/>
      <c r="H981" s="72"/>
      <c r="I981" s="72"/>
      <c r="J981" s="72"/>
      <c r="K981" s="73"/>
      <c r="L981" s="74"/>
      <c r="M981" s="72"/>
      <c r="N981" s="72"/>
      <c r="O981" s="72"/>
      <c r="P981" s="72"/>
      <c r="Q981" s="72"/>
      <c r="R981" s="72"/>
      <c r="S981" s="72"/>
      <c r="T981" s="72"/>
      <c r="U981" s="72"/>
      <c r="V981" s="72"/>
      <c r="W981" s="72"/>
      <c r="X981" s="72"/>
      <c r="Y981" s="72"/>
      <c r="Z981" s="72"/>
    </row>
    <row r="982" spans="1:26" ht="15.75" customHeight="1">
      <c r="A982" s="72"/>
      <c r="B982" s="72"/>
      <c r="C982" s="72"/>
      <c r="D982" s="72"/>
      <c r="E982" s="72"/>
      <c r="F982" s="72"/>
      <c r="G982" s="72"/>
      <c r="H982" s="72"/>
      <c r="I982" s="72"/>
      <c r="J982" s="72"/>
      <c r="K982" s="73"/>
      <c r="L982" s="74"/>
      <c r="M982" s="72"/>
      <c r="N982" s="72"/>
      <c r="O982" s="72"/>
      <c r="P982" s="72"/>
      <c r="Q982" s="72"/>
      <c r="R982" s="72"/>
      <c r="S982" s="72"/>
      <c r="T982" s="72"/>
      <c r="U982" s="72"/>
      <c r="V982" s="72"/>
      <c r="W982" s="72"/>
      <c r="X982" s="72"/>
      <c r="Y982" s="72"/>
      <c r="Z982" s="72"/>
    </row>
    <row r="983" spans="1:26" ht="15.75" customHeight="1">
      <c r="A983" s="72"/>
      <c r="B983" s="72"/>
      <c r="C983" s="72"/>
      <c r="D983" s="72"/>
      <c r="E983" s="72"/>
      <c r="F983" s="72"/>
      <c r="G983" s="72"/>
      <c r="H983" s="72"/>
      <c r="I983" s="72"/>
      <c r="J983" s="72"/>
      <c r="K983" s="73"/>
      <c r="L983" s="74"/>
      <c r="M983" s="72"/>
      <c r="N983" s="72"/>
      <c r="O983" s="72"/>
      <c r="P983" s="72"/>
      <c r="Q983" s="72"/>
      <c r="R983" s="72"/>
      <c r="S983" s="72"/>
      <c r="T983" s="72"/>
      <c r="U983" s="72"/>
      <c r="V983" s="72"/>
      <c r="W983" s="72"/>
      <c r="X983" s="72"/>
      <c r="Y983" s="72"/>
      <c r="Z983" s="72"/>
    </row>
    <row r="984" spans="1:26" ht="15.75" customHeight="1">
      <c r="A984" s="72"/>
      <c r="B984" s="72"/>
      <c r="C984" s="72"/>
      <c r="D984" s="72"/>
      <c r="E984" s="72"/>
      <c r="F984" s="72"/>
      <c r="G984" s="72"/>
      <c r="H984" s="72"/>
      <c r="I984" s="72"/>
      <c r="J984" s="72"/>
      <c r="K984" s="73"/>
      <c r="L984" s="74"/>
      <c r="M984" s="72"/>
      <c r="N984" s="72"/>
      <c r="O984" s="72"/>
      <c r="P984" s="72"/>
      <c r="Q984" s="72"/>
      <c r="R984" s="72"/>
      <c r="S984" s="72"/>
      <c r="T984" s="72"/>
      <c r="U984" s="72"/>
      <c r="V984" s="72"/>
      <c r="W984" s="72"/>
      <c r="X984" s="72"/>
      <c r="Y984" s="72"/>
      <c r="Z984" s="72"/>
    </row>
    <row r="985" spans="1:26" ht="15.75" customHeight="1">
      <c r="A985" s="72"/>
      <c r="B985" s="72"/>
      <c r="C985" s="72"/>
      <c r="D985" s="72"/>
      <c r="E985" s="72"/>
      <c r="F985" s="72"/>
      <c r="G985" s="72"/>
      <c r="H985" s="72"/>
      <c r="I985" s="72"/>
      <c r="J985" s="72"/>
      <c r="K985" s="73"/>
      <c r="L985" s="74"/>
      <c r="M985" s="72"/>
      <c r="N985" s="72"/>
      <c r="O985" s="72"/>
      <c r="P985" s="72"/>
      <c r="Q985" s="72"/>
      <c r="R985" s="72"/>
      <c r="S985" s="72"/>
      <c r="T985" s="72"/>
      <c r="U985" s="72"/>
      <c r="V985" s="72"/>
      <c r="W985" s="72"/>
      <c r="X985" s="72"/>
      <c r="Y985" s="72"/>
      <c r="Z985" s="72"/>
    </row>
    <row r="986" spans="1:26" ht="15.75" customHeight="1">
      <c r="A986" s="72"/>
      <c r="B986" s="72"/>
      <c r="C986" s="72"/>
      <c r="D986" s="72"/>
      <c r="E986" s="72"/>
      <c r="F986" s="72"/>
      <c r="G986" s="72"/>
      <c r="H986" s="72"/>
      <c r="I986" s="72"/>
      <c r="J986" s="72"/>
      <c r="K986" s="73"/>
      <c r="L986" s="74"/>
      <c r="M986" s="72"/>
      <c r="N986" s="72"/>
      <c r="O986" s="72"/>
      <c r="P986" s="72"/>
      <c r="Q986" s="72"/>
      <c r="R986" s="72"/>
      <c r="S986" s="72"/>
      <c r="T986" s="72"/>
      <c r="U986" s="72"/>
      <c r="V986" s="72"/>
      <c r="W986" s="72"/>
      <c r="X986" s="72"/>
      <c r="Y986" s="72"/>
      <c r="Z986" s="72"/>
    </row>
    <row r="987" spans="1:26" ht="15.75" customHeight="1">
      <c r="A987" s="72"/>
      <c r="B987" s="72"/>
      <c r="C987" s="72"/>
      <c r="D987" s="72"/>
      <c r="E987" s="72"/>
      <c r="F987" s="72"/>
      <c r="G987" s="72"/>
      <c r="H987" s="72"/>
      <c r="I987" s="72"/>
      <c r="J987" s="72"/>
      <c r="K987" s="73"/>
      <c r="L987" s="74"/>
      <c r="M987" s="72"/>
      <c r="N987" s="72"/>
      <c r="O987" s="72"/>
      <c r="P987" s="72"/>
      <c r="Q987" s="72"/>
      <c r="R987" s="72"/>
      <c r="S987" s="72"/>
      <c r="T987" s="72"/>
      <c r="U987" s="72"/>
      <c r="V987" s="72"/>
      <c r="W987" s="72"/>
      <c r="X987" s="72"/>
      <c r="Y987" s="72"/>
      <c r="Z987" s="72"/>
    </row>
    <row r="988" spans="1:26" ht="15.75" customHeight="1">
      <c r="A988" s="72"/>
      <c r="B988" s="72"/>
      <c r="C988" s="72"/>
      <c r="D988" s="72"/>
      <c r="E988" s="72"/>
      <c r="F988" s="72"/>
      <c r="G988" s="72"/>
      <c r="H988" s="72"/>
      <c r="I988" s="72"/>
      <c r="J988" s="72"/>
      <c r="K988" s="73"/>
      <c r="L988" s="74"/>
      <c r="M988" s="72"/>
      <c r="N988" s="72"/>
      <c r="O988" s="72"/>
      <c r="P988" s="72"/>
      <c r="Q988" s="72"/>
      <c r="R988" s="72"/>
      <c r="S988" s="72"/>
      <c r="T988" s="72"/>
      <c r="U988" s="72"/>
      <c r="V988" s="72"/>
      <c r="W988" s="72"/>
      <c r="X988" s="72"/>
      <c r="Y988" s="72"/>
      <c r="Z988" s="72"/>
    </row>
    <row r="989" spans="1:26" ht="15.75" customHeight="1">
      <c r="A989" s="72"/>
      <c r="B989" s="72"/>
      <c r="C989" s="72"/>
      <c r="D989" s="72"/>
      <c r="E989" s="72"/>
      <c r="F989" s="72"/>
      <c r="G989" s="72"/>
      <c r="H989" s="72"/>
      <c r="I989" s="72"/>
      <c r="J989" s="72"/>
      <c r="K989" s="73"/>
      <c r="L989" s="74"/>
      <c r="M989" s="72"/>
      <c r="N989" s="72"/>
      <c r="O989" s="72"/>
      <c r="P989" s="72"/>
      <c r="Q989" s="72"/>
      <c r="R989" s="72"/>
      <c r="S989" s="72"/>
      <c r="T989" s="72"/>
      <c r="U989" s="72"/>
      <c r="V989" s="72"/>
      <c r="W989" s="72"/>
      <c r="X989" s="72"/>
      <c r="Y989" s="72"/>
      <c r="Z989" s="72"/>
    </row>
    <row r="990" spans="1:26" ht="15.75" customHeight="1">
      <c r="A990" s="72"/>
      <c r="B990" s="72"/>
      <c r="C990" s="72"/>
      <c r="D990" s="72"/>
      <c r="E990" s="72"/>
      <c r="F990" s="72"/>
      <c r="G990" s="72"/>
      <c r="H990" s="72"/>
      <c r="I990" s="72"/>
      <c r="J990" s="72"/>
      <c r="K990" s="73"/>
      <c r="L990" s="74"/>
      <c r="M990" s="72"/>
      <c r="N990" s="72"/>
      <c r="O990" s="72"/>
      <c r="P990" s="72"/>
      <c r="Q990" s="72"/>
      <c r="R990" s="72"/>
      <c r="S990" s="72"/>
      <c r="T990" s="72"/>
      <c r="U990" s="72"/>
      <c r="V990" s="72"/>
      <c r="W990" s="72"/>
      <c r="X990" s="72"/>
      <c r="Y990" s="72"/>
      <c r="Z990" s="72"/>
    </row>
    <row r="991" spans="1:26" ht="15.75" customHeight="1">
      <c r="A991" s="72"/>
      <c r="B991" s="72"/>
      <c r="C991" s="72"/>
      <c r="D991" s="72"/>
      <c r="E991" s="72"/>
      <c r="F991" s="72"/>
      <c r="G991" s="72"/>
      <c r="H991" s="72"/>
      <c r="I991" s="72"/>
      <c r="J991" s="72"/>
      <c r="K991" s="73"/>
      <c r="L991" s="74"/>
      <c r="M991" s="72"/>
      <c r="N991" s="72"/>
      <c r="O991" s="72"/>
      <c r="P991" s="72"/>
      <c r="Q991" s="72"/>
      <c r="R991" s="72"/>
      <c r="S991" s="72"/>
      <c r="T991" s="72"/>
      <c r="U991" s="72"/>
      <c r="V991" s="72"/>
      <c r="W991" s="72"/>
      <c r="X991" s="72"/>
      <c r="Y991" s="72"/>
      <c r="Z991" s="72"/>
    </row>
    <row r="992" spans="1:26" ht="15.75" customHeight="1">
      <c r="A992" s="72"/>
      <c r="B992" s="72"/>
      <c r="C992" s="72"/>
      <c r="D992" s="72"/>
      <c r="E992" s="72"/>
      <c r="F992" s="72"/>
      <c r="G992" s="72"/>
      <c r="H992" s="72"/>
      <c r="I992" s="72"/>
      <c r="J992" s="72"/>
      <c r="K992" s="73"/>
      <c r="L992" s="74"/>
      <c r="M992" s="72"/>
      <c r="N992" s="72"/>
      <c r="O992" s="72"/>
      <c r="P992" s="72"/>
      <c r="Q992" s="72"/>
      <c r="R992" s="72"/>
      <c r="S992" s="72"/>
      <c r="T992" s="72"/>
      <c r="U992" s="72"/>
      <c r="V992" s="72"/>
      <c r="W992" s="72"/>
      <c r="X992" s="72"/>
      <c r="Y992" s="72"/>
      <c r="Z992" s="72"/>
    </row>
    <row r="993" spans="1:26" ht="15.75" customHeight="1">
      <c r="A993" s="72"/>
      <c r="B993" s="72"/>
      <c r="C993" s="72"/>
      <c r="D993" s="72"/>
      <c r="E993" s="72"/>
      <c r="F993" s="72"/>
      <c r="G993" s="72"/>
      <c r="H993" s="72"/>
      <c r="I993" s="72"/>
      <c r="J993" s="72"/>
      <c r="K993" s="73"/>
      <c r="L993" s="74"/>
      <c r="M993" s="72"/>
      <c r="N993" s="72"/>
      <c r="O993" s="72"/>
      <c r="P993" s="72"/>
      <c r="Q993" s="72"/>
      <c r="R993" s="72"/>
      <c r="S993" s="72"/>
      <c r="T993" s="72"/>
      <c r="U993" s="72"/>
      <c r="V993" s="72"/>
      <c r="W993" s="72"/>
      <c r="X993" s="72"/>
      <c r="Y993" s="72"/>
      <c r="Z993" s="72"/>
    </row>
    <row r="994" spans="1:26" ht="15.75" customHeight="1">
      <c r="A994" s="72"/>
      <c r="B994" s="72"/>
      <c r="C994" s="72"/>
      <c r="D994" s="72"/>
      <c r="E994" s="72"/>
      <c r="F994" s="72"/>
      <c r="G994" s="72"/>
      <c r="H994" s="72"/>
      <c r="I994" s="72"/>
      <c r="J994" s="72"/>
      <c r="K994" s="73"/>
      <c r="L994" s="74"/>
      <c r="M994" s="72"/>
      <c r="N994" s="72"/>
      <c r="O994" s="72"/>
      <c r="P994" s="72"/>
      <c r="Q994" s="72"/>
      <c r="R994" s="72"/>
      <c r="S994" s="72"/>
      <c r="T994" s="72"/>
      <c r="U994" s="72"/>
      <c r="V994" s="72"/>
      <c r="W994" s="72"/>
      <c r="X994" s="72"/>
      <c r="Y994" s="72"/>
      <c r="Z994" s="72"/>
    </row>
    <row r="995" spans="1:26" ht="15.75" customHeight="1">
      <c r="A995" s="72"/>
      <c r="B995" s="72"/>
      <c r="C995" s="72"/>
      <c r="D995" s="72"/>
      <c r="E995" s="72"/>
      <c r="F995" s="72"/>
      <c r="G995" s="72"/>
      <c r="H995" s="72"/>
      <c r="I995" s="72"/>
      <c r="J995" s="72"/>
      <c r="K995" s="73"/>
      <c r="L995" s="74"/>
      <c r="M995" s="72"/>
      <c r="N995" s="72"/>
      <c r="O995" s="72"/>
      <c r="P995" s="72"/>
      <c r="Q995" s="72"/>
      <c r="R995" s="72"/>
      <c r="S995" s="72"/>
      <c r="T995" s="72"/>
      <c r="U995" s="72"/>
      <c r="V995" s="72"/>
      <c r="W995" s="72"/>
      <c r="X995" s="72"/>
      <c r="Y995" s="72"/>
      <c r="Z995" s="72"/>
    </row>
    <row r="996" spans="1:26" ht="15.75" customHeight="1">
      <c r="A996" s="72"/>
      <c r="B996" s="72"/>
      <c r="C996" s="72"/>
      <c r="D996" s="72"/>
      <c r="E996" s="72"/>
      <c r="F996" s="72"/>
      <c r="G996" s="72"/>
      <c r="H996" s="72"/>
      <c r="I996" s="72"/>
      <c r="J996" s="72"/>
      <c r="K996" s="73"/>
      <c r="L996" s="74"/>
      <c r="M996" s="72"/>
      <c r="N996" s="72"/>
      <c r="O996" s="72"/>
      <c r="P996" s="72"/>
      <c r="Q996" s="72"/>
      <c r="R996" s="72"/>
      <c r="S996" s="72"/>
      <c r="T996" s="72"/>
      <c r="U996" s="72"/>
      <c r="V996" s="72"/>
      <c r="W996" s="72"/>
      <c r="X996" s="72"/>
      <c r="Y996" s="72"/>
      <c r="Z996" s="72"/>
    </row>
    <row r="997" spans="1:26" ht="15.75" customHeight="1">
      <c r="A997" s="72"/>
      <c r="B997" s="72"/>
      <c r="C997" s="72"/>
      <c r="D997" s="72"/>
      <c r="E997" s="72"/>
      <c r="F997" s="72"/>
      <c r="G997" s="72"/>
      <c r="H997" s="72"/>
      <c r="I997" s="72"/>
      <c r="J997" s="72"/>
      <c r="K997" s="73"/>
      <c r="L997" s="74"/>
      <c r="M997" s="72"/>
      <c r="N997" s="72"/>
      <c r="O997" s="72"/>
      <c r="P997" s="72"/>
      <c r="Q997" s="72"/>
      <c r="R997" s="72"/>
      <c r="S997" s="72"/>
      <c r="T997" s="72"/>
      <c r="U997" s="72"/>
      <c r="V997" s="72"/>
      <c r="W997" s="72"/>
      <c r="X997" s="72"/>
      <c r="Y997" s="72"/>
      <c r="Z997" s="72"/>
    </row>
    <row r="998" spans="1:26" ht="15.75" customHeight="1">
      <c r="A998" s="72"/>
      <c r="B998" s="72"/>
      <c r="C998" s="72"/>
      <c r="D998" s="72"/>
      <c r="E998" s="72"/>
      <c r="F998" s="72"/>
      <c r="G998" s="72"/>
      <c r="H998" s="72"/>
      <c r="I998" s="72"/>
      <c r="J998" s="72"/>
      <c r="K998" s="73"/>
      <c r="L998" s="74"/>
      <c r="M998" s="72"/>
      <c r="N998" s="72"/>
      <c r="O998" s="72"/>
      <c r="P998" s="72"/>
      <c r="Q998" s="72"/>
      <c r="R998" s="72"/>
      <c r="S998" s="72"/>
      <c r="T998" s="72"/>
      <c r="U998" s="72"/>
      <c r="V998" s="72"/>
      <c r="W998" s="72"/>
      <c r="X998" s="72"/>
      <c r="Y998" s="72"/>
      <c r="Z998" s="72"/>
    </row>
    <row r="999" spans="1:26" ht="15.75" customHeight="1">
      <c r="A999" s="72"/>
      <c r="B999" s="72"/>
      <c r="C999" s="72"/>
      <c r="D999" s="72"/>
      <c r="E999" s="72"/>
      <c r="F999" s="72"/>
      <c r="G999" s="72"/>
      <c r="H999" s="72"/>
      <c r="I999" s="72"/>
      <c r="J999" s="72"/>
      <c r="K999" s="73"/>
      <c r="L999" s="74"/>
      <c r="M999" s="72"/>
      <c r="N999" s="72"/>
      <c r="O999" s="72"/>
      <c r="P999" s="72"/>
      <c r="Q999" s="72"/>
      <c r="R999" s="72"/>
      <c r="S999" s="72"/>
      <c r="T999" s="72"/>
      <c r="U999" s="72"/>
      <c r="V999" s="72"/>
      <c r="W999" s="72"/>
      <c r="X999" s="72"/>
      <c r="Y999" s="72"/>
      <c r="Z999" s="72"/>
    </row>
    <row r="1000" spans="1:26" ht="15.75" customHeight="1">
      <c r="A1000" s="72"/>
      <c r="B1000" s="72"/>
      <c r="C1000" s="72"/>
      <c r="D1000" s="72"/>
      <c r="E1000" s="72"/>
      <c r="F1000" s="72"/>
      <c r="G1000" s="72"/>
      <c r="H1000" s="72"/>
      <c r="I1000" s="72"/>
      <c r="J1000" s="72"/>
      <c r="K1000" s="73"/>
      <c r="L1000" s="74"/>
      <c r="M1000" s="72"/>
      <c r="N1000" s="72"/>
      <c r="O1000" s="72"/>
      <c r="P1000" s="72"/>
      <c r="Q1000" s="72"/>
      <c r="R1000" s="72"/>
      <c r="S1000" s="72"/>
      <c r="T1000" s="72"/>
      <c r="U1000" s="72"/>
      <c r="V1000" s="72"/>
      <c r="W1000" s="72"/>
      <c r="X1000" s="72"/>
      <c r="Y1000" s="72"/>
      <c r="Z1000" s="72"/>
    </row>
  </sheetData>
  <autoFilter ref="A1:Z41" xr:uid="{00000000-0009-0000-0000-000000000000}">
    <filterColumn colId="0">
      <colorFilter dxfId="31"/>
    </filterColumn>
  </autoFilter>
  <dataValidations count="1">
    <dataValidation type="list" allowBlank="1" sqref="K2:K38" xr:uid="{A7D48DFD-FB5B-4CAC-A38F-B7F9DE975E69}">
      <formula1>"VoBo,Fuera de alcance,Desestimada,Taggeo por Modyo"</formula1>
    </dataValidation>
  </dataValidation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E19C14E6CE42D4B977263D409F6C8DA" ma:contentTypeVersion="3" ma:contentTypeDescription="Crear nuevo documento." ma:contentTypeScope="" ma:versionID="2f4c844843fc0eaeefe441df60b3155f">
  <xsd:schema xmlns:xsd="http://www.w3.org/2001/XMLSchema" xmlns:xs="http://www.w3.org/2001/XMLSchema" xmlns:p="http://schemas.microsoft.com/office/2006/metadata/properties" xmlns:ns2="2e63f7ca-11da-434c-beda-f4aca14d09b4" targetNamespace="http://schemas.microsoft.com/office/2006/metadata/properties" ma:root="true" ma:fieldsID="060792bb7d35dfa6360dd3fbf1c23d8f" ns2:_="">
    <xsd:import namespace="2e63f7ca-11da-434c-beda-f4aca14d09b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63f7ca-11da-434c-beda-f4aca14d09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8AAC2A7-C944-424D-AB7E-D1A8BA0F647B}">
  <ds:schemaRefs>
    <ds:schemaRef ds:uri="http://schemas.microsoft.com/sharepoint/v3/contenttype/forms"/>
  </ds:schemaRefs>
</ds:datastoreItem>
</file>

<file path=customXml/itemProps2.xml><?xml version="1.0" encoding="utf-8"?>
<ds:datastoreItem xmlns:ds="http://schemas.openxmlformats.org/officeDocument/2006/customXml" ds:itemID="{2468E87C-DF85-4A70-BEF0-3A5C0F3A152D}"/>
</file>

<file path=customXml/itemProps3.xml><?xml version="1.0" encoding="utf-8"?>
<ds:datastoreItem xmlns:ds="http://schemas.openxmlformats.org/officeDocument/2006/customXml" ds:itemID="{A0EC3913-4720-4682-8BBE-C29664D5610D}">
  <ds:schemaRefs>
    <ds:schemaRef ds:uri="bcf21e1d-e7b2-4ba8-bb72-ca5e3ff425f9"/>
    <ds:schemaRef ds:uri="http://purl.org/dc/terms/"/>
    <ds:schemaRef ds:uri="http://purl.org/dc/dcmitype/"/>
    <ds:schemaRef ds:uri="http://schemas.openxmlformats.org/package/2006/metadata/core-properties"/>
    <ds:schemaRef ds:uri="http://www.w3.org/XML/1998/namespace"/>
    <ds:schemaRef ds:uri="http://schemas.microsoft.com/office/infopath/2007/PartnerControls"/>
    <ds:schemaRef ds:uri="http://schemas.microsoft.com/office/2006/metadata/properties"/>
    <ds:schemaRef ds:uri="http://schemas.microsoft.com/office/2006/documentManagement/types"/>
    <ds:schemaRef ds:uri="http://purl.org/dc/elements/1.1/"/>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Definiciones</vt:lpstr>
      <vt:lpstr>Inventario HUs</vt:lpstr>
      <vt:lpstr>Priorización (Claude)</vt:lpstr>
      <vt:lpstr>Diccionario</vt:lpstr>
      <vt:lpstr>Scoring Complejidad</vt:lpstr>
      <vt:lpstr>Funcionalidades_HUs</vt:lpstr>
      <vt:lpstr>Referencia Appwhere--&gt;</vt:lpstr>
      <vt:lpstr>HDUs_SV+Canales</vt:lpstr>
      <vt:lpstr>HDUs_Apolo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Cervantes, Ana</cp:lastModifiedBy>
  <cp:revision>0</cp:revision>
  <dcterms:created xsi:type="dcterms:W3CDTF">2026-07-28T23:12:22Z</dcterms:created>
  <dcterms:modified xsi:type="dcterms:W3CDTF">2026-08-12T15:47:50Z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0x0101003E19C14E6CE42D4B977263D409F6C8DA</vt:lpwstr>
  </property>
</Properties>
</file>