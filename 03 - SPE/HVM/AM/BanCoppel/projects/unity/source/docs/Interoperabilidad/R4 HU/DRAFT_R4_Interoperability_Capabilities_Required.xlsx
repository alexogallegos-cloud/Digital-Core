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ts.accenture.com/sites/BanCoppelPlanDirector/Shared Documents/BanCoppel Plan Director - Fase Remediación/09. Arquitectura/Interoperabilidad/R4 HU/"/>
    </mc:Choice>
  </mc:AlternateContent>
  <xr:revisionPtr revIDLastSave="18" documentId="8_{673D4C54-DC46-474D-A480-0846796CB528}" xr6:coauthVersionLast="47" xr6:coauthVersionMax="47" xr10:uidLastSave="{C52C8543-37E7-47D5-94D1-168827C623E6}"/>
  <bookViews>
    <workbookView xWindow="-120" yWindow="-120" windowWidth="29040" windowHeight="17520" activeTab="1" xr2:uid="{00000000-000D-0000-FFFF-FFFF00000000}"/>
  </bookViews>
  <sheets>
    <sheet name="Summary" sheetId="1" r:id="rId1"/>
    <sheet name="Domain Capability Mapping" sheetId="2" r:id="rId2"/>
    <sheet name="Supporting Kernel" sheetId="3" r:id="rId3"/>
    <sheet name="Domain Family View" sheetId="4" r:id="rId4"/>
    <sheet name="R4 Context Drivers" sheetId="5" r:id="rId5"/>
    <sheet name="Sources &amp; Method" sheetId="6" r:id="rId6"/>
  </sheets>
  <definedNames>
    <definedName name="_xlnm._FilterDatabase" localSheetId="1" hidden="1">'Domain Capability Mapping'!$A$4:$N$125</definedName>
    <definedName name="_xlnm._FilterDatabase" localSheetId="3" hidden="1">'Domain Family View'!$A$4:$I$12</definedName>
    <definedName name="_xlnm._FilterDatabase" localSheetId="4" hidden="1">'R4 Context Drivers'!$A$4:$E$13</definedName>
    <definedName name="_xlnm._FilterDatabase" localSheetId="2" hidden="1">'Supporting Kernel'!$A$4:$N$25</definedName>
  </definedNames>
  <calcPr calcId="191029" forceFullCalc="1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4" l="1"/>
  <c r="H12" i="4"/>
  <c r="G12" i="4"/>
  <c r="F12" i="4"/>
  <c r="I11" i="4"/>
  <c r="H11" i="4"/>
  <c r="G11" i="4"/>
  <c r="F11" i="4"/>
  <c r="I10" i="4"/>
  <c r="H10" i="4"/>
  <c r="G10" i="4"/>
  <c r="F10" i="4"/>
  <c r="I9" i="4"/>
  <c r="H9" i="4"/>
  <c r="G9" i="4"/>
  <c r="F9" i="4"/>
  <c r="I8" i="4"/>
  <c r="H8" i="4"/>
  <c r="G8" i="4"/>
  <c r="F8" i="4"/>
  <c r="I7" i="4"/>
  <c r="H7" i="4"/>
  <c r="G7" i="4"/>
  <c r="F7" i="4"/>
  <c r="I6" i="4"/>
  <c r="H6" i="4"/>
  <c r="G6" i="4"/>
  <c r="F6" i="4"/>
  <c r="I5" i="4"/>
  <c r="H5" i="4"/>
  <c r="G5" i="4"/>
  <c r="F5" i="4"/>
  <c r="B17" i="1"/>
  <c r="B16" i="1"/>
  <c r="B15" i="1"/>
  <c r="B14" i="1"/>
  <c r="B13" i="1"/>
  <c r="B12" i="1"/>
  <c r="B11" i="1"/>
  <c r="B10" i="1"/>
</calcChain>
</file>

<file path=xl/sharedStrings.xml><?xml version="1.0" encoding="utf-8"?>
<sst xmlns="http://schemas.openxmlformats.org/spreadsheetml/2006/main" count="2197" uniqueCount="1135">
  <si>
    <t>R4 Interoperability Capability Baseline</t>
  </si>
  <si>
    <t>Executive summary of required interoperability capabilities for R4 based on user stories and capability hierarchy.</t>
  </si>
  <si>
    <t>Assessment conclusion</t>
  </si>
  <si>
    <t>R4 requires a controlled interoperability layer around SmartVista and Apolo, not just direct channel-to-core APIs. Domain capabilities under 6.0-13.0 are the principal baseline; selected kernel/platform capabilities are needed for production readiness.</t>
  </si>
  <si>
    <t>What "available" means</t>
  </si>
  <si>
    <t>A capability has a governed contract, owner, runtime pattern, security controls, NFRs, traceability, failure handling and operational runbook. It does not necessarily require a new standalone platform before R4.</t>
  </si>
  <si>
    <t>Scope caveat</t>
  </si>
  <si>
    <t>Apolo and SIWEB rows in the consolidated workbook are not fully MoSCoW-scored. They are treated as R4 scope where the workbook includes them as user stories; formal release baseline should still confirm them.</t>
  </si>
  <si>
    <t>Capability mapping counts</t>
  </si>
  <si>
    <t>R4 source summary</t>
  </si>
  <si>
    <t>Domain capability rows</t>
  </si>
  <si>
    <t>R4 user story rows</t>
  </si>
  <si>
    <t>Supporting kernel rows</t>
  </si>
  <si>
    <t>Tracks in inventory</t>
  </si>
  <si>
    <t>Smart Vista: 21, CAT: 12, SIWEB: 5, Apolo: 22, APP: 18</t>
  </si>
  <si>
    <t>Domain P0 rows</t>
  </si>
  <si>
    <t>MoSCoW distribution</t>
  </si>
  <si>
    <t>Must: 30, Should: 12, Wont: 1, Not classified: 35</t>
  </si>
  <si>
    <t>Domain P1 rows</t>
  </si>
  <si>
    <t>Solution / integration distribution</t>
  </si>
  <si>
    <t>Solución: 26, Solución e Integración: 16, Integración: 1, Not classified: 35</t>
  </si>
  <si>
    <t>Domain P2 rows</t>
  </si>
  <si>
    <t>Integration inventory rows</t>
  </si>
  <si>
    <t>Very High confidence rows</t>
  </si>
  <si>
    <t>Integration types</t>
  </si>
  <si>
    <t>Batch: 2, API: 12, Evento: 1</t>
  </si>
  <si>
    <t>High confidence rows</t>
  </si>
  <si>
    <t>Integration status</t>
  </si>
  <si>
    <t>Nueva: 8, Modificar: 7</t>
  </si>
  <si>
    <t>Medium confidence rows</t>
  </si>
  <si>
    <t>Integration frequency</t>
  </si>
  <si>
    <t>Diaria/EOD: 5, Tiempo real: 10</t>
  </si>
  <si>
    <t>Priority / confidence legend</t>
  </si>
  <si>
    <t>P0</t>
  </si>
  <si>
    <t>P0 - Mandatory for R4 go-live / E2E certification</t>
  </si>
  <si>
    <t>P1</t>
  </si>
  <si>
    <t>P1 - Required for controlled R4, but scope/design confirmation needed</t>
  </si>
  <si>
    <t>P2</t>
  </si>
  <si>
    <t>P2 - Evaluate for R4.5 / not a strict R4 blocker</t>
  </si>
  <si>
    <t>Very High</t>
  </si>
  <si>
    <t>Very High - directly evidenced by R4 HUs and/or integration inventory</t>
  </si>
  <si>
    <t>High</t>
  </si>
  <si>
    <t>High - directly required by R4 behaviour, even if not always explicit as a capability</t>
  </si>
  <si>
    <t>Medium</t>
  </si>
  <si>
    <t>Medium - dependent on Should/unprioritized scope, release split or design choice</t>
  </si>
  <si>
    <t>Low</t>
  </si>
  <si>
    <t>Low - future-looking or optional relative to strict R4 baseline</t>
  </si>
  <si>
    <t>Track</t>
  </si>
  <si>
    <t>HU rows</t>
  </si>
  <si>
    <t>Smart Vista</t>
  </si>
  <si>
    <t>CAT</t>
  </si>
  <si>
    <t>SIWEB</t>
  </si>
  <si>
    <t>Apolo</t>
  </si>
  <si>
    <t>APP</t>
  </si>
  <si>
    <t>R4 Required Interoperability Capabilities - Domain Capability Mapping</t>
  </si>
  <si>
    <t>Capabilities from the interoperability hierarchy that need to be available or evaluated for R4, derived from R4 user stories and the integration inventory.</t>
  </si>
  <si>
    <t>Interoperability capability required</t>
  </si>
  <si>
    <t>R4 context it is needed for</t>
  </si>
  <si>
    <t>Purpose and benefit from R4 perspective</t>
  </si>
  <si>
    <t>Priority from R4 perspective</t>
  </si>
  <si>
    <t>Level of confidence that this capability is required</t>
  </si>
  <si>
    <t>Capability ID</t>
  </si>
  <si>
    <t>Hierarchy level</t>
  </si>
  <si>
    <t>Capability family</t>
  </si>
  <si>
    <t>Kernel or Domain</t>
  </si>
  <si>
    <t>Source HU examples</t>
  </si>
  <si>
    <t>Integration examples / source evidence</t>
  </si>
  <si>
    <t>Hierarchy description</t>
  </si>
  <si>
    <t>BanCoppel solutions / candidates in hierarchy</t>
  </si>
  <si>
    <t>Key availability or design gap to verify for R4</t>
  </si>
  <si>
    <t>8.1 Service Orchestrator</t>
  </si>
  <si>
    <t>Cross-channel R4 journeys spanning Apolo, SmartVista, APP, CAT/IVR/ICCAT, SIWEB, OnBase, payment channels, accounting and legacy systems. Primary focus: Apolo formalization, SmartVista servicing, CAT/APP/SIWEB operations.</t>
  </si>
  <si>
    <t>Coordinates multi-step business services so channels call stable business operations instead of coupling directly to backend steps.</t>
  </si>
  <si>
    <t>8.1</t>
  </si>
  <si>
    <t>L1</t>
  </si>
  <si>
    <t>8.0 Service Orchestration</t>
  </si>
  <si>
    <t>Domain Capability</t>
  </si>
  <si>
    <t>Multiple HUs across Apolo, SmartVista, APP, CAT and SIWEB</t>
  </si>
  <si>
    <t>ISV01-07; ICAT01-07; IAPP01 plus implied Apolo/payment/accounting interfaces</t>
  </si>
  <si>
    <t>The engine that decomposes a complex service into an ordered or parallel set of fine-grained service invocations and manages their execution, results and exceptions.</t>
  </si>
  <si>
    <t>MuleSoft orchestration; Software AG WebMethods BPM/BRM; Apigee invocation management; Modyo Connect state-machine style flow orchestration; DataDog diagnostics.</t>
  </si>
  <si>
    <t>Confirm one approved orchestration owner and pattern per E2E journey.</t>
  </si>
  <si>
    <t>8.1.1 Service Composition &amp; Sequencing</t>
  </si>
  <si>
    <t>Apolo onboarding for TDC 4900: rate/CAT offer, PLD/PEP/name matching, vulnerable-person declaration, OTP/SMS, electronic signature, credit creation in SmartVista, OnBase expediente and welcome kit. Also deferred-purchase and card-status journeys.</t>
  </si>
  <si>
    <t>Sequences credit creation, document storage, notifications and downstream updates; reduces partial-completion risk.</t>
  </si>
  <si>
    <t>8.1.1</t>
  </si>
  <si>
    <t>L2</t>
  </si>
  <si>
    <t>HDU-TDC-R4-01,03-08,10,13,14,16-21,23-27,34</t>
  </si>
  <si>
    <t>Apolo-&gt;SmartVista, Apolo-&gt;OnBase, signature, OTP/SMS, email and PLD/name-matching integrations implied by HUs; not fully present in integration inventory</t>
  </si>
  <si>
    <t>Definition and execution of composite services from fine-grained steps, with declarative or visual configuration.</t>
  </si>
  <si>
    <t>Document the sequence, compensation points and error states.</t>
  </si>
  <si>
    <t>8.1.2 Parallel &amp; Conditional Execution Control</t>
  </si>
  <si>
    <t>Apolo onboarding for TDC 4900: rate/CAT offer, PLD/PEP/name matching, vulnerable-person declaration, OTP/SMS, electronic signature, credit creation in SmartVista, OnBase expediente and welcome kit. CAT/IVR/ICCAT servicing for product 4900: customer lookup, authentication, balance/movement inquiry, block/unblock, cancellation and cross-channel status update.</t>
  </si>
  <si>
    <t>Allows conditional flows for KO decisions, PEP/name-match outcomes, authentication failures, block/unblock and cancellation outcomes.</t>
  </si>
  <si>
    <t>8.1.2</t>
  </si>
  <si>
    <t>HDU-TDC-R4-01,03-08,10,13,14,16-21,23-27,34; HDU-CAT-R4-01 to 12</t>
  </si>
  <si>
    <t>Apolo-&gt;SmartVista, Apolo-&gt;OnBase, signature, OTP/SMS, email and PLD/name-matching integrations implied by HUs; not fully present in integration inventory; ICAT01-ICAT07</t>
  </si>
  <si>
    <t>Concurrent and rule-conditioned execution of orchestration steps with aggregation of results.</t>
  </si>
  <si>
    <t>Define decision ownership and timeout/fallback rules.</t>
  </si>
  <si>
    <t>8.1.3 Invocation Management</t>
  </si>
  <si>
    <t>CAT/IVR/ICCAT servicing for product 4900: customer lookup, authentication, balance/movement inquiry, block/unblock, cancellation and cross-channel status update. APP BanCoppel coexistence of physical/digital cards and legacy/SmartVista products: home, detail, movements, on/off, activation and consolidated credit view. MCI/MSI and deferred-purchase operations: campaigns, eligibility/calculation, plan creation, early payment, liquidation, cancellation and accounting effects.</t>
  </si>
  <si>
    <t>Controls backend invocations, retries and endpoint selection to SmartVista/SIWEB without exposing backend complexity to channels.</t>
  </si>
  <si>
    <t>8.1.3</t>
  </si>
  <si>
    <t>HDU-CAT-R4-01 to 12; SMART-4219, SMART-3964, SMART-4226, SMART-3963, SMART-3966, PTCF-6144, SMART-3962; HDU-SMART-R4-16 to 21; HDU-SIWEB-R4-01 to 04</t>
  </si>
  <si>
    <t>ICAT01-ICAT07; IAPP01; ISV06, ISV07</t>
  </si>
  <si>
    <t>Management of synchronous and asynchronous invocation styles, timeouts, retries and partial-failure handling.</t>
  </si>
  <si>
    <t>Confirm API owner, endpoint inventory and retry policy.</t>
  </si>
  <si>
    <t>8.1.4 Orchestration Monitoring &amp; Diagnostics</t>
  </si>
  <si>
    <t>R4 production control: rollout, rollback, folio/correlation, runtime administration, support, monitoring and repair of customer-impacting journeys.</t>
  </si>
  <si>
    <t>Provides diagnostics on orchestrated journeys so incidents can be traced from customer channel through SmartVista/OnBase/SIWEB.</t>
  </si>
  <si>
    <t>8.1.4</t>
  </si>
  <si>
    <t>Multiple HUs requiring traceability, rollback, runtime parameter control and operational support</t>
  </si>
  <si>
    <t>Operational identifiers and dashboards not present as explicit interface records</t>
  </si>
  <si>
    <t>Instrumentation of orchestration execution with technical and business event emission.</t>
  </si>
  <si>
    <t>Ensure monitoring is at business-journey level, not only infrastructure.</t>
  </si>
  <si>
    <t>8.2 Integration &amp; Mediation Framework</t>
  </si>
  <si>
    <t>Cross-channel R4 journeys spanning Apolo, SmartVista, APP, CAT/IVR/ICCAT, SIWEB, OnBase, payment channels, accounting and legacy systems. Includes batch/file, API, event and legacy mediation.</t>
  </si>
  <si>
    <t>Normalizes technical protocols and payloads across Apolo, SmartVista, APP, CAT, SIWEB, Informix and file-transfer components.</t>
  </si>
  <si>
    <t>8.2</t>
  </si>
  <si>
    <t>Transformation, mapping and protocol-bridging services that reconcile differing data contracts, formats and communication mechanisms between participating platforms.</t>
  </si>
  <si>
    <t>MuleSoft; WebMethods; Apigee; Modyo Connect; BIAN services; Interfaces Temporales/Strangler Fig; Transact OFS/IRIS APIs.</t>
  </si>
  <si>
    <t>Complete interface inventory and canonical mapping before design freeze.</t>
  </si>
  <si>
    <t>8.2.1 Message Transformation &amp; Mapping</t>
  </si>
  <si>
    <t>Canonical customer, account, credit-line, physical/digital card, transaction, commission, lot and deferred-plan data across R4 channels and systems. APP/CAT/SIWEB need consistent card, balance, movement and status structures.</t>
  </si>
  <si>
    <t>Maps SmartVista, legacy and channel payloads to canonical fields; reduces channel-specific transformations.</t>
  </si>
  <si>
    <t>8.2.1</t>
  </si>
  <si>
    <t>SMART-4219, SMART-3964, SMART-4226, SMART-3963, SMART-3966, PTCF-6144, SMART-3962; HDU-CAT-R4-01 to 12; HDU-SIWEB-R4-01 to 05; HDU-SMART-R4-08,17,19-21</t>
  </si>
  <si>
    <t>IAPP01; ICAT01-ICAT07; ISV06, ISV07</t>
  </si>
  <si>
    <t>Declarative mapping between canonical and native message structures, including enrichment and defaulting.</t>
  </si>
  <si>
    <t>MuleSoft transformation and protocol bridging; Apigee API contracts; BIAN canonical service design; DataStage for data transformation; OpenAPI/Swagger API documentation.</t>
  </si>
  <si>
    <t>Define canonical fields and status/value mappings.</t>
  </si>
  <si>
    <t>8.2.2 Protocol Bridging</t>
  </si>
  <si>
    <t>SmartVista card manufacturing and branch supply: maquila layout certification, re-order calculation, secure files, PGP/Connect:Direct transfer, lot tracking and SIWEB lot receipt/cancellation. and CAT/IVR/ICCAT/SIWEB integration.</t>
  </si>
  <si>
    <t>Bridges REST/API, batch, PGP file exchange, event and legacy protocols required by R4.</t>
  </si>
  <si>
    <t>8.2.2</t>
  </si>
  <si>
    <t>HDU-SMART-R4-01 to 08; HDU-CAT-R4-01 to 12; HDU-SIWEB-R4-01 to 05; HDU-SMART-R4-08,17,19-21</t>
  </si>
  <si>
    <t>ISV01, ISV02, ISV03; ICAT01-ICAT07; ISV06, ISV07</t>
  </si>
  <si>
    <t>Adaptation between communication mechanisms (REST, gRPC, messaging, file, legacy transaction protocols).</t>
  </si>
  <si>
    <t>Confirm runtime support for batch, event and real-time APIs.</t>
  </si>
  <si>
    <t>8.2.3 Dynamic Data Mapping &amp; Schema Governance</t>
  </si>
  <si>
    <t>Canonical customer, account, credit-line, physical/digital card, transaction, commission, lot and deferred-plan data across R4 channels and systems. Commission catalogue harmonization across SmartVista, APP, SIWEB and EDC for product 4900.</t>
  </si>
  <si>
    <t>Governed schemas prevent each channel from interpreting commission names, card status, transaction state or deferred-plan data differently.</t>
  </si>
  <si>
    <t>8.2.3</t>
  </si>
  <si>
    <t>HDU-SMART-R4-09,10; SMART-4219, SMART-3964, SMART-4226, SMART-3963, SMART-3966, PTCF-6144, SMART-3962; HDU-CAT-R4-01 to 12; HDU-SMART-R4-16 to 21; HDU-SIWEB-R4-01 to 04</t>
  </si>
  <si>
    <t>ISV04, ISV05; IAPP01; ICAT01-ICAT07; ISV06, ISV07</t>
  </si>
  <si>
    <t>Configurable, versioned mapping definitions and schema contracts maintained outside application code.</t>
  </si>
  <si>
    <t>Create schema ownership and compatibility rules.</t>
  </si>
  <si>
    <t>8.3 Context Management</t>
  </si>
  <si>
    <t>APP BanCoppel coexistence of physical/digital cards and legacy/SmartVista products: home, detail, movements, on/off, activation and consolidated credit view. CAT/IVR/ICCAT servicing for product 4900: customer lookup, authentication, balance/movement inquiry, block/unblock, cancellation and cross-channel status update. Positive-balance controls across SmartVista, APP, SIWEB, SPEI/payment channels and branch cash operations.</t>
  </si>
  <si>
    <t>Carries product, channel, customer, card, rollout and authorization context across service calls.</t>
  </si>
  <si>
    <t>8.3</t>
  </si>
  <si>
    <t>SMART-4219, SMART-3964, SMART-4226, SMART-3963, SMART-3966, PTCF-6144, SMART-3962; HDU-CAT-R4-01 to 12; HDU-SMART-R4-12,13,15; HDU-SIWEB-R4-05; SMART-4183/backlog; APP other-amount story</t>
  </si>
  <si>
    <t>IAPP01; ICAT01-ICAT07; Payment/APP/SIWEB/SPEI interfaces identified in HUs; not fully present in integration inventory</t>
  </si>
  <si>
    <t>Capture, propagation and consistent availability of execution context - identity, channel, entity, locale, correlation, entitlements - across every hop of a composed service.</t>
  </si>
  <si>
    <t>Golden Record / Party-CIF; Transact Product Catalog and AA Framework; BRM; Apigee/MuleSoft context propagation; not a separate registry product in sources.</t>
  </si>
  <si>
    <t>Define required request context attributes and source of truth.</t>
  </si>
  <si>
    <t>8.3.1 Request Context Propagation</t>
  </si>
  <si>
    <t>Cross-channel R4 journeys spanning Apolo, SmartVista, APP, CAT/IVR/ICCAT, SIWEB, OnBase, payment channels, accounting and legacy systems.</t>
  </si>
  <si>
    <t>Propagates customer, card, product 4900, channel, folio and correlation context so downstream systems can act consistently.</t>
  </si>
  <si>
    <t>8.3.1</t>
  </si>
  <si>
    <t>Standardised transmission of caller, channel and correlation context through all orchestration hops.</t>
  </si>
  <si>
    <t>Make correlation and business context mandatory in API headers/events.</t>
  </si>
  <si>
    <t>8.3.2 Service Registry &amp; Rule Configuration</t>
  </si>
  <si>
    <t>Positive-balance controls across SmartVista, APP, SIWEB, SPEI/payment channels and branch cash operations. MCI/MSI and deferred-purchase operations: campaigns, eligibility/calculation, plan creation, early payment, liquidation, cancellation and accounting effects. Commission catalogue harmonization across SmartVista, APP, SIWEB and EDC for product 4900.</t>
  </si>
  <si>
    <t>Controls runtime rules and service endpoints for limits, commissions, deferred-payment campaigns and backend routing.</t>
  </si>
  <si>
    <t>8.3.2</t>
  </si>
  <si>
    <t>HDU-SMART-R4-12,13,15; HDU-SIWEB-R4-05; SMART-4183/backlog; APP other-amount story; HDU-SMART-R4-16 to 21; HDU-SIWEB-R4-01 to 04; HDU-SMART-R4-09,10</t>
  </si>
  <si>
    <t>ISV04, ISV05; ISV06, ISV07</t>
  </si>
  <si>
    <t>Registration of services with their execution characteristics, rules and administrative metadata.</t>
  </si>
  <si>
    <t>Establish who owns configuration changes and approvals.</t>
  </si>
  <si>
    <t>8.4 Legacy Adaptors</t>
  </si>
  <si>
    <t>APP BanCoppel coexistence of physical/digital cards and legacy/SmartVista products: home, detail, movements, on/off, activation and consolidated credit view. CAT/IVR/ICCAT servicing for product 4900: customer lookup, authentication, balance/movement inquiry, block/unblock, cancellation and cross-channel status update. SIWEB branch operations for payments, deferred-purchase settlement/cancellation, lot receipt and positive-balance validation. Legacy and SmartVista coexistence.</t>
  </si>
  <si>
    <t>Exposes legacy and SmartVista capabilities behind stable services during coexistence and migration.</t>
  </si>
  <si>
    <t>8.4</t>
  </si>
  <si>
    <t>IAPP01; ICAT01-ICAT07; ISV01, ISV02, ISV03</t>
  </si>
  <si>
    <t>Service wrappers and platform-specific adaptors that expose legacy-resident functions as standard APIs and events, bridging from the microservices architecture to mainframe and proprietary platforms.</t>
  </si>
  <si>
    <t>Interfaces Temporales using Strangler Fig/ByPass; PISA/Informix wrappers; Apificación OfiWeb; Teller Multi Core; batch/COB interfaces and decommissioning roadmap.</t>
  </si>
  <si>
    <t>Avoid channel-specific legacy bypasses.</t>
  </si>
  <si>
    <t>8.4.1 Service Wrappers &amp; Legacy Service Exposure</t>
  </si>
  <si>
    <t>CAT/IVR/ICCAT servicing for product 4900: customer lookup, authentication, balance/movement inquiry, block/unblock, cancellation and cross-channel status update. APP BanCoppel coexistence of physical/digital cards and legacy/SmartVista products: home, detail, movements, on/off, activation and consolidated credit view.</t>
  </si>
  <si>
    <t>Wraps existing customer/account/card functions so product location is transparent to channels.</t>
  </si>
  <si>
    <t>8.4.1</t>
  </si>
  <si>
    <t>HDU-CAT-R4-01 to 12; SMART-4219, SMART-3964, SMART-4226, SMART-3963, SMART-3966, PTCF-6144, SMART-3962</t>
  </si>
  <si>
    <t>ICAT01-ICAT07; IAPP01</t>
  </si>
  <si>
    <t>Microservice wrappers that expose legacy transactions as APIs suitable for orchestration.</t>
  </si>
  <si>
    <t>Identify reusable wrappers and unsupported legacy functions.</t>
  </si>
  <si>
    <t>8.4.2 Platform Adaptors</t>
  </si>
  <si>
    <t>SmartVista card manufacturing and branch supply: maquila layout certification, re-order calculation, secure files, PGP/Connect:Direct transfer, lot tracking and SIWEB lot receipt/cancellation. SIWEB branch operations for payments, deferred-purchase settlement/cancellation, lot receipt and positive-balance validation. Informix, Connect:Direct, SIWEB and SmartVista adapters.</t>
  </si>
  <si>
    <t>Allows R4 to operate with existing platforms while routing to SmartVista where appropriate.</t>
  </si>
  <si>
    <t>8.4.2</t>
  </si>
  <si>
    <t>HDU-SMART-R4-01 to 08; HDU-SIWEB-R4-01 to 05; HDU-SMART-R4-08,17,19-21</t>
  </si>
  <si>
    <t>ISV01, ISV02, ISV03</t>
  </si>
  <si>
    <t>Platform-specific connectivity and protocol adaptors for mainframe and proprietary environments, including transaction routing.</t>
  </si>
  <si>
    <t>Confirm ownership and SLA per adapter.</t>
  </si>
  <si>
    <t>8.4.3 Legacy Batch &amp; Data Synchronisation Interfaces</t>
  </si>
  <si>
    <t>SmartVista card manufacturing and branch supply: maquila layout certification, re-order calculation, secure files, PGP/Connect:Direct transfer, lot tracking and SIWEB lot receipt/cancellation. and data/reporting synchronization.</t>
  </si>
  <si>
    <t>Supports batch/file synchronization and secure maquila file movement without forcing everything into real-time APIs.</t>
  </si>
  <si>
    <t>8.4.3</t>
  </si>
  <si>
    <t>HDU-SMART-R4-01 to 08</t>
  </si>
  <si>
    <t>Batch and data synchronisation mechanisms required alongside real-time access to legacy platforms.</t>
  </si>
  <si>
    <t>Define duplicate detection, reprocessing and acknowledgement controls.</t>
  </si>
  <si>
    <t>8.4.4 Adaptor Lifecycle &amp; Decommissioning</t>
  </si>
  <si>
    <t>Future decommissioning of redundant legacy interfaces after R4 coexistence stabilizes.</t>
  </si>
  <si>
    <t>Prevents R4 temporary interfaces from becoming permanent technical debt.</t>
  </si>
  <si>
    <t>8.4.4</t>
  </si>
  <si>
    <t>No direct R4 interface record; inferred from coexistence posture</t>
  </si>
  <si>
    <t>Controlled introduction, dual-running and retirement of adaptors as functions migrate off legacy.</t>
  </si>
  <si>
    <t>Track temporary interface retirement as a post-R4 backlog item.</t>
  </si>
  <si>
    <t>9.1 Workflow Services</t>
  </si>
  <si>
    <t>Apolo onboarding for TDC 4900: rate/CAT offer, PLD/PEP/name matching, vulnerable-person declaration, OTP/SMS, electronic signature, credit creation in SmartVista, OnBase expediente and welcome kit. SmartVista card manufacturing and branch supply: maquila layout certification, re-order calculation, secure files, PGP/Connect:Direct transfer, lot tracking and SIWEB lot receipt/cancellation. SIWEB branch operations for payments, deferred-purchase settlement/cancellation, lot receipt and positive-balance validation.</t>
  </si>
  <si>
    <t>Defines and executes long-running business workflows beyond single API calls, including human/operational steps.</t>
  </si>
  <si>
    <t>9.1</t>
  </si>
  <si>
    <t>9.0 Process Orchestration</t>
  </si>
  <si>
    <t>HDU-TDC-R4-01,03-08,10,13,14,16-21,23-27,34; HDU-SMART-R4-01 to 08; HDU-SIWEB-R4-01 to 05; HDU-SMART-R4-08,17,19-21</t>
  </si>
  <si>
    <t>Apolo-&gt;SmartVista, Apolo-&gt;OnBase, signature, OTP/SMS, email and PLD/name-matching integrations implied by HUs; not fully present in integration inventory; ISV01, ISV02, ISV03; ISV06, ISV07</t>
  </si>
  <si>
    <t>Definition, versioning and execution of multi-step business processes spanning services, systems and human participants.</t>
  </si>
  <si>
    <t>WebMethods BPM; Modyo Connect workflow/state-machine; Flow Engineering/Jira work management for delivery; process flows across Apolo, SmartVista and Transact.</t>
  </si>
  <si>
    <t>Confirm workflow engine/state ownership across Modyo/WebMethods/SmartVista/SIWEB.</t>
  </si>
  <si>
    <t>9.1.1 Workflow Definition &amp; Versioning</t>
  </si>
  <si>
    <t>Apolo onboarding for TDC 4900: rate/CAT offer, PLD/PEP/name matching, vulnerable-person declaration, OTP/SMS, electronic signature, credit creation in SmartVista, OnBase expediente and welcome kit. and deferred-purchase lifecycle.</t>
  </si>
  <si>
    <t>Versioned workflow definitions ensure changes to onboarding/signature/deferred-payment flows do not break in-flight cases.</t>
  </si>
  <si>
    <t>9.1.1</t>
  </si>
  <si>
    <t>HDU-TDC-R4-01,03-08,10,13,14,16-21,23-27,34; HDU-SMART-R4-16 to 21; HDU-SIWEB-R4-01 to 04</t>
  </si>
  <si>
    <t>Apolo-&gt;SmartVista, Apolo-&gt;OnBase, signature, OTP/SMS, email and PLD/name-matching integrations implied by HUs; not fully present in integration inventory; ISV06, ISV07</t>
  </si>
  <si>
    <t>Modelling and version control of process definitions, with controlled promotion across environments.</t>
  </si>
  <si>
    <t>Needed where in-flight journeys can span releases.</t>
  </si>
  <si>
    <t>9.1.2 Workflow Execution &amp; Step Coordination</t>
  </si>
  <si>
    <t>Coordinates steps such as validation, approval, execution, notification and audit across systems.</t>
  </si>
  <si>
    <t>9.1.2</t>
  </si>
  <si>
    <t>Runtime execution of process instances, invoking services and awaiting external outcomes.</t>
  </si>
  <si>
    <t>Define step-level status and ownership.</t>
  </si>
  <si>
    <t>9.1.3 Business Rules Configuration</t>
  </si>
  <si>
    <t>Positive-balance controls across SmartVista, APP, SIWEB, SPEI/payment channels and branch cash operations. MCI/MSI and deferred-purchase operations: campaigns, eligibility/calculation, plan creation, early payment, liquidation, cancellation and accounting effects. SmartVista/BPC authorizer: 88 authorization and fraud rules, ISO response behaviour and channel-visible outcomes.</t>
  </si>
  <si>
    <t>Centralizes configurable business rules for limits, campaigns, fees, authorization and eligibility decisions.</t>
  </si>
  <si>
    <t>9.1.3</t>
  </si>
  <si>
    <t>HDU-SMART-R4-12,13,15; HDU-SIWEB-R4-05; SMART-4183/backlog; APP other-amount story; HDU-SMART-R4-16 to 21; HDU-SIWEB-R4-01 to 04; HDU-SMART-R4-11</t>
  </si>
  <si>
    <t>ISV06, ISV07; Payment/APP/SIWEB/SPEI interfaces identified in HUs; not fully present in integration inventory</t>
  </si>
  <si>
    <t>Externalised rules governing routing, thresholds, eligibility and required participants per process type.</t>
  </si>
  <si>
    <t>BRM; WebMethods BRM; Transact AA Framework/Product Catalog; SmartVista parameterization; Merit Crediticio scoring rules.</t>
  </si>
  <si>
    <t>Validate rule source of truth and deployment controls.</t>
  </si>
  <si>
    <t>9.2 Human Task Management</t>
  </si>
  <si>
    <t>SmartVista card manufacturing and branch supply: maquila layout certification, re-order calculation, secure files, PGP/Connect:Direct transfer, lot tracking and SIWEB lot receipt/cancellation. SIWEB branch operations for payments, deferred-purchase settlement/cancellation, lot receipt and positive-balance validation. CAT-assisted servicing.</t>
  </si>
  <si>
    <t>Manages assisted tasks such as branch receipt/cancellation, manual maquila, supervisor approvals and agent-assisted customer actions.</t>
  </si>
  <si>
    <t>9.2</t>
  </si>
  <si>
    <t>HDU-SMART-R4-01 to 08; HDU-SIWEB-R4-01 to 05; HDU-SMART-R4-08,17,19-21; HDU-CAT-R4-01 to 12</t>
  </si>
  <si>
    <t>ISV01, ISV02, ISV03; ICAT01-ICAT07</t>
  </si>
  <si>
    <t>Creation, assignment, prioritisation and completion of human work items arising from automated processes, including work lists and delegation.</t>
  </si>
  <si>
    <t>Teller Multi Core for assisted branch tasks; OnBase/document workflows; SIWEB/OFI and branch/call-center work queues. No single BPM task tool is fully evidenced.</t>
  </si>
  <si>
    <t>Clarify work queues and responsibility for manual repair.</t>
  </si>
  <si>
    <t>9.2.1 Task Assignment &amp; Work List Management</t>
  </si>
  <si>
    <t>SmartVista card manufacturing and branch supply: maquila layout certification, re-order calculation, secure files, PGP/Connect:Direct transfer, lot tracking and SIWEB lot receipt/cancellation. and branch operations.</t>
  </si>
  <si>
    <t>Routes operational tasks to the right branch/supply/agent role and keeps them auditable.</t>
  </si>
  <si>
    <t>9.2.1</t>
  </si>
  <si>
    <t>Routing of work items to roles, queues and individuals with prioritisation and reassignment.</t>
  </si>
  <si>
    <t>Confirm role model and work-list tooling.</t>
  </si>
  <si>
    <t>9.2.2 Task Interception &amp; Resumption</t>
  </si>
  <si>
    <t>Allows a paused journey or agent handoff to resume without losing customer/session context.</t>
  </si>
  <si>
    <t>9.2.2</t>
  </si>
  <si>
    <t>Apolo-&gt;SmartVista, Apolo-&gt;OnBase, signature, OTP/SMS, email and PLD/name-matching integrations implied by HUs; not fully present in integration inventory; ICAT03</t>
  </si>
  <si>
    <t>Suspension of a service execution pending human action and resumption on completion.</t>
  </si>
  <si>
    <t>Scope depends on confirmed channel handoff design.</t>
  </si>
  <si>
    <t>9.3 Process State &amp; Exception Management</t>
  </si>
  <si>
    <t>Maintains state and manages exceptions for partially completed cross-system journeys.</t>
  </si>
  <si>
    <t>9.3</t>
  </si>
  <si>
    <t>Durable persistence of long-running process state, together with timeout, escalation, retry and exception handling for stalled or failed instances.</t>
  </si>
  <si>
    <t>WebMethods BPM/BRM and Modyo Connect for process state; PMO/RAID escalation; fallback/contingency with Interfaces Temporales and PISA.</t>
  </si>
  <si>
    <t>Must be explicit for onboarding, payments, card status and deferred-payment operations.</t>
  </si>
  <si>
    <t>9.3.1 Process State Persistence</t>
  </si>
  <si>
    <t>Apolo onboarding for TDC 4900: rate/CAT offer, PLD/PEP/name matching, vulnerable-person declaration, OTP/SMS, electronic signature, credit creation in SmartVista, OnBase expediente and welcome kit. MCI/MSI and deferred-purchase operations: campaigns, eligibility/calculation, plan creation, early payment, liquidation, cancellation and accounting effects. SmartVista card manufacturing and branch supply: maquila layout certification, re-order calculation, secure files, PGP/Connect:Direct transfer, lot tracking and SIWEB lot receipt/cancellation.</t>
  </si>
  <si>
    <t>Persists journey state to support retries, customer inquiries and manual repair.</t>
  </si>
  <si>
    <t>9.3.1</t>
  </si>
  <si>
    <t>HDU-TDC-R4-01,03-08,10,13,14,16-21,23-27,34; HDU-SMART-R4-16 to 21; HDU-SIWEB-R4-01 to 04; HDU-SMART-R4-01 to 08</t>
  </si>
  <si>
    <t>Apolo-&gt;SmartVista, Apolo-&gt;OnBase, signature, OTP/SMS, email and PLD/name-matching integrations implied by HUs; not fully present in integration inventory; ISV06, ISV07; ISV01, ISV02, ISV03</t>
  </si>
  <si>
    <t>Durable storage of process instance state, history and pending actions.</t>
  </si>
  <si>
    <t>Define state store and retention.</t>
  </si>
  <si>
    <t>9.3.2 Escalation &amp; Timeout Handling</t>
  </si>
  <si>
    <t>Apolo onboarding for TDC 4900: rate/CAT offer, PLD/PEP/name matching, vulnerable-person declaration, OTP/SMS, electronic signature, credit creation in SmartVista, OnBase expediente and welcome kit. CAT/IVR/ICCAT servicing for product 4900: customer lookup, authentication, balance/movement inquiry, block/unblock, cancellation and cross-channel status update. SmartVista card manufacturing and branch supply: maquila layout certification, re-order calculation, secure files, PGP/Connect:Direct transfer, lot tracking and SIWEB lot receipt/cancellation.</t>
  </si>
  <si>
    <t>Controls timeouts and escalation paths when third-party validations, SmartVista calls or provider files fail.</t>
  </si>
  <si>
    <t>9.3.2</t>
  </si>
  <si>
    <t>HDU-TDC-R4-01,03-08,10,13,14,16-21,23-27,34; HDU-CAT-R4-01 to 12; HDU-SMART-R4-01 to 08</t>
  </si>
  <si>
    <t>Apolo-&gt;SmartVista, Apolo-&gt;OnBase, signature, OTP/SMS, email and PLD/name-matching integrations implied by HUs; not fully present in integration inventory; ICAT01-ICAT07; ISV01, ISV02, ISV03</t>
  </si>
  <si>
    <t>Time-based escalation, reminder and reassignment rules for stalled instances.</t>
  </si>
  <si>
    <t>Timeouts are not populated in current integration inventory.</t>
  </si>
  <si>
    <t>9.3.3 Process Exception Handling</t>
  </si>
  <si>
    <t>Provides standard exception handling rather than channel-specific workarounds.</t>
  </si>
  <si>
    <t>9.3.3</t>
  </si>
  <si>
    <t>Detection, classification and remediation routing of failed or exception-state process instances.</t>
  </si>
  <si>
    <t>Define business vs technical error taxonomy.</t>
  </si>
  <si>
    <t>9.4 Process Monitoring &amp; Administration</t>
  </si>
  <si>
    <t>Gives operations a way to monitor and administer R4 process instances and bottlenecks.</t>
  </si>
  <si>
    <t>9.4</t>
  </si>
  <si>
    <t>Operational visibility into in-flight and completed process instances, with administrative intervention and reporting on cycle time and bottlenecks.</t>
  </si>
  <si>
    <t>DataDog for process/platform monitoring; SmartVista Back Office; Transact administration; PMO dashboards for process performance.</t>
  </si>
  <si>
    <t>Create business-journey dashboards and support runbooks.</t>
  </si>
  <si>
    <t>9.4.1 Process Instance Monitoring &amp; Console</t>
  </si>
  <si>
    <t>Lets support teams search and inspect process instances by folio/customer/card/lot.</t>
  </si>
  <si>
    <t>9.4.1</t>
  </si>
  <si>
    <t>Operational views of in-flight instances with intervention capability (retry, reassign, cancel).</t>
  </si>
  <si>
    <t>Must align with folio/correlation capability.</t>
  </si>
  <si>
    <t>9.4.2 Process Performance Reporting</t>
  </si>
  <si>
    <t>Measures success/failure/latency by journey and identifies where R4 fails operationally.</t>
  </si>
  <si>
    <t>9.4.2</t>
  </si>
  <si>
    <t>Cycle time, throughput, exception rate and bottleneck analytics by process and product.</t>
  </si>
  <si>
    <t>Required for hypercare and stabilization; not always captured in HUs.</t>
  </si>
  <si>
    <t>7.1 Transaction Management</t>
  </si>
  <si>
    <t>Apolo onboarding for TDC 4900: rate/CAT offer, PLD/PEP/name matching, vulnerable-person declaration, OTP/SMS, electronic signature, credit creation in SmartVista, OnBase expediente and welcome kit. Positive-balance controls across SmartVista, APP, SIWEB, SPEI/payment channels and branch cash operations. MCI/MSI and deferred-purchase operations: campaigns, eligibility/calculation, plan creation, early payment, liquidation, cancellation and accounting effects. CAT/IVR/ICCAT servicing for product 4900: customer lookup, authentication, balance/movement inquiry, block/unblock, cancellation and cross-channel status update.</t>
  </si>
  <si>
    <t>Coordinates transactions that affect customer status, money, documents or accounting across multiple systems.</t>
  </si>
  <si>
    <t>7.1</t>
  </si>
  <si>
    <t>7.0 Distributed Transactions</t>
  </si>
  <si>
    <t>HDU-TDC-R4-01,03-08,10,13,14,16-21,23-27,34; HDU-SMART-R4-12,13,15; HDU-SIWEB-R4-05; SMART-4183/backlog; APP other-amount story; HDU-SMART-R4-16 to 21; HDU-SIWEB-R4-01 to 04; HDU-CAT-R4-01 to 12</t>
  </si>
  <si>
    <t>Apolo-&gt;SmartVista, Apolo-&gt;OnBase, signature, OTP/SMS, email and PLD/name-matching integrations implied by HUs; not fully present in integration inventory; ISV06, ISV07; ICAT01-ICAT07; Payment/APP/SIWEB/SPEI interfaces identified in HUs; not fully present in integration inventory</t>
  </si>
  <si>
    <t>Coordination of multi-participant business operations, tracking the success or failure of each step and driving either completion or compensating reversal, with durable recording of state and history.</t>
  </si>
  <si>
    <t>Temenos Transact FT/Payments/GL; BPC SmartVista/SVIP; Hub de Pagos; Kafka/Confluent; Amazon MQ/Kinesis; Interfaces Temporales.</t>
  </si>
  <si>
    <t>Define transaction boundaries and ownership.</t>
  </si>
  <si>
    <t>7.1.1 Transactional Coordination</t>
  </si>
  <si>
    <t>MCI/MSI and deferred-purchase operations: campaigns, eligibility/calculation, plan creation, early payment, liquidation, cancellation and accounting effects. Positive-balance controls across SmartVista, APP, SIWEB, SPEI/payment channels and branch cash operations. CAT/IVR/ICCAT servicing for product 4900: customer lookup, authentication, balance/movement inquiry, block/unblock, cancellation and cross-channel status update.</t>
  </si>
  <si>
    <t>Ensures coordinated commit/confirmation for financial/card-state operations that span SmartVista, SIWEB, APP/CAT and accounting.</t>
  </si>
  <si>
    <t>7.1.1</t>
  </si>
  <si>
    <t>HDU-SMART-R4-16 to 21; HDU-SIWEB-R4-01 to 04; HDU-SMART-R4-12,13,15; HDU-SIWEB-R4-05; SMART-4183/backlog; APP other-amount story; HDU-CAT-R4-01 to 12</t>
  </si>
  <si>
    <t>ISV06, ISV07; ICAT01-ICAT07; Payment/APP/SIWEB/SPEI interfaces identified in HUs; not fully present in integration inventory</t>
  </si>
  <si>
    <t>Coordinator that tracks participant outcomes and decides completion or rollback for a composite operation.</t>
  </si>
  <si>
    <t>Transact FT/Payments and GL/Accounting; SmartVista transaction processing/SVIP; Hub de Pagos/SPEI; Kafka/Confluent/Amazon MQ; Conductor/Saga planned in roadmap.</t>
  </si>
  <si>
    <t>Map synchronous and asynchronous commit points.</t>
  </si>
  <si>
    <t>7.1.2 Compensation &amp; Reversal Execution</t>
  </si>
  <si>
    <t>Apolo onboarding for TDC 4900: rate/CAT offer, PLD/PEP/name matching, vulnerable-person declaration, OTP/SMS, electronic signature, credit creation in SmartVista, OnBase expediente and welcome kit. MCI/MSI and deferred-purchase operations: campaigns, eligibility/calculation, plan creation, early payment, liquidation, cancellation and accounting effects. Positive-balance controls across SmartVista, APP, SIWEB, SPEI/payment channels and branch cash operations.</t>
  </si>
  <si>
    <t>Provides reversal/compensation when only part of a journey succeeds, protecting customer and accounting integrity.</t>
  </si>
  <si>
    <t>7.1.2</t>
  </si>
  <si>
    <t>HDU-TDC-R4-01,03-08,10,13,14,16-21,23-27,34; HDU-SMART-R4-16 to 21; HDU-SIWEB-R4-01 to 04; HDU-SMART-R4-12,13,15; HDU-SIWEB-R4-05; SMART-4183/backlog; APP other-amount story</t>
  </si>
  <si>
    <t>Apolo-&gt;SmartVista, Apolo-&gt;OnBase, signature, OTP/SMS, email and PLD/name-matching integrations implied by HUs; not fully present in integration inventory; ISV06, ISV07; Payment/APP/SIWEB/SPEI interfaces identified in HUs; not fully present in integration inventory</t>
  </si>
  <si>
    <t>Execution of compensating actions against participants whose work must be undone, driven through a reliable messaging backbone.</t>
  </si>
  <si>
    <t>Current artifacts do not evidence a complete compensation model.</t>
  </si>
  <si>
    <t>7.1.3 Transaction State &amp; History Persistence</t>
  </si>
  <si>
    <t>Stores transaction history for audit, customer service, reconciliation and repair.</t>
  </si>
  <si>
    <t>7.1.3</t>
  </si>
  <si>
    <t>Durable transaction database recording status, participants, payload references and event history.</t>
  </si>
  <si>
    <t>Define retention and search keys.</t>
  </si>
  <si>
    <t>7.1.4 Reliable Message Exchange</t>
  </si>
  <si>
    <t>Guarantees reliable exchange of transaction messages/files/events so a successful core action is not lost downstream.</t>
  </si>
  <si>
    <t>7.1.4</t>
  </si>
  <si>
    <t>Guaranteed notification of step outcomes and reversal instructions between coordinator and participants.</t>
  </si>
  <si>
    <t>Define idempotency and acknowledgement standards.</t>
  </si>
  <si>
    <t>7.2 Transaction Operations &amp; Control</t>
  </si>
  <si>
    <t>Provides operational controls for pending, failed, reversed and reconciled transactions.</t>
  </si>
  <si>
    <t>7.2</t>
  </si>
  <si>
    <t>Operator-facing tooling to observe, intervene in and report on complex transactions, including retry, cancel and reverse actions and technical plus operational event monitoring.</t>
  </si>
  <si>
    <t>Required for support and post-go-live control.</t>
  </si>
  <si>
    <t>7.2.1 Transactional Console</t>
  </si>
  <si>
    <t>Gives operations a transaction console for lookup and controlled repair.</t>
  </si>
  <si>
    <t>7.2.1</t>
  </si>
  <si>
    <t>Operational interface showing the status and history of complex transactions with drill-down to participant level.</t>
  </si>
  <si>
    <t>SmartVista Back Office; Transact operations; DataStage/Data Warehouse reconciliation; GL/Accounting; DataDog transactional event monitoring.</t>
  </si>
  <si>
    <t>Tooling may be split across SmartVista, SIWEB, API and accounting consoles.</t>
  </si>
  <si>
    <t>7.2.2 Retry, Cancel &amp; Reverse Operations</t>
  </si>
  <si>
    <t>MCI/MSI and deferred-purchase operations: campaigns, eligibility/calculation, plan creation, early payment, liquidation, cancellation and accounting effects. Positive-balance controls across SmartVista, APP, SIWEB, SPEI/payment channels and branch cash operations. CAT/IVR/ICCAT servicing for product 4900: customer lookup, authentication, balance/movement inquiry, block/unblock, cancellation and cross-channel status update. SmartVista card manufacturing and branch supply: maquila layout certification, re-order calculation, secure files, PGP/Connect:Direct transfer, lot tracking and SIWEB lot receipt/cancellation.</t>
  </si>
  <si>
    <t>Allows safe retry, cancel and reverse operations without duplicate effects.</t>
  </si>
  <si>
    <t>7.2.2</t>
  </si>
  <si>
    <t>HDU-SMART-R4-16 to 21; HDU-SIWEB-R4-01 to 04; HDU-SMART-R4-12,13,15; HDU-SIWEB-R4-05; SMART-4183/backlog; APP other-amount story; HDU-CAT-R4-01 to 12; HDU-SMART-R4-01 to 08</t>
  </si>
  <si>
    <t>Controlled operator-initiated remediation of stuck or failed transactions.</t>
  </si>
  <si>
    <t>Must include duplicate detection and authorization controls.</t>
  </si>
  <si>
    <t>7.2.3 Transaction Reporting &amp; Reconciliation Support</t>
  </si>
  <si>
    <t>MCI/MSI and deferred-purchase operations: campaigns, eligibility/calculation, plan creation, early payment, liquidation, cancellation and accounting effects. and accounting/reporting.</t>
  </si>
  <si>
    <t>Supports reconciliation between SmartVista, SIWEB, statements, accounting and regulatory/reporting feeds.</t>
  </si>
  <si>
    <t>7.2.3</t>
  </si>
  <si>
    <t>HDU-SMART-R4-16 to 21; HDU-SIWEB-R4-01 to 04; HDU-SIWEB-R4-04</t>
  </si>
  <si>
    <t>ISV06, ISV07</t>
  </si>
  <si>
    <t>Reporting on transaction outcomes, exceptions and ageing to support reconciliation and control functions.</t>
  </si>
  <si>
    <t>Accounting transaction codes and reconciliation rules need closure.</t>
  </si>
  <si>
    <t>7.2.4 Transactional Event Monitoring</t>
  </si>
  <si>
    <t>Monitors financial/card status transactions as business events, not just API calls.</t>
  </si>
  <si>
    <t>7.2.4</t>
  </si>
  <si>
    <t>Emission and monitoring of technical health events and business events from the transaction components.</t>
  </si>
  <si>
    <t>Define business KPIs and alert thresholds.</t>
  </si>
  <si>
    <t>7.3 Store &amp; Forward</t>
  </si>
  <si>
    <t>SmartVista card manufacturing and branch supply: maquila layout certification, re-order calculation, secure files, PGP/Connect:Direct transfer, lot tracking and SIWEB lot receipt/cancellation. Apolo onboarding for TDC 4900: rate/CAT offer, PLD/PEP/name matching, vulnerable-person declaration, OTP/SMS, electronic signature, credit creation in SmartVista, OnBase expediente and welcome kit. MCI/MSI and deferred-purchase operations: campaigns, eligibility/calculation, plan creation, early payment, liquidation, cancellation and accounting effects.</t>
  </si>
  <si>
    <t>Buffers and forwards requests when target systems are unavailable or batch windows apply.</t>
  </si>
  <si>
    <t>7.3</t>
  </si>
  <si>
    <t>HDU-SMART-R4-01 to 08; HDU-TDC-R4-01,03-08,10,13,14,16-21,23-27,34; HDU-SMART-R4-16 to 21; HDU-SIWEB-R4-01 to 04</t>
  </si>
  <si>
    <t>ISV01, ISV02, ISV03; Apolo-&gt;SmartVista, Apolo-&gt;OnBase, signature, OTP/SMS, email and PLD/name-matching integrations implied by HUs; not fully present in integration inventory; ISV06, ISV07</t>
  </si>
  <si>
    <t>Persistence and controlled later execution of requests that cannot complete now - because a hosting system is unavailable, or because the user scheduled the action for a future date - comprising request manager, registry, processor, router and console.</t>
  </si>
  <si>
    <t>Amazon MQ/Kinesis and Kafka/Confluent for reliable exchange; Interfaces Temporales with retry/fallback to PISA; batch/COB where synchronous processing is not possible.</t>
  </si>
  <si>
    <t>Particularly important for maquila files and notifications.</t>
  </si>
  <si>
    <t>7.3.1 Request Manager &amp; Registry</t>
  </si>
  <si>
    <t>SmartVista card manufacturing and branch supply: maquila layout certification, re-order calculation, secure files, PGP/Connect:Direct transfer, lot tracking and SIWEB lot receipt/cancellation. and deferred-payment/payment requests.</t>
  </si>
  <si>
    <t>Registers outbound requests to support status tracking, replay and duplicate prevention.</t>
  </si>
  <si>
    <t>7.3.1</t>
  </si>
  <si>
    <t>HDU-SMART-R4-01 to 08; HDU-SMART-R4-16 to 21; HDU-SIWEB-R4-01 to 04; HDU-SMART-R4-12,13,15; HDU-SIWEB-R4-05; SMART-4183/backlog; APP other-amount story</t>
  </si>
  <si>
    <t>ISV01, ISV02, ISV03; ISV06, ISV07</t>
  </si>
  <si>
    <t>Capture and durable storage of pending requests with all data required for later execution.</t>
  </si>
  <si>
    <t>Link to folio and idempotency keys.</t>
  </si>
  <si>
    <t>7.3.2 Request Processor &amp; Retry Rules</t>
  </si>
  <si>
    <t>SmartVista card manufacturing and branch supply: maquila layout certification, re-order calculation, secure files, PGP/Connect:Direct transfer, lot tracking and SIWEB lot receipt/cancellation. Cross-channel R4 journeys spanning Apolo, SmartVista, APP, CAT/IVR/ICCAT, SIWEB, OnBase, payment channels, accounting and legacy systems.</t>
  </si>
  <si>
    <t>Applies retry rules consistently rather than leaving retries to manual operations or each channel.</t>
  </si>
  <si>
    <t>7.3.2</t>
  </si>
  <si>
    <t>Rule-driven decision on when and how often to retry, using priority, cycle and system-availability signals.</t>
  </si>
  <si>
    <t>Define retry limits, dead-letter and manual repair.</t>
  </si>
  <si>
    <t>7.3.3 Request Router &amp; Forwarding</t>
  </si>
  <si>
    <t>Routes stored requests to the correct backend or provider once available.</t>
  </si>
  <si>
    <t>7.3.3</t>
  </si>
  <si>
    <t>Forwarding of each stored request to the correct business service at execution time.</t>
  </si>
  <si>
    <t>Needed if store-and-forward is used for more than maquila/notifications.</t>
  </si>
  <si>
    <t>7.3.4 Store &amp; Forward Console</t>
  </si>
  <si>
    <t>Lets support teams inspect and reprocess queued/failed requests with controls.</t>
  </si>
  <si>
    <t>7.3.4</t>
  </si>
  <si>
    <t>Operational monitoring and administration of pending and failed stored requests.</t>
  </si>
  <si>
    <t>Operational console ownership is not evidenced.</t>
  </si>
  <si>
    <t>7.4 Transactional Service Administration (Online Admin)</t>
  </si>
  <si>
    <t>Allows runtime administration of transactional service behavior, rules and operational overrides.</t>
  </si>
  <si>
    <t>7.4</t>
  </si>
  <si>
    <t>ISV06, ISV07; ISV04, ISV05</t>
  </si>
  <si>
    <t>Runtime administration of transactional behaviour: which services are atomic, which are store-and-forward eligible, which require approvals, and the operational overrides available to control functions.</t>
  </si>
  <si>
    <t>SmartVista administration; Transact Product Catalog/AA Framework; Apigee policy controls; operational overrides via platform admin consoles.</t>
  </si>
  <si>
    <t>Define approval workflow for parameter changes.</t>
  </si>
  <si>
    <t>7.4.1 Service Behaviour Configuration</t>
  </si>
  <si>
    <t>Positive-balance controls across SmartVista, APP, SIWEB, SPEI/payment channels and branch cash operations. MCI/MSI and deferred-purchase operations: campaigns, eligibility/calculation, plan creation, early payment, liquidation, cancellation and accounting effects.</t>
  </si>
  <si>
    <t>Controls service behavior such as limit thresholds, campaign terms, retry behaviour and channel availability.</t>
  </si>
  <si>
    <t>7.4.1</t>
  </si>
  <si>
    <t>HDU-SMART-R4-12,13,15; HDU-SIWEB-R4-05; SMART-4183/backlog; APP other-amount story; HDU-SMART-R4-16 to 21; HDU-SIWEB-R4-01 to 04</t>
  </si>
  <si>
    <t>Registration of atomicity, retry eligibility and control requirements per service type.</t>
  </si>
  <si>
    <t>Parameter inventory and system of record required.</t>
  </si>
  <si>
    <t>7.4.2 Operational Overrides &amp; Controls</t>
  </si>
  <si>
    <t>Enables controlled operational intervention in exceptional cases without informal database or system changes.</t>
  </si>
  <si>
    <t>7.4.2</t>
  </si>
  <si>
    <t>Administered override, suspension and limit controls over transactional processing.</t>
  </si>
  <si>
    <t>Must be governed by RBAC and audit.</t>
  </si>
  <si>
    <t>12.1 Event Messaging</t>
  </si>
  <si>
    <t>CAT/IVR/ICCAT servicing for product 4900: customer lookup, authentication, balance/movement inquiry, block/unblock, cancellation and cross-channel status update. APP BanCoppel coexistence of physical/digital cards and legacy/SmartVista products: home, detail, movements, on/off, activation and consolidated credit view. MCI/MSI and deferred-purchase operations: campaigns, eligibility/calculation, plan creation, early payment, liquidation, cancellation and accounting effects. Apolo onboarding for TDC 4900: rate/CAT offer, PLD/PEP/name matching, vulnerable-person declaration, OTP/SMS, electronic signature, credit creation in SmartVista, OnBase expediente and welcome kit.</t>
  </si>
  <si>
    <t>Distributes status, creation, notification and financial events to interested systems instead of forcing synchronous coupling.</t>
  </si>
  <si>
    <t>12.1</t>
  </si>
  <si>
    <t>12.0 Event Processing &amp; Reactive Components</t>
  </si>
  <si>
    <t>HDU-CAT-R4-01 to 12; SMART-4219, SMART-3964, SMART-4226, SMART-3963, SMART-3966, PTCF-6144, SMART-3962; HDU-SMART-R4-16 to 21; HDU-SIWEB-R4-01 to 04; HDU-TDC-R4-01,03-08,10,13,14,16-21,23-27,34</t>
  </si>
  <si>
    <t>ICAT03 plus implied card-status, accounting, notification and cache-invalidation events</t>
  </si>
  <si>
    <t>Publish and subscribe messaging between components, including topic and queue administration and bridging across the multiple messaging technologies typically present in a bank.</t>
  </si>
  <si>
    <t>Kafka/Confluent; Amazon MQ; Temenos Events Framework; Event Processor/Event Router/Event Cleanup; MuleSoft for integration messaging.</t>
  </si>
  <si>
    <t>Current integration inventory contains only one explicit event record.</t>
  </si>
  <si>
    <t>12.1.1 Publish / Subscribe Messaging</t>
  </si>
  <si>
    <t>APP BanCoppel coexistence of physical/digital cards and legacy/SmartVista products: home, detail, movements, on/off, activation and consolidated credit view. CAT/IVR/ICCAT servicing for product 4900: customer lookup, authentication, balance/movement inquiry, block/unblock, cancellation and cross-channel status update.</t>
  </si>
  <si>
    <t>Publishes card activation/block/unblock/cancel and customer/card creation events to update channels and support systems.</t>
  </si>
  <si>
    <t>12.1.1</t>
  </si>
  <si>
    <t>SMART-4219, SMART-3964, SMART-4226, SMART-3963, SMART-3966, PTCF-6144, SMART-3962; HDU-CAT-R4-01 to 12</t>
  </si>
  <si>
    <t>ICAT03 plus implied cross-channel status events</t>
  </si>
  <si>
    <t>Asynchronous distribution of messages from producers to multiple independent consumers.</t>
  </si>
  <si>
    <t>Define event producers and consumers.</t>
  </si>
  <si>
    <t>12.1.2 Topic &amp; Subscription Administration</t>
  </si>
  <si>
    <t>Controls topics/subscriptions so APP, CAT, SIWEB, support and accounting consume the correct R4 events.</t>
  </si>
  <si>
    <t>12.1.2</t>
  </si>
  <si>
    <t>Not explicit in integration inventory</t>
  </si>
  <si>
    <t>Creation, configuration, access control and retention policy of topics and subscriptions.</t>
  </si>
  <si>
    <t>Depends on selected event tooling and governance.</t>
  </si>
  <si>
    <t>12.2 Event Streaming</t>
  </si>
  <si>
    <t>Canonical customer, account, credit-line, physical/digital card, transaction, commission, lot and deferred-plan data across R4 channels and systems. and operational analytics.</t>
  </si>
  <si>
    <t>May support streaming of transactions/statuses for near-real-time operational views and analytics.</t>
  </si>
  <si>
    <t>12.2</t>
  </si>
  <si>
    <t>Multiple HUs across Apolo, APP, CAT, SmartVista and SIWEB</t>
  </si>
  <si>
    <t>Not explicit except candidate event platforms in hierarchy</t>
  </si>
  <si>
    <t>High-throughput, durable, replayable streams of events with retention, partitioning and continuous stream processing, including complex event processing over multiple streams.</t>
  </si>
  <si>
    <t>Amazon Kinesis; Kafka/Confluent; Temenos Events Framework with events such as depositCreated/loanOverdue/payrollCredit.</t>
  </si>
  <si>
    <t>Evaluate need based on performance/latency and reporting requirements.</t>
  </si>
  <si>
    <t>12.3 Guaranteed Delivery</t>
  </si>
  <si>
    <t>Ensures critical R4 events are delivered once or safely replayed, avoiding lost status/accounting/customer notifications.</t>
  </si>
  <si>
    <t>12.3</t>
  </si>
  <si>
    <t>Delivery assurance mechanisms - acknowledgement, idempotency control, redelivery and dead-letter management - that make asynchronous integration safe for financial events.</t>
  </si>
  <si>
    <t>Kafka/Confluent and Amazon MQ patterns; no named dead-letter/idempotency product is evidenced; delivery assurance should be covered by event platform controls.</t>
  </si>
  <si>
    <t>Define guaranteed delivery semantics for evented flows.</t>
  </si>
  <si>
    <t>12.3.1 Delivery Semantics &amp; Idempotency Control</t>
  </si>
  <si>
    <t>MCI/MSI and deferred-purchase operations: campaigns, eligibility/calculation, plan creation, early payment, liquidation, cancellation and accounting effects. CAT/IVR/ICCAT servicing for product 4900: customer lookup, authentication, balance/movement inquiry, block/unblock, cancellation and cross-channel status update. Apolo onboarding for TDC 4900: rate/CAT offer, PLD/PEP/name matching, vulnerable-person declaration, OTP/SMS, electronic signature, credit creation in SmartVista, OnBase expediente and welcome kit.</t>
  </si>
  <si>
    <t>Idempotency prevents duplicate card status changes, duplicate notifications, duplicate plan creation and duplicate file processing.</t>
  </si>
  <si>
    <t>12.3.1</t>
  </si>
  <si>
    <t>HDU-SMART-R4-16 to 21; HDU-SIWEB-R4-01 to 04; HDU-CAT-R4-01 to 12; HDU-TDC-R4-01,03-08,10,13,14,16-21,23-27,34</t>
  </si>
  <si>
    <t>Enforcement of at-least-once or effectively-once delivery with consumer-side duplicate suppression.</t>
  </si>
  <si>
    <t>Idempotency keys should be mandatory.</t>
  </si>
  <si>
    <t>12.3.2 Dead Letter &amp; Error Topic Management</t>
  </si>
  <si>
    <t>Dead-letter handling supports repair when an event cannot be consumed or processed.</t>
  </si>
  <si>
    <t>12.3.2</t>
  </si>
  <si>
    <t>Isolation, inspection and controlled reprocessing of undeliverable or failed messages.</t>
  </si>
  <si>
    <t>Define DLQ ownership and operational runbook.</t>
  </si>
  <si>
    <t>12.3.3 Delivery Assurance Reporting</t>
  </si>
  <si>
    <t>Reports delivery success/failure so operations can prove that notifications/status/accounting events were consumed.</t>
  </si>
  <si>
    <t>12.3.3</t>
  </si>
  <si>
    <t>Evidence of publication and consumption completeness for control and reconciliation purposes.</t>
  </si>
  <si>
    <t>Needed for hypercare and audit.</t>
  </si>
  <si>
    <t>12.4 Event Registry &amp; Contract Governance</t>
  </si>
  <si>
    <t>Governed event contracts keep consumers stable as R4 evolves to R4.5/R5.</t>
  </si>
  <si>
    <t>12.4</t>
  </si>
  <si>
    <t>Authoritative catalogue of event definitions and canonical schemas, with versioning, compatibility rules and consumer registration.</t>
  </si>
  <si>
    <t>BIAN/API/event governance; Confluent/Kafka stack; no separate schema registry/catalogue product is explicitly evidenced.</t>
  </si>
  <si>
    <t>Build a bounded R4 event catalogue.</t>
  </si>
  <si>
    <t>12.4.1 Event Definitions &amp; Canonical Schemas</t>
  </si>
  <si>
    <t>Canonical customer, account, credit-line, physical/digital card, transaction, commission, lot and deferred-plan data across R4 channels and systems.</t>
  </si>
  <si>
    <t>Defines canonical schemas for card status, customer/card creation, deferred plan and accounting/payment events.</t>
  </si>
  <si>
    <t>12.4.1</t>
  </si>
  <si>
    <t>IAPP01, ICAT01-04/07, ISV03-07 plus implied canonical data feeds</t>
  </si>
  <si>
    <t>Published, standards-aligned event contracts (BIAN-aligned or canonical-custom) with ownership.</t>
  </si>
  <si>
    <t>Schemas must align with canonical data model.</t>
  </si>
  <si>
    <t>12.4.2 Schema Versioning &amp; Compatibility Control</t>
  </si>
  <si>
    <t>Maintains compatibility when event definitions change across releases.</t>
  </si>
  <si>
    <t>12.4.2</t>
  </si>
  <si>
    <t>Enforced compatibility rules and controlled evolution of event schemas.</t>
  </si>
  <si>
    <t>Needed if multiple releases run in parallel.</t>
  </si>
  <si>
    <t>12.4.3 Event Catalogue &amp; Consumer Registration</t>
  </si>
  <si>
    <t>Registers event consumers so impact of changes and failures can be managed.</t>
  </si>
  <si>
    <t>12.4.3</t>
  </si>
  <si>
    <t>Discoverable inventory of events with registered consumers and dependency visibility.</t>
  </si>
  <si>
    <t>Event consumer list not evidenced.</t>
  </si>
  <si>
    <t>12.6 Event Monitoring</t>
  </si>
  <si>
    <t>Monitors event flows and consumer health to detect delayed or failed cross-channel updates.</t>
  </si>
  <si>
    <t>12.6</t>
  </si>
  <si>
    <t>Implied by cross-channel status and accounting events</t>
  </si>
  <si>
    <t>Operational monitoring of the event backbone - throughput, consumer lag, error rates, schema violations - and traceability of individual events for audit and investigation.</t>
  </si>
  <si>
    <t>DataDog event-flow/consumer-lag monitoring target; Exabeam/CloudTrail for audit; Event Processor/Router telemetry.</t>
  </si>
  <si>
    <t>Define event KPIs and alerting.</t>
  </si>
  <si>
    <t>12.6.2 Event Auditing &amp; Traceability</t>
  </si>
  <si>
    <t>Provides audit traceability for evented changes to cards, customers, payments and documents.</t>
  </si>
  <si>
    <t>12.6.2</t>
  </si>
  <si>
    <t>Implied by audit and support needs</t>
  </si>
  <si>
    <t>Correlated tracing of individual events across producers, brokers and consumers.</t>
  </si>
  <si>
    <t>Event audit should tie to correlation and folio IDs.</t>
  </si>
  <si>
    <t>6.1 Omnichannel Data Management</t>
  </si>
  <si>
    <t>APP BanCoppel coexistence of physical/digital cards and legacy/SmartVista products: home, detail, movements, on/off, activation and consolidated credit view. CAT/IVR/ICCAT servicing for product 4900: customer lookup, authentication, balance/movement inquiry, block/unblock, cancellation and cross-channel status update. SIWEB branch operations for payments, deferred-purchase settlement/cancellation, lot receipt and positive-balance validation.</t>
  </si>
  <si>
    <t>Provides a consistent omnichannel view of customer, product, card and transaction data during coexistence.</t>
  </si>
  <si>
    <t>6.1</t>
  </si>
  <si>
    <t>6.0 Omnichannel &amp; Caching Components</t>
  </si>
  <si>
    <t>Temporary and working storage of in-progress interaction data, with access services that let any channel read and continue a journey started elsewhere.</t>
  </si>
  <si>
    <t>App BanCoppel, Web/OFI, Sucursal, ATM, CAT and Teller Multi Core; Apificación de Canales; Golden Record/Party-CIF; Apolo onboarding.</t>
  </si>
  <si>
    <t>Define whether this is API-composed, cached or stored.</t>
  </si>
  <si>
    <t>6.1.1 Omnichannel Data Store</t>
  </si>
  <si>
    <t>APP BanCoppel coexistence of physical/digital cards and legacy/SmartVista products: home, detail, movements, on/off, activation and consolidated credit view. and CAT/SIWEB views.</t>
  </si>
  <si>
    <t>Stores or materializes the operational view needed by channels without each channel integrating separately.</t>
  </si>
  <si>
    <t>6.1.1</t>
  </si>
  <si>
    <t>Durable working store for partially completed interactions and journey state across channels.</t>
  </si>
  <si>
    <t>Can be satisfied by composed APIs if latency and availability are met.</t>
  </si>
  <si>
    <t>6.1.2 Omnichannel Data Access Services</t>
  </si>
  <si>
    <t>Exposes consistent data access services for home/detail, product/status lookup and balance/movement inquiries.</t>
  </si>
  <si>
    <t>6.1.2</t>
  </si>
  <si>
    <t>IAPP01; ICAT01-ICAT07</t>
  </si>
  <si>
    <t>Standard services through which channels read, update and complete stored journey data.</t>
  </si>
  <si>
    <t>Formalize reusable SmartVista facade services.</t>
  </si>
  <si>
    <t>6.1.3 Journey Resumption &amp; Auto-Completion</t>
  </si>
  <si>
    <t>Apolo onboarding for TDC 4900: rate/CAT offer, PLD/PEP/name matching, vulnerable-person declaration, OTP/SMS, electronic signature, credit creation in SmartVista, OnBase expediente and welcome kit. and assisted-channel continuation.</t>
  </si>
  <si>
    <t>Allows a customer journey to resume across channels or after interruption without rework.</t>
  </si>
  <si>
    <t>6.1.3</t>
  </si>
  <si>
    <t>Retrieval and pre-population of previously captured data when a customer resumes on the same or a different channel.</t>
  </si>
  <si>
    <t>Applies if R4 enables cross-channel continuation beyond basic onboarding.</t>
  </si>
  <si>
    <t>6.2.2 Cache Invalidation &amp; Refresh Control</t>
  </si>
  <si>
    <t>APP BanCoppel coexistence of physical/digital cards and legacy/SmartVista products: home, detail, movements, on/off, activation and consolidated credit view. CAT/IVR/ICCAT servicing for product 4900: customer lookup, authentication, balance/movement inquiry, block/unblock, cancellation and cross-channel status update. CAT/IVR/ICCAT servicing for product 4900: customer lookup, authentication, balance/movement inquiry, block/unblock, cancellation and cross-channel status update.</t>
  </si>
  <si>
    <t>Invalidates cached channel views after activation, block, unblock, cancellation, balance or deferred-payment changes.</t>
  </si>
  <si>
    <t>6.2.2</t>
  </si>
  <si>
    <t>SMART-4219, SMART-3964, SMART-4226, SMART-3963, SMART-3966, PTCF-6144, SMART-3962; HDU-CAT-R4-01 to 12; HDU-SMART-R4-16 to 21; HDU-SIWEB-R4-01 to 04</t>
  </si>
  <si>
    <t>Policy and event-driven invalidation and refresh to bound staleness.</t>
  </si>
  <si>
    <t>Redis in Apolo stack; Modyo/AWS CloudFront for static content; YugabyteDB for operational data. Cache invalidation tool not specifically named.</t>
  </si>
  <si>
    <t>Define refresh rules and stale-data tolerance.</t>
  </si>
  <si>
    <t>6.3 Session Management &amp; Replication</t>
  </si>
  <si>
    <t>CAT/IVR/ICCAT servicing for product 4900: customer lookup, authentication, balance/movement inquiry, block/unblock, cancellation and cross-channel status update. Apolo onboarding for TDC 4900: rate/CAT offer, PLD/PEP/name matching, vulnerable-person declaration, OTP/SMS, electronic signature, credit creation in SmartVista, OnBase expediente and welcome kit.</t>
  </si>
  <si>
    <t>Maintains session state for OTP/onboarding and CAT authentication within the same call.</t>
  </si>
  <si>
    <t>6.3</t>
  </si>
  <si>
    <t>HDU-CAT-R4-01 to 12; HDU-TDC-R4-01,03-08,10,13,14,16-21,23-27,34</t>
  </si>
  <si>
    <t>ICAT01-ICAT07; Apolo-&gt;SmartVista, Apolo-&gt;OnBase, signature, OTP/SMS, email and PLD/name-matching integrations implied by HUs; not fully present in integration inventory</t>
  </si>
  <si>
    <t>Caching and replication of session state across instances, availability zones and domains so that channel sessions survive failure and cross domain boundaries.</t>
  </si>
  <si>
    <t>Redis and Modyo/Apolo session support are evidenced; no separate enterprise session-replication product is named.</t>
  </si>
  <si>
    <t>Confirm session ownership by channel and integration layer.</t>
  </si>
  <si>
    <t>6.3.1 Session Caching</t>
  </si>
  <si>
    <t>CAT/IVR/ICCAT servicing for product 4900: customer lookup, authentication, balance/movement inquiry, block/unblock, cancellation and cross-channel status update. and OTP validation.</t>
  </si>
  <si>
    <t>Caches session/authentication data to avoid repeated authentication within the same call or flow.</t>
  </si>
  <si>
    <t>6.3.1</t>
  </si>
  <si>
    <t>Fast storage and retrieval of session context for authenticated interactions.</t>
  </si>
  <si>
    <t>Define TTL and security controls.</t>
  </si>
  <si>
    <t>6.3.2 Inter-Domain Session Replication</t>
  </si>
  <si>
    <t>CAT/IVR/ICCAT servicing for product 4900: customer lookup, authentication, balance/movement inquiry, block/unblock, cancellation and cross-channel status update. agent routing and channel handoff.</t>
  </si>
  <si>
    <t>Replicates enough session context across IVR/ICCAT/agent handoffs so the customer is not revalidated unnecessarily.</t>
  </si>
  <si>
    <t>6.3.2</t>
  </si>
  <si>
    <t>HDU-CAT-R4-01 to 12</t>
  </si>
  <si>
    <t>ICAT03</t>
  </si>
  <si>
    <t>Replication of session state across domains and instances, typically on a distributed cache.</t>
  </si>
  <si>
    <t>Scope depends on CAT provider design.</t>
  </si>
  <si>
    <t>6.4.2 Low-Latency Read Serving</t>
  </si>
  <si>
    <t>Serves low-latency read views for home/detail/balance/movement screens where backend latency would degrade service.</t>
  </si>
  <si>
    <t>6.4.2</t>
  </si>
  <si>
    <t>Serving of read views to channels from a cached or replicated store rather than the system of record.</t>
  </si>
  <si>
    <t>No specific transaction-cache product is evidenced; related platforms are Redis, YugabyteDB, Transact TDH and SmartVista operational stores.</t>
  </si>
  <si>
    <t>Evaluate after NFRs are completed; volumes/response times are blank in inventory.</t>
  </si>
  <si>
    <t>6.4.3 Read Consistency Management</t>
  </si>
  <si>
    <t>Ensures reads after write show the correct card status, balance and positive-balance rejection results.</t>
  </si>
  <si>
    <t>6.4.3</t>
  </si>
  <si>
    <t>Explicit staleness bounds, refresh triggers and consistency indicators for served read views.</t>
  </si>
  <si>
    <t>Define consistency requirements per operation.</t>
  </si>
  <si>
    <t>11.1 Data Catalogue &amp; Modelling</t>
  </si>
  <si>
    <t>Creates shared data definitions and ownership for R4 entities.</t>
  </si>
  <si>
    <t>11.1</t>
  </si>
  <si>
    <t>11.0 Data Delivery</t>
  </si>
  <si>
    <t>Discovery, description, governance and quality management of data assets: catalogue and inventory, metadata (passive, runtime and active), lineage, semantic enrichment, profiling, and access and privacy control.</t>
  </si>
  <si>
    <t>Data Warehouse; DataStage ETL; Temenos Data Hub (TDH); Golden Record/Party-CIF; Risklogic/Bajaware feeds; data governance/privacy controls.</t>
  </si>
  <si>
    <t>Complete source-of-truth decisions.</t>
  </si>
  <si>
    <t>11.1.1 Data Catalogue &amp; Inventory</t>
  </si>
  <si>
    <t>Catalogues required data assets, owners and consumers for R4.</t>
  </si>
  <si>
    <t>11.1.1</t>
  </si>
  <si>
    <t>Searchable inventory of data assets, domains, owners and definitions across the estate.</t>
  </si>
  <si>
    <t>Inventory currently focuses on interfaces, not data assets.</t>
  </si>
  <si>
    <t>11.1.2 Metadata Management</t>
  </si>
  <si>
    <t>Defines metadata for customer, account, card, transaction, commission, lot and deferred-plan data.</t>
  </si>
  <si>
    <t>11.1.2</t>
  </si>
  <si>
    <t>Management of passive, runtime and active metadata, including inference and automated recommendation.</t>
  </si>
  <si>
    <t>Add semantic definitions and field-level ownership.</t>
  </si>
  <si>
    <t>11.1.3 Data Lineage</t>
  </si>
  <si>
    <t>MCI/MSI and deferred-purchase operations: campaigns, eligibility/calculation, plan creation, early payment, liquidation, cancellation and accounting effects. Apolo onboarding for TDC 4900: rate/CAT offer, PLD/PEP/name matching, vulnerable-person declaration, OTP/SMS, electronic signature, credit creation in SmartVista, OnBase expediente and welcome kit. SmartVista card manufacturing and branch supply: maquila layout certification, re-order calculation, secure files, PGP/Connect:Direct transfer, lot tracking and SIWEB lot receipt/cancellation.</t>
  </si>
  <si>
    <t>Traces data lineage from origin to channel, document store, accounting and reports.</t>
  </si>
  <si>
    <t>11.1.3</t>
  </si>
  <si>
    <t>HDU-SMART-R4-16 to 21; HDU-SIWEB-R4-01 to 04; HDU-TDC-R4-01,03-08,10,13,14,16-21,23-27,34; HDU-SMART-R4-01 to 08</t>
  </si>
  <si>
    <t>End-to-end traceability of data origin, transformation and consumption paths.</t>
  </si>
  <si>
    <t>Needed for audit/reconciliation; not visible in current inventory.</t>
  </si>
  <si>
    <t>11.1.5 Data Profiling &amp; Quality</t>
  </si>
  <si>
    <t>Validates data quality before SmartVista creation, channel display, lot processing and accounting.</t>
  </si>
  <si>
    <t>11.1.5</t>
  </si>
  <si>
    <t>Automated profiling, rule-based quality measurement and remediation workflow.</t>
  </si>
  <si>
    <t>Define data quality gates and rejection handling.</t>
  </si>
  <si>
    <t>11.1.6 Data Governance, Access &amp; Privacy</t>
  </si>
  <si>
    <t>Controls privacy/access for PII, card, KYC, document and transaction data.</t>
  </si>
  <si>
    <t>11.1.6</t>
  </si>
  <si>
    <t>Ownership, classification, entitlement, retention and privacy controls over data assets.</t>
  </si>
  <si>
    <t>Must align with PCI/KYC/security requirements.</t>
  </si>
  <si>
    <t>11.2 Data Pipelines &amp; Delivery</t>
  </si>
  <si>
    <t>SmartVista card manufacturing and branch supply: maquila layout certification, re-order calculation, secure files, PGP/Connect:Direct transfer, lot tracking and SIWEB lot receipt/cancellation. Canonical customer, account, credit-line, physical/digital card, transaction, commission, lot and deferred-plan data across R4 channels and systems.</t>
  </si>
  <si>
    <t>Moves data across batch, real-time and near-real-time patterns required by R4.</t>
  </si>
  <si>
    <t>11.2</t>
  </si>
  <si>
    <t>HDU-SMART-R4-01 to 08; Multiple HUs across Apolo, APP, CAT, SmartVista and SIWEB</t>
  </si>
  <si>
    <t>Movement of data between sources, stores and consumers at the required latency: batch integration, stream integration, replication and virtualised access, from legacy systems, files, lakes, cloud stores and external providers.</t>
  </si>
  <si>
    <t>DataStage ETL/ELT; Data Warehouse; TDH; PISA/Informix extraction; Oracle/YugabyteDB; batch/COB pipelines; DataDog monitoring.</t>
  </si>
  <si>
    <t>Complete data pipeline inventory.</t>
  </si>
  <si>
    <t>11.2.1 Batch Data Integration</t>
  </si>
  <si>
    <t>SmartVista card manufacturing and branch supply: maquila layout certification, re-order calculation, secure files, PGP/Connect:Direct transfer, lot tracking and SIWEB lot receipt/cancellation. and EOD reporting.</t>
  </si>
  <si>
    <t>Supports batch data/file flows such as maquila and reporting/reconciliation extracts.</t>
  </si>
  <si>
    <t>11.2.1</t>
  </si>
  <si>
    <t>Scheduled extraction, transformation and loading of data at file or set level.</t>
  </si>
  <si>
    <t>Define batch window, acknowledgements and error handling.</t>
  </si>
  <si>
    <t>11.2.2 Stream Data Integration</t>
  </si>
  <si>
    <t>APP BanCoppel coexistence of physical/digital cards and legacy/SmartVista products: home, detail, movements, on/off, activation and consolidated credit view. CAT/IVR/ICCAT servicing for product 4900: customer lookup, authentication, balance/movement inquiry, block/unblock, cancellation and cross-channel status update. and status/notification events.</t>
  </si>
  <si>
    <t>Supports near-real-time propagation of status, transaction and channel cache updates.</t>
  </si>
  <si>
    <t>11.2.2</t>
  </si>
  <si>
    <t>Event flows mostly implied, not fully inventoried</t>
  </si>
  <si>
    <t>Continuous, low-latency data movement from operational sources to consumers.</t>
  </si>
  <si>
    <t>Temenos Data Hub near-real-time extraction; Amazon Kinesis; Kafka/Confluent; Event Framework; DataDog monitoring.</t>
  </si>
  <si>
    <t>Confirm event vs API polling design.</t>
  </si>
  <si>
    <t>11.2.3 Data Replication</t>
  </si>
  <si>
    <t>Replicates or synchronizes data needed for channel reads, reporting and operations during coexistence.</t>
  </si>
  <si>
    <t>11.2.3</t>
  </si>
  <si>
    <t>Maintenance of synchronised copies of source data in target stores.</t>
  </si>
  <si>
    <t>Define freshness, conflict handling and reconciliation.</t>
  </si>
  <si>
    <t>11.2.5 Pipeline Orchestration &amp; Monitoring</t>
  </si>
  <si>
    <t>Monitors data pipelines so missed/late loads do not silently corrupt channel or accounting views.</t>
  </si>
  <si>
    <t>11.2.5</t>
  </si>
  <si>
    <t>Scheduling, dependency management and monitoring of data pipelines with failure handling.</t>
  </si>
  <si>
    <t>Add pipeline SLA and alerting.</t>
  </si>
  <si>
    <t>11.3 Operational Data Store &amp; Unified Data Model</t>
  </si>
  <si>
    <t>Provides the unified operational view required for cross-core product and instrument coexistence.</t>
  </si>
  <si>
    <t>11.3</t>
  </si>
  <si>
    <t>A standardised operational data model holding a real-time, multi-source view of key business entities, consolidated across legacy and next-generation cores and served to consumers as the bank's data layer.</t>
  </si>
  <si>
    <t>Golden Record/Party-CIF; Informix/PISA legacy master data; Temenos TDH; Data Warehouse; YugabyteDB/Oracle; cross-core consolidation through APIs and DataStage.</t>
  </si>
  <si>
    <t>Can be physical ODS or API-composed if NFRs are met.</t>
  </si>
  <si>
    <t>11.3.1 Unified / Canonical Data Model</t>
  </si>
  <si>
    <t>Defines canonical entities and status/value sets used by all R4 channels.</t>
  </si>
  <si>
    <t>11.3.1</t>
  </si>
  <si>
    <t>Standardised entity and attribute model spanning customer, account, product and transaction domains.</t>
  </si>
  <si>
    <t>Central canonical model is a design-freeze prerequisite.</t>
  </si>
  <si>
    <t>11.3.2 Cross-Core Real-Time Consolidation</t>
  </si>
  <si>
    <t>APP BanCoppel coexistence of physical/digital cards and legacy/SmartVista products: home, detail, movements, on/off, activation and consolidated credit view. CAT/IVR/ICCAT servicing for product 4900: customer lookup, authentication, balance/movement inquiry, block/unblock, cancellation and cross-channel status update. legacy/SmartVista coexistence.</t>
  </si>
  <si>
    <t>Consolidates product location and account/card views across legacy and SmartVista in real time where required.</t>
  </si>
  <si>
    <t>11.3.2</t>
  </si>
  <si>
    <t>Assembly of a current view from multiple concurrent systems of record during coexistence.</t>
  </si>
  <si>
    <t>This is the core of product/instrument coexistence routing.</t>
  </si>
  <si>
    <t>11.3.3 Multi-Speed Data Delivery Engine</t>
  </si>
  <si>
    <t>Handles different speeds: real-time servicing, daily/EOD batch, asynchronous events and reporting feeds.</t>
  </si>
  <si>
    <t>11.3.3</t>
  </si>
  <si>
    <t>Reconciliation of data arriving at different rates from batch pipelines and event streams into one served view.</t>
  </si>
  <si>
    <t>Current inventory mixes API with Diaria/EOD; clarify semantics.</t>
  </si>
  <si>
    <t>11.3.4 Operational Data Store Serving &amp; Access Control</t>
  </si>
  <si>
    <t>Serves operational data safely with access controls by channel and role.</t>
  </si>
  <si>
    <t>11.3.4</t>
  </si>
  <si>
    <t>Serving of the consolidated model to consumers with entitlement and audit control.</t>
  </si>
  <si>
    <t>Define access and masking rules.</t>
  </si>
  <si>
    <t>11.4.1 Data APIs</t>
  </si>
  <si>
    <t>Exposes canonical data via APIs to channels and operations.</t>
  </si>
  <si>
    <t>11.4.1</t>
  </si>
  <si>
    <t>Contract-governed API access to catalogued data products.</t>
  </si>
  <si>
    <t>OFS/IRIS REST APIs; Apigee/MuleSoft data APIs; Data Warehouse feeds; Bajaware/Risklogic regulatory analytics; Google Analytics; DataStage.</t>
  </si>
  <si>
    <t>Avoid raw SmartVista contract exposure.</t>
  </si>
  <si>
    <t>11.4.2 Analytics &amp; Reporting Feeds</t>
  </si>
  <si>
    <t>MCI/MSI and deferred-purchase operations: campaigns, eligibility/calculation, plan creation, early payment, liquidation, cancellation and accounting effects. accounting, compliance and R4 status reporting.</t>
  </si>
  <si>
    <t>Feeds analytical, operational and regulatory/reporting needs from SmartVista/SIWEB/APPO/CAT events and transactions.</t>
  </si>
  <si>
    <t>11.4.2</t>
  </si>
  <si>
    <t>Curated feeds to warehouse, lakehouse, business intelligence and regulatory reporting consumers.</t>
  </si>
  <si>
    <t>Define reporting feeds and reconciliation controls.</t>
  </si>
  <si>
    <t>3.1 Folio Operations</t>
  </si>
  <si>
    <t>Creates business folios/reference groups for onboarding, card/lots, deferred plans and operational repair.</t>
  </si>
  <si>
    <t>3.1</t>
  </si>
  <si>
    <t>3.0 Operations</t>
  </si>
  <si>
    <t>Grouping of the technical operations that make up a single business transaction under one business reference, with the ability to retrieve, report on and act upon that group as a unit.</t>
  </si>
  <si>
    <t>No dedicated folio service is evidenced; related identifiers/reporting are in PMO dashboards, Transact/SmartVista operational records and Data Warehouse reporting.</t>
  </si>
  <si>
    <t>Hierarchy indicates no dedicated folio service evidenced; standardize pattern.</t>
  </si>
  <si>
    <t>3.1.1 Business Reference Grouping</t>
  </si>
  <si>
    <t>Apolo onboarding for TDC 4900: rate/CAT offer, PLD/PEP/name matching, vulnerable-person declaration, OTP/SMS, electronic signature, credit creation in SmartVista, OnBase expediente and welcome kit. SmartVista card manufacturing and branch supply: maquila layout certification, re-order calculation, secure files, PGP/Connect:Direct transfer, lot tracking and SIWEB lot receipt/cancellation. MCI/MSI and deferred-purchase operations: campaigns, eligibility/calculation, plan creation, early payment, liquidation, cancellation and accounting effects.</t>
  </si>
  <si>
    <t>Groups related technical transactions under one customer/business reference.</t>
  </si>
  <si>
    <t>3.1.1</t>
  </si>
  <si>
    <t>HDU-TDC-R4-01,03-08,10,13,14,16-21,23-27,34; HDU-SMART-R4-01 to 08; HDU-SMART-R4-16 to 21; HDU-SIWEB-R4-01 to 04</t>
  </si>
  <si>
    <t>Association of all technical operations belonging to one business transaction under a single reference.</t>
  </si>
  <si>
    <t>Map folio to integration/correlation IDs.</t>
  </si>
  <si>
    <t>3.1.2 Folio Enquiry &amp; Reporting</t>
  </si>
  <si>
    <t>Allows inquiry/reporting by business folio for support, audit and hypercare.</t>
  </si>
  <si>
    <t>3.1.2</t>
  </si>
  <si>
    <t>Retrieval and reporting of grouped operations for support, control and customer enquiry.</t>
  </si>
  <si>
    <t>Define who can search and repair by folio.</t>
  </si>
  <si>
    <t>3.2 Feature Flag Management</t>
  </si>
  <si>
    <t>APP BanCoppel coexistence of physical/digital cards and legacy/SmartVista products: home, detail, movements, on/off, activation and consolidated credit view. Positive-balance controls across SmartVista, APP, SIWEB, SPEI/payment channels and branch cash operations. MCI/MSI and deferred-purchase operations: campaigns, eligibility/calculation, plan creation, early payment, liquidation, cancellation and accounting effects.</t>
  </si>
  <si>
    <t>Controls progressive rollout, channel enablement and rollback of risky R4 capabilities.</t>
  </si>
  <si>
    <t>3.2</t>
  </si>
  <si>
    <t>SMART-4219, SMART-3964, SMART-4226, SMART-3963, SMART-3966, PTCF-6144, SMART-3962; HDU-SMART-R4-12,13,15; HDU-SIWEB-R4-05; SMART-4183/backlog; APP other-amount story; HDU-SMART-R4-16 to 21; HDU-SIWEB-R4-01 to 04</t>
  </si>
  <si>
    <t>Runtime configuration of feature availability, allowing behaviour to be enabled, targeted or withdrawn per consumer, entity, channel or traffic share without redeployment.</t>
  </si>
  <si>
    <t>Feature flags are referenced as a channel innovation practice, but no tool is named; deployment rollback uses DevSecOps pipelines/Helm and platform rollback controls.</t>
  </si>
  <si>
    <t>Hierarchy indicates no named feature-flag tool evidenced.</t>
  </si>
  <si>
    <t>3.2.1 Feature Toggle Configuration</t>
  </si>
  <si>
    <t>Turns R4 features on/off by channel/product/cohort without code releases.</t>
  </si>
  <si>
    <t>3.2.1</t>
  </si>
  <si>
    <t>Definition and administration of flags with targeting rules and audit of change.</t>
  </si>
  <si>
    <t>Define feature-flag system and governance.</t>
  </si>
  <si>
    <t>3.2.2 Progressive Exposure &amp; Rollback Control</t>
  </si>
  <si>
    <t>Supports gradual exposure and rollback for R4 launch and hypercare.</t>
  </si>
  <si>
    <t>3.2.2</t>
  </si>
  <si>
    <t>Traffic-share and cohort-based exposure with immediate withdrawal capability.</t>
  </si>
  <si>
    <t>Needed to reduce go-live blast radius.</t>
  </si>
  <si>
    <t>3.3 Distributed UUID &amp; Correlation Services</t>
  </si>
  <si>
    <t>Provides unique IDs and correlation across APIs, files, events and logs.</t>
  </si>
  <si>
    <t>3.3</t>
  </si>
  <si>
    <t>Generation of collision-free unique identifiers across distributed components and consistent propagation of correlation identifiers through synchronous and asynchronous paths.</t>
  </si>
  <si>
    <t>No standalone UUID/correlation service is evidenced; likely handled by Apigee/MuleSoft/Istio/DataDog patterns and application-level identifiers.</t>
  </si>
  <si>
    <t>Critical for incident diagnosis and transaction integrity.</t>
  </si>
  <si>
    <t>3.3.1 Unique Identifier Generation</t>
  </si>
  <si>
    <t>Generates unique identifiers for business transactions, files and plans to avoid duplicates.</t>
  </si>
  <si>
    <t>3.3.1</t>
  </si>
  <si>
    <t>Distributed, collision-free identifier generation independent of a central sequence.</t>
  </si>
  <si>
    <t>Standardize UUID/idempotency key generation.</t>
  </si>
  <si>
    <t>3.3.2 Correlation Identifier Propagation</t>
  </si>
  <si>
    <t>Propagates correlation across Apolo, API layer, SmartVista, SIWEB, APP, CAT, OnBase and accounting.</t>
  </si>
  <si>
    <t>3.3.2</t>
  </si>
  <si>
    <t>Consistent creation and forwarding of correlation identifiers across all hops and protocols.</t>
  </si>
  <si>
    <t>Make correlation propagation a non-functional requirement.</t>
  </si>
  <si>
    <t>3.4 Platform Administration Consoles</t>
  </si>
  <si>
    <t>Provides administration consoles for service registry, runtime configuration and operational support.</t>
  </si>
  <si>
    <t>3.4</t>
  </si>
  <si>
    <t>Administrative interfaces for the interoperability layer: service registry administration, runtime configuration, and operational control of shared components.</t>
  </si>
  <si>
    <t>Apigee admin/policies; SmartVista Back Office; Transact administration/Product Catalog; DataDog dashboards; Terraform/GitHub configuration management.</t>
  </si>
  <si>
    <t>May be split across tools; needs an operating model.</t>
  </si>
  <si>
    <t>3.4.1 Service Registry Administration</t>
  </si>
  <si>
    <t>Commission catalogue harmonization across SmartVista, APP, SIWEB and EDC for product 4900. Positive-balance controls across SmartVista, APP, SIWEB, SPEI/payment channels and branch cash operations. MCI/MSI and deferred-purchase operations: campaigns, eligibility/calculation, plan creation, early payment, liquidation, cancellation and accounting effects.</t>
  </si>
  <si>
    <t>Administers service/catalogue/parameter records that R4 uses at runtime.</t>
  </si>
  <si>
    <t>3.4.1</t>
  </si>
  <si>
    <t>HDU-SMART-R4-09,10; HDU-SMART-R4-12,13,15; HDU-SIWEB-R4-05; SMART-4183/backlog; APP other-amount story; HDU-SMART-R4-16 to 21; HDU-SIWEB-R4-01 to 04</t>
  </si>
  <si>
    <t>Administration of registered services, their metadata, rules and operational characteristics.</t>
  </si>
  <si>
    <t>Define registry owner and approval workflow.</t>
  </si>
  <si>
    <t>3.4.2 Runtime Configuration Administration</t>
  </si>
  <si>
    <t>Allows controlled runtime parameter updates without ungoverned system changes.</t>
  </si>
  <si>
    <t>3.4.2</t>
  </si>
  <si>
    <t>Controlled administration of runtime parameters with change audit and approval.</t>
  </si>
  <si>
    <t>Audit every runtime configuration change.</t>
  </si>
  <si>
    <t>10.1 Customer &amp; Party Services</t>
  </si>
  <si>
    <t>Apolo onboarding for TDC 4900: rate/CAT offer, PLD/PEP/name matching, vulnerable-person declaration, OTP/SMS, electronic signature, credit creation in SmartVista, OnBase expediente and welcome kit. CAT/IVR/ICCAT servicing for product 4900: customer lookup, authentication, balance/movement inquiry, block/unblock, cancellation and cross-channel status update. APP BanCoppel coexistence of physical/digital cards and legacy/SmartVista products: home, detail, movements, on/off, activation and consolidated credit view.</t>
  </si>
  <si>
    <t>Provides shared customer/party services across onboarding and servicing channels.</t>
  </si>
  <si>
    <t>10.1</t>
  </si>
  <si>
    <t>10.0 Common Business Services (Cross-Domain Coexistence Services)</t>
  </si>
  <si>
    <t>HDU-TDC-R4-01,03-08,10,13,14,16-21,23-27,34; HDU-CAT-R4-01 to 12; SMART-4219, SMART-3964, SMART-4226, SMART-3963, SMART-3966, PTCF-6144, SMART-3962</t>
  </si>
  <si>
    <t>Apolo-&gt;SmartVista, Apolo-&gt;OnBase, signature, OTP/SMS, email and PLD/name-matching integrations implied by HUs; not fully present in integration inventory; ICAT01-ICAT07; IAPP01</t>
  </si>
  <si>
    <t>Shared services providing customer and party master data, relationships and derived attributes to all product domains and channels.</t>
  </si>
  <si>
    <t>Golden Record; Temenos Party/CIF; Informix/PISA customer master; Incode KYC with INE/RENAPO; Apolo Onboarding.</t>
  </si>
  <si>
    <t>Confirm source of truth for customer and phone ownership.</t>
  </si>
  <si>
    <t>10.1.1 Customer Data Services</t>
  </si>
  <si>
    <t>Enables customer lookup, identity resolution, phone validation and customer-to-product relationship display.</t>
  </si>
  <si>
    <t>10.1.1</t>
  </si>
  <si>
    <t>Authoritative access to customer master data, identifiers and attributes as a shared service.</t>
  </si>
  <si>
    <t>Golden Record/Party decisions need formalization.</t>
  </si>
  <si>
    <t>10.1.2 Party Relationship Services</t>
  </si>
  <si>
    <t>Apolo onboarding for TDC 4900: rate/CAT offer, PLD/PEP/name matching, vulnerable-person declaration, OTP/SMS, electronic signature, credit creation in SmartVista, OnBase expediente and welcome kit. KYC/PEP/reference relationships.</t>
  </si>
  <si>
    <t>Handles applicant, relatives/public officials, references and product/instrument relationships.</t>
  </si>
  <si>
    <t>10.1.2</t>
  </si>
  <si>
    <t>Management of relationships between parties, accounts, mandates and authorised representatives.</t>
  </si>
  <si>
    <t>Define relationship model and evidence captured.</t>
  </si>
  <si>
    <t>10.2 Product &amp; Pricing Services</t>
  </si>
  <si>
    <t>Apolo onboarding for TDC 4900: rate/CAT offer, PLD/PEP/name matching, vulnerable-person declaration, OTP/SMS, electronic signature, credit creation in SmartVista, OnBase expediente and welcome kit. APP BanCoppel coexistence of physical/digital cards and legacy/SmartVista products: home, detail, movements, on/off, activation and consolidated credit view. Commission catalogue harmonization across SmartVista, APP, SIWEB and EDC for product 4900. MCI/MSI and deferred-purchase operations: campaigns, eligibility/calculation, plan creation, early payment, liquidation, cancellation and accounting effects.</t>
  </si>
  <si>
    <t>Provides shared product, feature and pricing definitions for product 4900 and related TDC capabilities.</t>
  </si>
  <si>
    <t>10.2</t>
  </si>
  <si>
    <t>HDU-TDC-R4-01,03-08,10,13,14,16-21,23-27,34; SMART-4219, SMART-3964, SMART-4226, SMART-3963, SMART-3966, PTCF-6144, SMART-3962; HDU-SMART-R4-09,10; HDU-SMART-R4-16 to 21; HDU-SIWEB-R4-01 to 04</t>
  </si>
  <si>
    <t>Shared product catalogue, terms, eligibility and fee and pricing calculation services usable by any product processor or channel.</t>
  </si>
  <si>
    <t>Temenos AA Framework and Product Catalog; Interest Engine; Charges; SmartVista product configuration; BRM for pricing/risk rules.</t>
  </si>
  <si>
    <t>Define product catalogue and parameter owner.</t>
  </si>
  <si>
    <t>10.2.1 Product Catalogue Services</t>
  </si>
  <si>
    <t>APP BanCoppel coexistence of physical/digital cards and legacy/SmartVista products: home, detail, movements, on/off, activation and consolidated credit view. legacy/SmartVista physical/digital products and product 4900.</t>
  </si>
  <si>
    <t>Identifies product 4900, physical/digital instruments and legacy/migrated products consistently.</t>
  </si>
  <si>
    <t>10.2.1</t>
  </si>
  <si>
    <t>SMART-4219, SMART-3964, SMART-4226, SMART-3963, SMART-3966, PTCF-6144, SMART-3962</t>
  </si>
  <si>
    <t>IAPP01</t>
  </si>
  <si>
    <t>Central definition of products, variants, terms and eligibility consumed by processors and channels.</t>
  </si>
  <si>
    <t>Needed for product-location and coexistence routing.</t>
  </si>
  <si>
    <t>10.2.2 Fees &amp; Pricing Services</t>
  </si>
  <si>
    <t>Apolo onboarding for TDC 4900: rate/CAT offer, PLD/PEP/name matching, vulnerable-person declaration, OTP/SMS, electronic signature, credit creation in SmartVista, OnBase expediente and welcome kit. Commission catalogue harmonization across SmartVista, APP, SIWEB and EDC for product 4900. MCI/MSI and deferred-purchase operations: campaigns, eligibility/calculation, plan creation, early payment, liquidation, cancellation and accounting effects.</t>
  </si>
  <si>
    <t>Provides rates, CAT, commissions, campaign rates and terms across offer, channel display and deferred-plan calculation.</t>
  </si>
  <si>
    <t>10.2.2</t>
  </si>
  <si>
    <t>HDU-TDC-R4-01,03-08,10,13,14,16-21,23-27,34; HDU-SMART-R4-09,10; HDU-SMART-R4-16 to 21; HDU-SIWEB-R4-01 to 04</t>
  </si>
  <si>
    <t>Centralised calculation and application of fees, charges, rates and discounts.</t>
  </si>
  <si>
    <t>Ensure regulatory commission names and pricing are consistent.</t>
  </si>
  <si>
    <t>10.3 Limits &amp; Risk Services</t>
  </si>
  <si>
    <t>Apolo onboarding for TDC 4900: rate/CAT offer, PLD/PEP/name matching, vulnerable-person declaration, OTP/SMS, electronic signature, credit creation in SmartVista, OnBase expediente and welcome kit. SmartVista/BPC authorizer: 88 authorization and fraud rules, ISO response behaviour and channel-visible outcomes. Positive-balance controls across SmartVista, APP, SIWEB, SPEI/payment channels and branch cash operations. MCI/MSI and deferred-purchase operations: campaigns, eligibility/calculation, plan creation, early payment, liquidation, cancellation and accounting effects.</t>
  </si>
  <si>
    <t>Provides reusable limit/risk capabilities for eligibility, authorization and controls.</t>
  </si>
  <si>
    <t>10.3</t>
  </si>
  <si>
    <t>HDU-TDC-R4-01,03-08,10,13,14,16-21,23-27,34; HDU-SMART-R4-11; HDU-SMART-R4-12,13,15; HDU-SIWEB-R4-05; SMART-4183/backlog; APP other-amount story; HDU-SMART-R4-16 to 21; HDU-SIWEB-R4-01 to 04</t>
  </si>
  <si>
    <t>Apolo-&gt;SmartVista, Apolo-&gt;OnBase, signature, OTP/SMS, email and PLD/name-matching integrations implied by HUs; not fully present in integration inventory; Payment/APP/SIWEB/SPEI interfaces identified in HUs; not fully present in integration inventory; ISV06, ISV07</t>
  </si>
  <si>
    <t>Shared limit definition, checking and consumption tracking, and risk and credit scoring services callable from any journey.</t>
  </si>
  <si>
    <t>BRM; Merit Crediticio; Transact Limits; Risklogic; Buró/SIC integrations; SmartVista fraud/risk controls; PAST.DUE collections.</t>
  </si>
  <si>
    <t>Clarify rule owner and decision audit.</t>
  </si>
  <si>
    <t>10.3.1 Limit Management Services</t>
  </si>
  <si>
    <t>Controls credit line availability, positive-balance limits and cross-channel payment acceptance/rejection.</t>
  </si>
  <si>
    <t>10.3.1</t>
  </si>
  <si>
    <t>Payment/APP/SIWEB/SPEI interfaces identified in HUs; not fully present in integration inventory; ISV06, ISV07</t>
  </si>
  <si>
    <t>Definition, real-time checking and consumption tracking of customer, product and counterparty limits.</t>
  </si>
  <si>
    <t>Positive-balance integration records are incomplete.</t>
  </si>
  <si>
    <t>10.3.2 Risk Scoring Services</t>
  </si>
  <si>
    <t>Apolo onboarding for TDC 4900: rate/CAT offer, PLD/PEP/name matching, vulnerable-person declaration, OTP/SMS, electronic signature, credit creation in SmartVista, OnBase expediente and welcome kit. SmartVista/BPC authorizer: 88 authorization and fraud rules, ISO response behaviour and channel-visible outcomes.</t>
  </si>
  <si>
    <t>Supports PLD/PEP/blacklist, credit/fraud rules and authorization decisions.</t>
  </si>
  <si>
    <t>10.3.2</t>
  </si>
  <si>
    <t>HDU-TDC-R4-01,03-08,10,13,14,16-21,23-27,34; HDU-SMART-R4-11</t>
  </si>
  <si>
    <t>Shared scoring and decisioning services invoked in origination, servicing and monitoring flows.</t>
  </si>
  <si>
    <t>Catalogue all risk/name-matching/authorization service calls.</t>
  </si>
  <si>
    <t>10.4 Financial &amp; Accounting Services</t>
  </si>
  <si>
    <t>MCI/MSI and deferred-purchase operations: campaigns, eligibility/calculation, plan creation, early payment, liquidation, cancellation and accounting effects. Positive-balance controls across SmartVista, APP, SIWEB, SPEI/payment channels and branch cash operations. payments and accounting.</t>
  </si>
  <si>
    <t>Provides financial services around payments, ledger posting, reversals and reconciliation.</t>
  </si>
  <si>
    <t>10.4</t>
  </si>
  <si>
    <t>HDU-SMART-R4-16 to 21; HDU-SIWEB-R4-01 to 04; HDU-SMART-R4-12,13,15; HDU-SIWEB-R4-05; SMART-4183/backlog; APP other-amount story</t>
  </si>
  <si>
    <t>Shared accounting event generation and ledger posting, currency conversion, and payment execution services used across product domains.</t>
  </si>
  <si>
    <t>Transact GL/Accounting and PRD.DES.ACCOUNTING; Funds Transfer/FT; Hub de Pagos/SPEI; SmartVista payments; PISA ledger during coexistence.</t>
  </si>
  <si>
    <t>Accounting design is a Go-Live dependency.</t>
  </si>
  <si>
    <t>10.4.1 Accounting &amp; Ledger Posting Services</t>
  </si>
  <si>
    <t>MCI/MSI and deferred-purchase operations: campaigns, eligibility/calculation, plan creation, early payment, liquidation, cancellation and accounting effects. HDU-SIWEB-R4-04 accounting effects.</t>
  </si>
  <si>
    <t>Posts and reconciles accounting entries for MCI/MSI, early payment, liquidation and cancellation.</t>
  </si>
  <si>
    <t>10.4.1</t>
  </si>
  <si>
    <t>HDU-SMART-R4-18 to 21; HDU-SIWEB-R4-04</t>
  </si>
  <si>
    <t>Generation and posting of accounting events from business transactions to the ledger.</t>
  </si>
  <si>
    <t>Define accounting codes, events, reversals and reconciliation.</t>
  </si>
  <si>
    <t>10.4.3 Payments Services</t>
  </si>
  <si>
    <t>Positive-balance controls across SmartVista, APP, SIWEB, SPEI/payment channels and branch cash operations. MCI/MSI and deferred-purchase operations: campaigns, eligibility/calculation, plan creation, early payment, liquidation, cancellation and accounting effects. branch/channel payments.</t>
  </si>
  <si>
    <t>Executes and validates payments, positive-balance rejection/return, early payment and liquidation.</t>
  </si>
  <si>
    <t>10.4.3</t>
  </si>
  <si>
    <t>HDU-SMART-R4-12,13,15; HDU-SIWEB-R4-05; SMART-4183/backlog; APP other-amount story; HDU-SMART-R4-16 to 21; HDU-SIWEB-R4-01 to 04; HDU-SIWEB-R4-01 to 05; HDU-SMART-R4-08,17,19-21</t>
  </si>
  <si>
    <t>Shared payment initiation, validation, routing and status services across products and channels.</t>
  </si>
  <si>
    <t>Payment channel integration inventory must be completed.</t>
  </si>
  <si>
    <t>10.5 Document &amp; Content Services</t>
  </si>
  <si>
    <t>Apolo onboarding for TDC 4900: rate/CAT offer, PLD/PEP/name matching, vulnerable-person declaration, OTP/SMS, electronic signature, credit creation in SmartVista, OnBase expediente and welcome kit.</t>
  </si>
  <si>
    <t>Provides shared document generation, storage and retrieval for legal/customer evidence.</t>
  </si>
  <si>
    <t>10.5</t>
  </si>
  <si>
    <t>Shared document generation, capture, storage, retrieval and retention services supporting customer and regulatory documentation across all products.</t>
  </si>
  <si>
    <t>OnBase by Hyland for digital files; Modyo/Apolo document capture; Amazon Pinpoint for WelcomeKit; Incode document capture.</t>
  </si>
  <si>
    <t>Document versions must align across display, signature, storage and email.</t>
  </si>
  <si>
    <t>10.5.1 Document Generation &amp; Composition</t>
  </si>
  <si>
    <t>Apolo onboarding for TDC 4900: rate/CAT offer, PLD/PEP/name matching, vulnerable-person declaration, OTP/SMS, electronic signature, credit creation in SmartVista, OnBase expediente and welcome kit. contract, services documents and welcome kit.</t>
  </si>
  <si>
    <t>Generates the correct legal documents, cover/contract package and welcome kit for the customer.</t>
  </si>
  <si>
    <t>10.5.1</t>
  </si>
  <si>
    <t>HDU-TDC-R4-03,17,18,20</t>
  </si>
  <si>
    <t>Template-driven generation of customer and regulatory documents from business events.</t>
  </si>
  <si>
    <t>Define document templates and version control.</t>
  </si>
  <si>
    <t>10.5.2 Document Capture, Storage &amp; Retrieval</t>
  </si>
  <si>
    <t>Apolo onboarding for TDC 4900: rate/CAT offer, PLD/PEP/name matching, vulnerable-person declaration, OTP/SMS, electronic signature, credit creation in SmartVista, OnBase expediente and welcome kit. OnBase expediente and evidence capture.</t>
  </si>
  <si>
    <t>Stores contract, view evidence, signature metadata and digital-file records for audit and service.</t>
  </si>
  <si>
    <t>10.5.2</t>
  </si>
  <si>
    <t>HDU-TDC-R4-17,18,20,25</t>
  </si>
  <si>
    <t>Capture, indexing, secure storage and retrieval of documents with retention policy.</t>
  </si>
  <si>
    <t>Define OnBase metadata and failure/retry handling.</t>
  </si>
  <si>
    <t>10.6 Control &amp; Trust Services</t>
  </si>
  <si>
    <t>Apolo onboarding for TDC 4900: rate/CAT offer, PLD/PEP/name matching, vulnerable-person declaration, OTP/SMS, electronic signature, credit creation in SmartVista, OnBase expediente and welcome kit. SIWEB branch operations for payments, deferred-purchase settlement/cancellation, lot receipt and positive-balance validation. CAT/IVR/ICCAT servicing for product 4900: customer lookup, authentication, balance/movement inquiry, block/unblock, cancellation and cross-channel status update.</t>
  </si>
  <si>
    <t>Provides approval, signature and verification controls for sensitive operations.</t>
  </si>
  <si>
    <t>10.6</t>
  </si>
  <si>
    <t>HDU-TDC-R4-01,03-08,10,13,14,16-21,23-27,34; HDU-SIWEB-R4-01 to 05; HDU-SMART-R4-08,17,19-21; HDU-CAT-R4-01 to 12</t>
  </si>
  <si>
    <t>Shared control services applied across business journeys: approvals and authorisation hierarchies, and HSM-backed signing and verification of business instructions.</t>
  </si>
  <si>
    <t>Golden Record; Transact Party/CIF/AA/Product Catalog/GL/FT; SmartVista; OnBase; Incode; Hub de Pagos; BRM; Risklogic.</t>
  </si>
  <si>
    <t>Map approval/signature events to audit and folio.</t>
  </si>
  <si>
    <t>10.6.1 Approvals Services</t>
  </si>
  <si>
    <t>SIWEB branch operations for payments, deferred-purchase settlement/cancellation, lot receipt and positive-balance validation. branch/operational overrides and sensitive assisted actions.</t>
  </si>
  <si>
    <t>Supports controlled approvals for manager/supervisor actions, manual operations and exceptions.</t>
  </si>
  <si>
    <t>10.6.1</t>
  </si>
  <si>
    <t>HDU-SIWEB-R4-01 to 05; HDU-SMART-R4-08,17,19-21; HDU-SMART-R4-01 to 08; HDU-CAT-R4-01 to 12</t>
  </si>
  <si>
    <t>Interception of service execution for approval, evaluation of role and rule-based authorisation, and completion or rejection.</t>
  </si>
  <si>
    <t>Incode biometric verification and NOM-151 signing; Apolo onboarding approvals; Azure AD/OAuth for access verification; branch/Teller approval flows.</t>
  </si>
  <si>
    <t>R4 stories imply but do not fully specify approval service.</t>
  </si>
  <si>
    <t>10.6.2 Signing &amp; Verification Services</t>
  </si>
  <si>
    <t>Apolo onboarding for TDC 4900: rate/CAT offer, PLD/PEP/name matching, vulnerable-person declaration, OTP/SMS, electronic signature, credit creation in SmartVista, OnBase expediente and welcome kit. electronic signature and verification.</t>
  </si>
  <si>
    <t>Captures/verifies signature and links the signed version to the stored version and welcome-kit delivery.</t>
  </si>
  <si>
    <t>10.6.2</t>
  </si>
  <si>
    <t>HDU-TDC-R4-17,18,20</t>
  </si>
  <si>
    <t>HSM-backed signing and verification of business instructions and documents as a shared service.</t>
  </si>
  <si>
    <t>Define signature status, retry and cancellation handling.</t>
  </si>
  <si>
    <t>R4 Supporting Kernel / Platform Capabilities</t>
  </si>
  <si>
    <t>Kernel capabilities needed to make the domain capabilities production-ready for R4. These complement the domain capability baseline.</t>
  </si>
  <si>
    <t>5.1 API Gateway &amp; Runtime Mediation</t>
  </si>
  <si>
    <t>APP BanCoppel coexistence of physical/digital cards and legacy/SmartVista products: home, detail, movements, on/off, activation and consolidated credit view. CAT/IVR/ICCAT servicing for product 4900: customer lookup, authentication, balance/movement inquiry, block/unblock, cancellation and cross-channel status update. SIWEB branch operations for payments, deferred-purchase settlement/cancellation, lot receipt and positive-balance validation. Apolo onboarding for TDC 4900: rate/CAT offer, PLD/PEP/name matching, vulnerable-person declaration, OTP/SMS, electronic signature, credit creation in SmartVista, OnBase expediente and welcome kit.</t>
  </si>
  <si>
    <t>Runtime API gateway mediation protects channels and backends with one governed access pattern.</t>
  </si>
  <si>
    <t>5.1</t>
  </si>
  <si>
    <t>5.0 API Management</t>
  </si>
  <si>
    <t>Kernel &amp; Platform</t>
  </si>
  <si>
    <t>Runtime plane that terminates, validates, mediates and routes API traffic between consumers and providers, applying policy at the point of invocation rather than inside application code.</t>
  </si>
  <si>
    <t>Apigee API Gateway/API Management; MuleSoft integration/orchestration; WebMethods BPM/BRM; BIAN-aligned APIs; Transact OFS/IRIS REST APIs.</t>
  </si>
  <si>
    <t>Expose SmartVista/domain facade instead of raw backend APIs.</t>
  </si>
  <si>
    <t>5.1.1 Routing</t>
  </si>
  <si>
    <t>APP BanCoppel coexistence of physical/digital cards and legacy/SmartVista products: home, detail, movements, on/off, activation and consolidated credit view. CAT/IVR/ICCAT servicing for product 4900: customer lookup, authentication, balance/movement inquiry, block/unblock, cancellation and cross-channel status update. product-location routing.</t>
  </si>
  <si>
    <t>Routes requests to SmartVista or legacy/backing service based on product, instrument and operation.</t>
  </si>
  <si>
    <t>5.1.1</t>
  </si>
  <si>
    <t>Resolution of a logical API contract to one or more physical service endpoints, including host, version and environment-based routing.</t>
  </si>
  <si>
    <t>Create explicit routing rules and ownership.</t>
  </si>
  <si>
    <t>5.1.2 Mediation &amp; Message Transformation</t>
  </si>
  <si>
    <t>Transforms messages so channels are insulated from backend-specific formats.</t>
  </si>
  <si>
    <t>5.1.2</t>
  </si>
  <si>
    <t>Protocol and payload adaptation at the edge (REST, SOAP, gRPC, legacy protocols), including header manipulation and canonical-to-native mapping.</t>
  </si>
  <si>
    <t>Align with 6.2.1 and canonical model.</t>
  </si>
  <si>
    <t>5.1.5 Error Handling &amp; Fault Normalisation</t>
  </si>
  <si>
    <t>CAT/IVR/ICCAT servicing for product 4900: customer lookup, authentication, balance/movement inquiry, block/unblock, cancellation and cross-channel status update. APP BanCoppel coexistence of physical/digital cards and legacy/SmartVista products: home, detail, movements, on/off, activation and consolidated credit view. SIWEB branch operations for payments, deferred-purchase settlement/cancellation, lot receipt and positive-balance validation.</t>
  </si>
  <si>
    <t>Normalizes errors and business rejection messages, especially positive-balance, authentication and card status outcomes.</t>
  </si>
  <si>
    <t>5.1.5</t>
  </si>
  <si>
    <t>HDU-SMART-R4-12,13,15; HDU-SIWEB-R4-05; SMART-4183/backlog; APP other-amount story; HDU-CAT-R4-01 to 12; SMART-4219, SMART-3964, SMART-4226, SMART-3963, SMART-3966, PTCF-6144, SMART-3962</t>
  </si>
  <si>
    <t>ICAT01-ICAT07; IAPP01; Payment/APP/SIWEB/SPEI interfaces identified in HUs; not fully present in integration inventory</t>
  </si>
  <si>
    <t>Standardised error taxonomy, fault mapping and response codes across heterogeneous backends.</t>
  </si>
  <si>
    <t>Create common error taxonomy.</t>
  </si>
  <si>
    <t>5.2.1 API Design &amp; Contract Standards</t>
  </si>
  <si>
    <t>Defines API contracts before build/test, avoiding undocumented reuse or direct backend coupling.</t>
  </si>
  <si>
    <t>5.2.1</t>
  </si>
  <si>
    <t>Definition and enforcement of interface standards, canonical or BIAN-aligned naming, and design review gates before publication.</t>
  </si>
  <si>
    <t>BIAN API standards; Apigee API lifecycle/governance; OpenAPI/Swagger-style API documentation for OfiWeb/Canales; API change controlled by architecture governance.</t>
  </si>
  <si>
    <t>Complete missing APIs from Apolo/payment/accounting/status flows.</t>
  </si>
  <si>
    <t>5.2.2 API Versioning</t>
  </si>
  <si>
    <t>Versioning allows R4, R4.5 and R5 channel/back-end changes to coexist safely.</t>
  </si>
  <si>
    <t>5.2.2</t>
  </si>
  <si>
    <t>Concurrent support of multiple contract versions with defined compatibility and deprecation rules.</t>
  </si>
  <si>
    <t>Define compatibility and deprecation rules.</t>
  </si>
  <si>
    <t>5.3.2 API Monitoring, Analytics &amp; Monetisation</t>
  </si>
  <si>
    <t>Monitors API usage, errors and latency by R4 journey/channel.</t>
  </si>
  <si>
    <t>5.3.2</t>
  </si>
  <si>
    <t>Consumption metrics, latency and error analytics per API and per consumer, with the metering basis for internal chargeback or partner monetisation.</t>
  </si>
  <si>
    <t>Apigee platform administration and policies; DataDog/API monitoring; DevSecOps pipelines; GCP-hosted Apigee with AWS/on-prem providers.</t>
  </si>
  <si>
    <t>Current integration inventory lacks response times and volumes.</t>
  </si>
  <si>
    <t>4.2.2 Outbound File Gateway</t>
  </si>
  <si>
    <t>SmartVista card manufacturing and branch supply: maquila layout certification, re-order calculation, secure files, PGP/Connect:Direct transfer, lot tracking and SIWEB lot receipt/cancellation.</t>
  </si>
  <si>
    <t>Provides controlled outbound file movement for PGP/Connect:Direct maquila files.</t>
  </si>
  <si>
    <t>4.2.2</t>
  </si>
  <si>
    <t>4.0 Gateway Services</t>
  </si>
  <si>
    <t>Managed generation, encryption, scheduling and transmission of outbound files, superseding unmanaged SFTP arrangements.</t>
  </si>
  <si>
    <t>DataStage ETL; batch/COB interfaces; OnBase document flows; PISA/Informix legacy file/data interfaces. No dedicated MFT product is explicitly evidenced.</t>
  </si>
  <si>
    <t>Define file acknowledgements, checksums, reprocessing and key rotation.</t>
  </si>
  <si>
    <t>4.4 Perimeter Zoning &amp; Connectivity</t>
  </si>
  <si>
    <t>Cross-channel R4 journeys spanning Apolo, SmartVista, APP, CAT/IVR/ICCAT, SIWEB, OnBase, payment channels, accounting and legacy systems. hybrid cloud/on-premise integration.</t>
  </si>
  <si>
    <t>Provides zoning and connectivity controls across AWS/GCP/on-premise/legacy/provider endpoints.</t>
  </si>
  <si>
    <t>4.4</t>
  </si>
  <si>
    <t>Network segmentation, DMZ exposure model, transport security termination and connectivity management underpinning all gateway modalities.</t>
  </si>
  <si>
    <t>Imperva WAF / Cloud Armor; AWS Shield; Zscaler TLS termination; VPN/Direct Connect; Tetration rules; AWS/GCP/on-prem network zoning.</t>
  </si>
  <si>
    <t>Validate UAT/pre-prod/prod connectivity and firewall readiness.</t>
  </si>
  <si>
    <t>1.1 Identity &amp; Access Management</t>
  </si>
  <si>
    <t>Apolo onboarding for TDC 4900: rate/CAT offer, PLD/PEP/name matching, vulnerable-person declaration, OTP/SMS, electronic signature, credit creation in SmartVista, OnBase expediente and welcome kit. APP BanCoppel coexistence of physical/digital cards and legacy/SmartVista products: home, detail, movements, on/off, activation and consolidated credit view. CAT/IVR/ICCAT servicing for product 4900: customer lookup, authentication, balance/movement inquiry, block/unblock, cancellation and cross-channel status update. SIWEB branch operations for payments, deferred-purchase settlement/cancellation, lot receipt and positive-balance validation.</t>
  </si>
  <si>
    <t>Authenticates and authorizes customers, agents, apps and system integrations.</t>
  </si>
  <si>
    <t>1.1</t>
  </si>
  <si>
    <t>1.0 Security</t>
  </si>
  <si>
    <t>Authentication, authorisation, token and session services for customers, employees, partners and machine identities consuming the interoperability layer.</t>
  </si>
  <si>
    <t>OAuth 2.0 via Apigee; Azure AD / Microsoft Entra ID; Token Party Identity; Incode identity/KYC; HashiCorp Vault for credential support.</t>
  </si>
  <si>
    <t>Confirm OAuth/mTLS/RBAC patterns per channel and API.</t>
  </si>
  <si>
    <t>1.2 Crypto Services</t>
  </si>
  <si>
    <t>SmartVista card manufacturing and branch supply: maquila layout certification, re-order calculation, secure files, PGP/Connect:Direct transfer, lot tracking and SIWEB lot receipt/cancellation. Apolo onboarding for TDC 4900: rate/CAT offer, PLD/PEP/name matching, vulnerable-person declaration, OTP/SMS, electronic signature, credit creation in SmartVista, OnBase expediente and welcome kit. card and document data.</t>
  </si>
  <si>
    <t>Protects sensitive data with encryption/signature operations across APIs, files and stores.</t>
  </si>
  <si>
    <t>1.2</t>
  </si>
  <si>
    <t>HDU-SMART-R4-01 to 08; HDU-TDC-R4-01,03-08,10,13,14,16-21,23-27,34; SMART-4219, SMART-3964, SMART-4226, SMART-3963, SMART-3966, PTCF-6144, SMART-3962</t>
  </si>
  <si>
    <t>ISV01, ISV02, ISV03; Apolo-&gt;SmartVista, Apolo-&gt;OnBase, signature, OTP/SMS, email and PLD/name-matching integrations implied by HUs; not fully present in integration inventory; IAPP01</t>
  </si>
  <si>
    <t>Shared cryptographic operations - signing, encryption, end-to-end payload protection - delivered as callable services backed by hardware security modules and managed key stores.</t>
  </si>
  <si>
    <t>AES-256 encryption; TLS/SSL; HSM key management; Oracle TDE; Istio mTLS; Incode/NOM-151 signature for onboarding contracts.</t>
  </si>
  <si>
    <t>Validate HSM/PGP/PAN masking controls.</t>
  </si>
  <si>
    <t>1.3 Certificate &amp; Secret Management</t>
  </si>
  <si>
    <t>Manages certificates, keys and secrets for APIs, file transfer and platform integrations.</t>
  </si>
  <si>
    <t>1.3</t>
  </si>
  <si>
    <t>Issuance, distribution, rotation, revocation and audit of certificates and application secrets consumed by services, gateways and pipelines.</t>
  </si>
  <si>
    <t>HashiCorp Vault; AWS Secrets Manager; Kubernetes Secrets; SSL certificate management; HSM for critical key operations.</t>
  </si>
  <si>
    <t>Complete certificate/key lifecycle and secrets management.</t>
  </si>
  <si>
    <t>1.4 Threat Protection</t>
  </si>
  <si>
    <t>APP BanCoppel coexistence of physical/digital cards and legacy/SmartVista products: home, detail, movements, on/off, activation and consolidated credit view. Apolo onboarding for TDC 4900: rate/CAT offer, PLD/PEP/name matching, vulnerable-person declaration, OTP/SMS, electronic signature, credit creation in SmartVista, OnBase expediente and welcome kit. public/channel APIs.</t>
  </si>
  <si>
    <t>Protects APIs and payloads from malformed or hostile traffic.</t>
  </si>
  <si>
    <t>1.4</t>
  </si>
  <si>
    <t>SMART-4219, SMART-3964, SMART-4226, SMART-3963, SMART-3966, PTCF-6144, SMART-3962; HDU-TDC-R4-01,03-08,10,13,14,16-21,23-27,34; HDU-CAT-R4-01 to 12</t>
  </si>
  <si>
    <t>Detection and mitigation of hostile traffic and runtime attack techniques at the perimeter, at the API layer and inside the container and streaming platforms.</t>
  </si>
  <si>
    <t>Imperva WAF; Cloud Armor; AWS Shield; Apigee OAuth/rate limiting; Istio service mesh; Exabeam SIEM; HashiCorp Vault and hardening controls.</t>
  </si>
  <si>
    <t>Include schema validation, throttling and payload protection.</t>
  </si>
  <si>
    <t>1.6 Security Observability &amp; Response</t>
  </si>
  <si>
    <t>Provides security monitoring and incident response signals for R4 operations.</t>
  </si>
  <si>
    <t>1.6</t>
  </si>
  <si>
    <t>Security-specific telemetry, correlation, alerting, dashboards and automated response built on the shared observability backbone.</t>
  </si>
  <si>
    <t>Exabeam SIEM for threat detection; DataDog for security/operational dashboards; CloudTrail/CloudWatch where AWS services are used; incident escalation via Ops/Security.</t>
  </si>
  <si>
    <t>Align security alerts with business correlation IDs.</t>
  </si>
  <si>
    <t>2.1 Monitoring</t>
  </si>
  <si>
    <t>Monitors availability and health of R4 services, channels, interfaces and batch jobs.</t>
  </si>
  <si>
    <t>2.1</t>
  </si>
  <si>
    <t>2.0 Observability</t>
  </si>
  <si>
    <t>Continuous collection and evaluation of the health and availability of platform components, interfaces and dependencies, with threshold and anomaly-based alerting.</t>
  </si>
  <si>
    <t>DataDog monitoring, dashboards and alerting; CloudWatch/CloudTrail for AWS components; Apigee analytics; platform health checks across Apolo, Transact and SmartVista.</t>
  </si>
  <si>
    <t>Define technical SLIs for each interface.</t>
  </si>
  <si>
    <t>2.2.3 Audit Logging</t>
  </si>
  <si>
    <t>Provides audit logging for customer/card/document/payment/status changes.</t>
  </si>
  <si>
    <t>2.2.3</t>
  </si>
  <si>
    <t>Immutable recording of security-relevant and business-relevant events with defined retention.</t>
  </si>
  <si>
    <t>DataDog logs/monitors; Exabeam SIEM; AWS CloudTrail/CloudWatch; audit trails from Apigee, Transact, SmartVista and regulatory/reporting flows.</t>
  </si>
  <si>
    <t>Logs must avoid sensitive card data and include correlation IDs.</t>
  </si>
  <si>
    <t>2.3 Tracing</t>
  </si>
  <si>
    <t>Traces requests end-to-end across channels, API layer, SmartVista, SIWEB, OnBase and legacy.</t>
  </si>
  <si>
    <t>2.3</t>
  </si>
  <si>
    <t>Propagation and reconstruction of the full execution path of a request across services, platforms, protocols and asynchronous hops, based on a consistently propagated correlation identifier.</t>
  </si>
  <si>
    <t>DataDog APM/tracing is planned as advanced observability; Istio supports service-level telemetry. Correlation identity service is not explicitly named.</t>
  </si>
  <si>
    <t>Distributed tracing is essential for incident diagnosis.</t>
  </si>
  <si>
    <t>2.5.2 Business Dashboards</t>
  </si>
  <si>
    <t>Provides business dashboards for positive-balance rejects, failed card status changes, maquila status and deferred-payment exceptions.</t>
  </si>
  <si>
    <t>2.5.2</t>
  </si>
  <si>
    <t>Business-service and journey-level views of volume, success rate and value flow.</t>
  </si>
  <si>
    <t>DataDog technical dashboards; PMO / executive dashboards; regulatory and business dashboards via Data Warehouse, Bajaware/Risklogic and project reporting.</t>
  </si>
  <si>
    <t>Define dashboard owners and thresholds.</t>
  </si>
  <si>
    <t>13.3 Platform Configuration Automation</t>
  </si>
  <si>
    <t>Ensures environments, configuration and platform setup are consistent for R4 test and production.</t>
  </si>
  <si>
    <t>13.3</t>
  </si>
  <si>
    <t>13.0 Infrastructure (Tech Stack)</t>
  </si>
  <si>
    <t>Declarative, automated provisioning and configuration of platform components and environments, including centralised application configuration services.</t>
  </si>
  <si>
    <t>Terraform + Packer + GitHub; IaC modules; Homologación de Ambientes; possible Ansible/CloudFormation patterns; Vault/Secrets for config security.</t>
  </si>
  <si>
    <t>UAT/pre-prod readiness is a dependency for E2E certification.</t>
  </si>
  <si>
    <t>13.4 Deployment &amp; Release Engineering</t>
  </si>
  <si>
    <t>Supports controlled deployment, promotion, rollback and release certification for R4 changes.</t>
  </si>
  <si>
    <t>13.4</t>
  </si>
  <si>
    <t>Automated build, test and release mechanics for interoperability components, including controlled rollout techniques and automated regression testing.</t>
  </si>
  <si>
    <t>DevSecOps CI/CD pipelines; GitLab CI or Jenkins under decision; Helm Charts; automated tests; blue-green/canary deployment practices.</t>
  </si>
  <si>
    <t>Align with CI/CD and release gates.</t>
  </si>
  <si>
    <t>13.5 Infrastructure Resilience</t>
  </si>
  <si>
    <t>Provides resilience, failover and recovery capabilities for R4 production journeys.</t>
  </si>
  <si>
    <t>13.5</t>
  </si>
  <si>
    <t>Engineering and validation of the layer's ability to withstand and recover from component failure, including deliberate failure injection, high availability design and recovery services.</t>
  </si>
  <si>
    <t>AWS multi-AZ/DR architecture; Producción and DR Producción environments; Oracle Data Guard/R-SYNC for SmartVista; backup/restore and regional DR.</t>
  </si>
  <si>
    <t>Validate recovery procedures for SmartVista/API/file/payment flows.</t>
  </si>
  <si>
    <t>Domain Family View</t>
  </si>
  <si>
    <t>L0 domain capability families and their R4 readiness posture.</t>
  </si>
  <si>
    <t>Domain family</t>
  </si>
  <si>
    <t>Required R4 posture</t>
  </si>
  <si>
    <t>Confidence</t>
  </si>
  <si>
    <t>Why it matters for R4</t>
  </si>
  <si>
    <t>Key gap to validate</t>
  </si>
  <si>
    <t>Detailed capability rows</t>
  </si>
  <si>
    <t>P0 rows</t>
  </si>
  <si>
    <t>P1 rows</t>
  </si>
  <si>
    <t>P2 rows</t>
  </si>
  <si>
    <t>6.0 Service Orchestration</t>
  </si>
  <si>
    <t>Business/API orchestration, mediation, context and legacy adapters for Apolo, SmartVista, APP, CAT, SIWEB and file flows.</t>
  </si>
  <si>
    <t>Confirm orchestrator/facade pattern and owner per journey.</t>
  </si>
  <si>
    <t>7.0 Process Orchestration</t>
  </si>
  <si>
    <t>Long-running onboarding, maquila, branch and customer service workflows with exception handling.</t>
  </si>
  <si>
    <t>Consolidate process state and operational work queues.</t>
  </si>
  <si>
    <t>8.0 Distributed Transactions</t>
  </si>
  <si>
    <t>Financial/card/document operations that must not partially complete or duplicate.</t>
  </si>
  <si>
    <t>Define compensation, idempotency, reversal and reconciliation design.</t>
  </si>
  <si>
    <t>9.0 Event Processing &amp; Reactive Components</t>
  </si>
  <si>
    <t>P0 scoped / P1 broader</t>
  </si>
  <si>
    <t>Status, customer/card creation, notification, cache-invalidation and accounting events.</t>
  </si>
  <si>
    <t>Create bounded R4 event catalogue and guaranteed-delivery controls.</t>
  </si>
  <si>
    <t>10.0 Omnichannel &amp; Caching Components</t>
  </si>
  <si>
    <t>P0 scoped</t>
  </si>
  <si>
    <t>Consistent APP/CAT/SIWEB view of physical/digital and legacy/SmartVista cards.</t>
  </si>
  <si>
    <t>Decide composed API vs ODS/cache and define consistency rules.</t>
  </si>
  <si>
    <t>Canonical data, cross-core consolidation, batch/real-time delivery and reporting feeds.</t>
  </si>
  <si>
    <t>Close source-of-truth, lineage and data-quality decisions.</t>
  </si>
  <si>
    <t>12.0 Operations</t>
  </si>
  <si>
    <t>Business folios, feature flags, correlation, runtime admin and operational support.</t>
  </si>
  <si>
    <t>Hierarchy shows gaps in dedicated folio/feature/correlation tooling; define standards.</t>
  </si>
  <si>
    <t>13.0 Common Business Services (Cross-Domain Coexistence Services)</t>
  </si>
  <si>
    <t>Reusable customer, product, limit/risk, accounting, payment, document and trust services.</t>
  </si>
  <si>
    <t>Expose as stable contracts; avoid channel-specific rule duplication.</t>
  </si>
  <si>
    <t>R4 Context Drivers</t>
  </si>
  <si>
    <t>R4 functional areas used to infer required interoperability capabilities.</t>
  </si>
  <si>
    <t>R4 context / journey</t>
  </si>
  <si>
    <t>Primary systems / interfaces</t>
  </si>
  <si>
    <t>Why it drives interoperability</t>
  </si>
  <si>
    <t>Primary domain capability families</t>
  </si>
  <si>
    <t>Apolo onboarding / compliance / contracting</t>
  </si>
  <si>
    <t>Apolo, SmartVista, OnBase, signature, SMS/OTP, email, PLD/name matching</t>
  </si>
  <si>
    <t>Multi-step journey with legal evidence, third-party validations and credit creation.</t>
  </si>
  <si>
    <t>6, 7, 8, 9, 11, 12, 13</t>
  </si>
  <si>
    <t>SmartVista card manufacturing and supply</t>
  </si>
  <si>
    <t>SmartVista, AWS, OLTP-Informix, Connect:Direct, SIWEB, maquiladores</t>
  </si>
  <si>
    <t>Batch/file and branch-supply process with secure files, lots and duplicate/retry risk.</t>
  </si>
  <si>
    <t>6, 7, 8, 11, 12</t>
  </si>
  <si>
    <t>Commission catalogue consistency</t>
  </si>
  <si>
    <t>HDU-SMART-R4-09,10</t>
  </si>
  <si>
    <t>SmartVista -&gt; APP/SIWEB/EDC</t>
  </si>
  <si>
    <t>Regulatory names and pricing need one source and channel consistency.</t>
  </si>
  <si>
    <t>6, 7, 11, 12, 13</t>
  </si>
  <si>
    <t>Authorization and fraud rules</t>
  </si>
  <si>
    <t>HDU-SMART-R4-11</t>
  </si>
  <si>
    <t>SmartVista/BPC authorizer</t>
  </si>
  <si>
    <t>Authorization/fraud decisions must be consistent, auditable and channel-safe.</t>
  </si>
  <si>
    <t>7, 8, 11, 13</t>
  </si>
  <si>
    <t>Positive-balance controls</t>
  </si>
  <si>
    <t>HDU-SMART-R4-12,13,15; HDU-SIWEB-R4-05; SMART-4183/backlog; APP other-amount story</t>
  </si>
  <si>
    <t>SmartVista, APP, SIWEB, SPEI/payment channels</t>
  </si>
  <si>
    <t>Cross-channel payments must be validated/rejected consistently and reconciled.</t>
  </si>
  <si>
    <t>6, 8, 10, 11, 12, 13</t>
  </si>
  <si>
    <t>MCI/MSI deferred purchases and fixed payments</t>
  </si>
  <si>
    <t>HDU-SMART-R4-16 to 21; HDU-SIWEB-R4-01 to 04</t>
  </si>
  <si>
    <t>SmartVista, SIWEB, APP, accounting/ledger</t>
  </si>
  <si>
    <t>Financial lifecycle requires pricing, plan creation, early payment, liquidation, cancellation and accounting.</t>
  </si>
  <si>
    <t>CAT/IVR/ICCAT servicing</t>
  </si>
  <si>
    <t>IVR, ICCAT, SmartVista, Call Center, APP/SIWEB status consumers</t>
  </si>
  <si>
    <t>Real-time lookup, authentication, block/unblock/cancel and status propagation.</t>
  </si>
  <si>
    <t>6, 7, 8, 9, 10, 11, 12, 13</t>
  </si>
  <si>
    <t>APP physical/digital coexistence</t>
  </si>
  <si>
    <t>APP, SmartVista, legacy card/product sources</t>
  </si>
  <si>
    <t>Home/detail/movements/on-off need consistent product-location and instrument model.</t>
  </si>
  <si>
    <t>6, 9, 10, 11, 12, 13</t>
  </si>
  <si>
    <t>SIWEB branch operations</t>
  </si>
  <si>
    <t>HDU-SIWEB-R4-01 to 05; HDU-SMART-R4-08,17,19-21</t>
  </si>
  <si>
    <t>SIWEB, SmartVista, accounting, branch/cash operations</t>
  </si>
  <si>
    <t>Branch operations must use same limits, deferred-plan rules and accounting outcomes.</t>
  </si>
  <si>
    <t>6, 7, 8, 11, 12, 13</t>
  </si>
  <si>
    <t>Sources &amp; Method</t>
  </si>
  <si>
    <t>Files and methodology used to build the R4 capability baseline.</t>
  </si>
  <si>
    <t>Section</t>
  </si>
  <si>
    <t>Detail</t>
  </si>
  <si>
    <t>Source file</t>
  </si>
  <si>
    <t>/mnt/data/Interoperability_Capability_Hierarchy_BanCoppel_Solutions.xlsx</t>
  </si>
  <si>
    <t>/mnt/data/Consolidacion y priorizacion_HUs_R4_v2.xlsx</t>
  </si>
  <si>
    <t>/mnt/data/Inventario de Integraciones_HUs_ R4_v1.0.xlsx</t>
  </si>
  <si>
    <t>Source hierarchy</t>
  </si>
  <si>
    <t>Capabilities were selected from PH Vertical Expansion in Interoperability_Capability_Hierarchy_BanCoppel_Solutions.xlsx.</t>
  </si>
  <si>
    <t>R4 basis</t>
  </si>
  <si>
    <t>R4 user stories and integration records were used to infer capability need. Direct story/integration evidence drives Very High or High confidence.</t>
  </si>
  <si>
    <t>Prioritization approach</t>
  </si>
  <si>
    <t>P0 = mandatory for R4 go-live / E2E certification; P1 = needed for controlled R4 or design confirmation; P2 = evaluate/defer, not a strict R4 blocker.</t>
  </si>
  <si>
    <t>Important caveat</t>
  </si>
  <si>
    <t>Apolo and SIWEB rows are included where present in the R4 workbook, even if MoSCoW was blank. Formal R4 baseline should confirm their commitment.</t>
  </si>
  <si>
    <t>Excluded / not a current blocker</t>
  </si>
  <si>
    <t>Capabilities such as currency conversion, knowledge graph, full event mesh, complex event processing and developer marketplace are not treated as R4 blockers unless a specific design later requires them.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</si>
</sst>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color rgb="FFFFFFFF"/>
      <name val="Aptos"/>
      <family val="2"/>
    </font>
    <font>
      <i/>
      <sz val="10"/>
      <color rgb="FF000000"/>
      <name val="Aptos"/>
      <family val="2"/>
    </font>
    <font>
      <b/>
      <sz val="11"/>
      <color rgb="FF1F4E79"/>
      <name val="Aptos"/>
      <family val="2"/>
    </font>
    <font>
      <sz val="11"/>
      <color theme="1"/>
      <name val="Calibri"/>
      <family val="2"/>
      <scheme val="minor"/>
    </font>
    <font>
      <b/>
      <sz val="11"/>
      <color rgb="FFFFFFFF"/>
      <name val="Aptos"/>
      <family val="2"/>
    </font>
    <font>
      <b/>
      <sz val="11"/>
      <name val="Aptos"/>
      <family val="2"/>
    </font>
    <font>
      <b/>
      <sz val="9"/>
      <color rgb="FFFFFFFF"/>
      <name val="Aptos"/>
      <family val="2"/>
    </font>
    <font>
      <sz val="9"/>
      <color theme="1"/>
      <name val="Calibri"/>
      <family val="2"/>
      <scheme val="minor"/>
    </font>
    <font>
      <i/>
      <sz val="9"/>
      <color rgb="FF000000"/>
      <name val="Aptos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FCE4D6"/>
      </patternFill>
    </fill>
    <fill>
      <patternFill patternType="solid">
        <fgColor rgb="FFD9EAD3"/>
      </patternFill>
    </fill>
    <fill>
      <patternFill patternType="solid">
        <fgColor rgb="FFFAFAFA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/>
      <top/>
      <bottom style="hair">
        <color rgb="FFD9D9D9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5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2" borderId="0" xfId="0" applyFont="1" applyFill="1" applyAlignment="1">
      <alignment vertical="top" wrapText="1"/>
    </xf>
    <xf numFmtId="0" fontId="4" fillId="6" borderId="0" xfId="0" applyFont="1" applyFill="1" applyAlignment="1">
      <alignment vertical="top" wrapText="1"/>
    </xf>
    <xf numFmtId="0" fontId="4" fillId="6" borderId="0" xfId="0" applyFont="1" applyFill="1" applyAlignment="1">
      <alignment horizontal="right" vertical="top" wrapText="1"/>
    </xf>
    <xf numFmtId="0" fontId="4" fillId="0" borderId="0" xfId="0" applyFont="1" applyAlignment="1">
      <alignment horizontal="right" vertical="top" wrapText="1"/>
    </xf>
    <xf numFmtId="0" fontId="6" fillId="6" borderId="0" xfId="0" applyFont="1" applyFill="1" applyAlignment="1">
      <alignment vertical="top" wrapText="1"/>
    </xf>
    <xf numFmtId="0" fontId="6" fillId="0" borderId="0" xfId="0" applyFont="1" applyAlignment="1">
      <alignment vertical="top" wrapText="1"/>
    </xf>
    <xf numFmtId="0" fontId="5" fillId="2" borderId="1" xfId="0" applyFont="1" applyFill="1" applyBorder="1" applyAlignment="1">
      <alignment vertical="center" wrapText="1"/>
    </xf>
    <xf numFmtId="0" fontId="4" fillId="0" borderId="2" xfId="0" applyFont="1" applyBorder="1" applyAlignment="1">
      <alignment vertical="top" wrapText="1"/>
    </xf>
    <xf numFmtId="0" fontId="4" fillId="4" borderId="2" xfId="0" applyFont="1" applyFill="1" applyBorder="1" applyAlignment="1">
      <alignment vertical="top" wrapText="1"/>
    </xf>
    <xf numFmtId="0" fontId="4" fillId="5" borderId="2" xfId="0" applyFont="1" applyFill="1" applyBorder="1" applyAlignment="1">
      <alignment vertical="top" wrapText="1"/>
    </xf>
    <xf numFmtId="0" fontId="4" fillId="6" borderId="2" xfId="0" applyFont="1" applyFill="1" applyBorder="1" applyAlignment="1">
      <alignment vertical="top" wrapText="1"/>
    </xf>
    <xf numFmtId="0" fontId="4" fillId="7" borderId="2" xfId="0" applyFont="1" applyFill="1" applyBorder="1" applyAlignment="1">
      <alignment vertical="top" wrapText="1"/>
    </xf>
    <xf numFmtId="0" fontId="4" fillId="8" borderId="2" xfId="0" applyFont="1" applyFill="1" applyBorder="1" applyAlignment="1">
      <alignment vertical="top" wrapText="1"/>
    </xf>
    <xf numFmtId="0" fontId="5" fillId="2" borderId="0" xfId="0" applyFont="1" applyFill="1" applyAlignment="1">
      <alignment vertical="center" wrapText="1"/>
    </xf>
    <xf numFmtId="49" fontId="4" fillId="0" borderId="2" xfId="0" applyNumberFormat="1" applyFont="1" applyBorder="1" applyAlignment="1">
      <alignment vertical="top" wrapText="1"/>
    </xf>
    <xf numFmtId="49" fontId="4" fillId="6" borderId="2" xfId="0" applyNumberFormat="1" applyFont="1" applyFill="1" applyBorder="1" applyAlignment="1">
      <alignment vertical="top" wrapText="1"/>
    </xf>
    <xf numFmtId="0" fontId="8" fillId="0" borderId="0" xfId="0" applyFont="1"/>
    <xf numFmtId="0" fontId="7" fillId="2" borderId="1" xfId="0" applyFont="1" applyFill="1" applyBorder="1" applyAlignment="1">
      <alignment vertical="center" wrapText="1"/>
    </xf>
    <xf numFmtId="0" fontId="8" fillId="0" borderId="2" xfId="0" applyFont="1" applyBorder="1" applyAlignment="1">
      <alignment vertical="top" wrapText="1"/>
    </xf>
    <xf numFmtId="0" fontId="8" fillId="4" borderId="2" xfId="0" applyFont="1" applyFill="1" applyBorder="1" applyAlignment="1">
      <alignment vertical="top" wrapText="1"/>
    </xf>
    <xf numFmtId="0" fontId="8" fillId="5" borderId="2" xfId="0" applyFont="1" applyFill="1" applyBorder="1" applyAlignment="1">
      <alignment vertical="top" wrapText="1"/>
    </xf>
    <xf numFmtId="49" fontId="8" fillId="0" borderId="2" xfId="0" applyNumberFormat="1" applyFont="1" applyBorder="1" applyAlignment="1">
      <alignment vertical="top" wrapText="1"/>
    </xf>
    <xf numFmtId="0" fontId="8" fillId="6" borderId="2" xfId="0" applyFont="1" applyFill="1" applyBorder="1" applyAlignment="1">
      <alignment vertical="top" wrapText="1"/>
    </xf>
    <xf numFmtId="49" fontId="8" fillId="6" borderId="2" xfId="0" applyNumberFormat="1" applyFont="1" applyFill="1" applyBorder="1" applyAlignment="1">
      <alignment vertical="top" wrapText="1"/>
    </xf>
    <xf numFmtId="0" fontId="8" fillId="7" borderId="2" xfId="0" applyFont="1" applyFill="1" applyBorder="1" applyAlignment="1">
      <alignment vertical="top" wrapText="1"/>
    </xf>
    <xf numFmtId="0" fontId="2" fillId="3" borderId="0" xfId="0" applyFont="1" applyFill="1" applyAlignment="1">
      <alignment vertical="center" wrapText="1"/>
    </xf>
    <xf numFmtId="0" fontId="0" fillId="0" borderId="0" xfId="0"/>
    <xf numFmtId="0" fontId="1" fillId="2" borderId="0" xfId="0" applyFont="1" applyFill="1" applyAlignment="1">
      <alignment vertical="center" wrapText="1"/>
    </xf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4" fillId="6" borderId="0" xfId="0" applyFont="1" applyFill="1" applyAlignment="1">
      <alignment vertical="top" wrapText="1"/>
    </xf>
    <xf numFmtId="0" fontId="0" fillId="6" borderId="0" xfId="0" applyFill="1" applyAlignment="1">
      <alignment vertical="top" wrapText="1"/>
    </xf>
    <xf numFmtId="0" fontId="5" fillId="2" borderId="0" xfId="0" applyFont="1" applyFill="1" applyAlignment="1">
      <alignment vertical="top" wrapText="1"/>
    </xf>
    <xf numFmtId="0" fontId="5" fillId="0" borderId="0" xfId="0" applyFont="1" applyAlignment="1">
      <alignment vertical="top" wrapText="1"/>
    </xf>
    <xf numFmtId="0" fontId="9" fillId="3" borderId="0" xfId="0" applyFont="1" applyFill="1" applyAlignment="1">
      <alignment vertical="center" wrapText="1"/>
    </xf>
    <xf numFmtId="0" fontId="8" fillId="0" borderId="0" xfId="0" applyFont="1"/>
    <xf numFmtId="0" fontId="7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R4 HU rows by track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Summary!$B$31</c:f>
              <c:strCache>
                <c:ptCount val="1"/>
                <c:pt idx="0">
                  <c:v>HU rows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Summary!$A$32:$A$36</c:f>
              <c:strCache>
                <c:ptCount val="5"/>
                <c:pt idx="0">
                  <c:v>Smart Vista</c:v>
                </c:pt>
                <c:pt idx="1">
                  <c:v>CAT</c:v>
                </c:pt>
                <c:pt idx="2">
                  <c:v>SIWEB</c:v>
                </c:pt>
                <c:pt idx="3">
                  <c:v>Apolo</c:v>
                </c:pt>
                <c:pt idx="4">
                  <c:v>APP</c:v>
                </c:pt>
              </c:strCache>
            </c:strRef>
          </c:cat>
          <c:val>
            <c:numRef>
              <c:f>Summary!$B$32:$B$36</c:f>
              <c:numCache>
                <c:formatCode>General</c:formatCode>
                <c:ptCount val="5"/>
                <c:pt idx="0">
                  <c:v>21</c:v>
                </c:pt>
                <c:pt idx="1">
                  <c:v>12</c:v>
                </c:pt>
                <c:pt idx="2">
                  <c:v>5</c:v>
                </c:pt>
                <c:pt idx="3">
                  <c:v>22</c:v>
                </c:pt>
                <c:pt idx="4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66-43F2-A065-D834D67B0A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Track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Rows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30</xdr:row>
      <xdr:rowOff>0</xdr:rowOff>
    </xdr:from>
    <xdr:ext cx="396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showGridLines="0" workbookViewId="0">
      <pane ySplit="3" topLeftCell="A4" activePane="bottomLeft" state="frozen"/>
      <selection pane="bottomLeft" sqref="A1:H1"/>
    </sheetView>
  </sheetViews>
  <sheetFormatPr defaultRowHeight="15" x14ac:dyDescent="0.25"/>
  <cols>
    <col min="1" max="1" width="28" customWidth="1"/>
    <col min="2" max="2" width="24" customWidth="1"/>
    <col min="3" max="3" width="14" customWidth="1"/>
    <col min="4" max="4" width="4" customWidth="1"/>
    <col min="5" max="8" width="24" customWidth="1"/>
  </cols>
  <sheetData>
    <row r="1" spans="1:8" ht="21" customHeight="1" x14ac:dyDescent="0.25">
      <c r="A1" s="31" t="s">
        <v>0</v>
      </c>
      <c r="B1" s="30"/>
      <c r="C1" s="30"/>
      <c r="D1" s="30"/>
      <c r="E1" s="30"/>
      <c r="F1" s="30"/>
      <c r="G1" s="30"/>
      <c r="H1" s="30"/>
    </row>
    <row r="2" spans="1:8" ht="21" customHeight="1" x14ac:dyDescent="0.25">
      <c r="A2" s="29" t="s">
        <v>1</v>
      </c>
      <c r="B2" s="30"/>
      <c r="C2" s="30"/>
      <c r="D2" s="30"/>
      <c r="E2" s="30"/>
      <c r="F2" s="30"/>
      <c r="G2" s="30"/>
      <c r="H2" s="30"/>
    </row>
    <row r="3" spans="1:8" ht="21" customHeight="1" x14ac:dyDescent="0.25"/>
    <row r="4" spans="1:8" ht="21" customHeight="1" x14ac:dyDescent="0.25">
      <c r="A4" s="1" t="s">
        <v>2</v>
      </c>
      <c r="B4" s="37" t="s">
        <v>3</v>
      </c>
      <c r="C4" s="30"/>
      <c r="D4" s="30"/>
      <c r="E4" s="30"/>
      <c r="F4" s="30"/>
      <c r="G4" s="30"/>
      <c r="H4" s="30"/>
    </row>
    <row r="5" spans="1:8" ht="21" customHeight="1" x14ac:dyDescent="0.25">
      <c r="A5" s="2" t="s">
        <v>4</v>
      </c>
      <c r="B5" s="32" t="s">
        <v>5</v>
      </c>
      <c r="C5" s="30"/>
      <c r="D5" s="30"/>
      <c r="E5" s="30"/>
      <c r="F5" s="30"/>
      <c r="G5" s="30"/>
      <c r="H5" s="30"/>
    </row>
    <row r="6" spans="1:8" ht="21" customHeight="1" x14ac:dyDescent="0.25">
      <c r="A6" s="2" t="s">
        <v>6</v>
      </c>
      <c r="B6" s="32" t="s">
        <v>7</v>
      </c>
      <c r="C6" s="30"/>
      <c r="D6" s="30"/>
      <c r="E6" s="30"/>
      <c r="F6" s="30"/>
      <c r="G6" s="30"/>
      <c r="H6" s="30"/>
    </row>
    <row r="7" spans="1:8" ht="21" customHeight="1" x14ac:dyDescent="0.25"/>
    <row r="8" spans="1:8" ht="21" customHeight="1" x14ac:dyDescent="0.25"/>
    <row r="9" spans="1:8" ht="21" customHeight="1" x14ac:dyDescent="0.25">
      <c r="A9" s="36" t="s">
        <v>8</v>
      </c>
      <c r="B9" s="30"/>
      <c r="C9" s="30"/>
      <c r="E9" s="36" t="s">
        <v>9</v>
      </c>
      <c r="F9" s="30"/>
      <c r="G9" s="30"/>
      <c r="H9" s="30"/>
    </row>
    <row r="10" spans="1:8" ht="21" customHeight="1" x14ac:dyDescent="0.25">
      <c r="A10" s="5" t="s">
        <v>10</v>
      </c>
      <c r="B10" s="6">
        <f>COUNTA('Domain Capability Mapping'!$A$5:$A$500)</f>
        <v>121</v>
      </c>
      <c r="E10" s="5" t="s">
        <v>11</v>
      </c>
      <c r="F10" s="34">
        <v>78</v>
      </c>
      <c r="G10" s="35"/>
      <c r="H10" s="35"/>
    </row>
    <row r="11" spans="1:8" ht="21" customHeight="1" x14ac:dyDescent="0.25">
      <c r="A11" s="3" t="s">
        <v>12</v>
      </c>
      <c r="B11" s="7">
        <f>COUNTA('Supporting Kernel'!$A$5:$A$200)</f>
        <v>21</v>
      </c>
      <c r="E11" s="3" t="s">
        <v>13</v>
      </c>
      <c r="F11" s="32" t="s">
        <v>14</v>
      </c>
      <c r="G11" s="33"/>
      <c r="H11" s="33"/>
    </row>
    <row r="12" spans="1:8" ht="21" customHeight="1" x14ac:dyDescent="0.25">
      <c r="A12" s="5" t="s">
        <v>15</v>
      </c>
      <c r="B12" s="6">
        <f>COUNTIF('Domain Capability Mapping'!$D:$D,"P0*")</f>
        <v>102</v>
      </c>
      <c r="E12" s="5" t="s">
        <v>16</v>
      </c>
      <c r="F12" s="34" t="s">
        <v>17</v>
      </c>
      <c r="G12" s="35"/>
      <c r="H12" s="35"/>
    </row>
    <row r="13" spans="1:8" ht="21" customHeight="1" x14ac:dyDescent="0.25">
      <c r="A13" s="3" t="s">
        <v>18</v>
      </c>
      <c r="B13" s="7">
        <f>COUNTIF('Domain Capability Mapping'!$D:$D,"P1*")</f>
        <v>18</v>
      </c>
      <c r="E13" s="3" t="s">
        <v>19</v>
      </c>
      <c r="F13" s="32" t="s">
        <v>20</v>
      </c>
      <c r="G13" s="33"/>
      <c r="H13" s="33"/>
    </row>
    <row r="14" spans="1:8" ht="21" customHeight="1" x14ac:dyDescent="0.25">
      <c r="A14" s="5" t="s">
        <v>21</v>
      </c>
      <c r="B14" s="6">
        <f>COUNTIF('Domain Capability Mapping'!$D:$D,"P2*")</f>
        <v>1</v>
      </c>
      <c r="E14" s="5" t="s">
        <v>22</v>
      </c>
      <c r="F14" s="34">
        <v>15</v>
      </c>
      <c r="G14" s="35"/>
      <c r="H14" s="35"/>
    </row>
    <row r="15" spans="1:8" ht="21" customHeight="1" x14ac:dyDescent="0.25">
      <c r="A15" s="3" t="s">
        <v>23</v>
      </c>
      <c r="B15" s="7">
        <f>COUNTIF('Domain Capability Mapping'!$E:$E,"Very High*")</f>
        <v>40</v>
      </c>
      <c r="E15" s="3" t="s">
        <v>24</v>
      </c>
      <c r="F15" s="32" t="s">
        <v>25</v>
      </c>
      <c r="G15" s="33"/>
      <c r="H15" s="33"/>
    </row>
    <row r="16" spans="1:8" ht="21" customHeight="1" x14ac:dyDescent="0.25">
      <c r="A16" s="5" t="s">
        <v>26</v>
      </c>
      <c r="B16" s="6">
        <f>COUNTIF('Domain Capability Mapping'!$E:$E,"High*")</f>
        <v>62</v>
      </c>
      <c r="E16" s="5" t="s">
        <v>27</v>
      </c>
      <c r="F16" s="34" t="s">
        <v>28</v>
      </c>
      <c r="G16" s="35"/>
      <c r="H16" s="35"/>
    </row>
    <row r="17" spans="1:8" ht="21" customHeight="1" x14ac:dyDescent="0.25">
      <c r="A17" s="3" t="s">
        <v>29</v>
      </c>
      <c r="B17" s="7">
        <f>COUNTIF('Domain Capability Mapping'!$E:$E,"Medium*")</f>
        <v>19</v>
      </c>
      <c r="E17" s="3" t="s">
        <v>30</v>
      </c>
      <c r="F17" s="32" t="s">
        <v>31</v>
      </c>
      <c r="G17" s="33"/>
      <c r="H17" s="33"/>
    </row>
    <row r="18" spans="1:8" ht="21" customHeight="1" x14ac:dyDescent="0.25"/>
    <row r="19" spans="1:8" ht="21" customHeight="1" x14ac:dyDescent="0.25"/>
    <row r="20" spans="1:8" ht="21" customHeight="1" x14ac:dyDescent="0.25"/>
    <row r="21" spans="1:8" ht="21" customHeight="1" x14ac:dyDescent="0.25">
      <c r="A21" s="36" t="s">
        <v>32</v>
      </c>
      <c r="B21" s="30"/>
      <c r="C21" s="30"/>
      <c r="D21" s="30"/>
      <c r="E21" s="30"/>
      <c r="F21" s="30"/>
      <c r="G21" s="30"/>
      <c r="H21" s="30"/>
    </row>
    <row r="22" spans="1:8" ht="21" customHeight="1" x14ac:dyDescent="0.25">
      <c r="A22" s="8" t="s">
        <v>33</v>
      </c>
      <c r="B22" s="34" t="s">
        <v>34</v>
      </c>
      <c r="C22" s="35"/>
      <c r="D22" s="35"/>
      <c r="E22" s="35"/>
      <c r="F22" s="35"/>
      <c r="G22" s="35"/>
      <c r="H22" s="35"/>
    </row>
    <row r="23" spans="1:8" ht="21" customHeight="1" x14ac:dyDescent="0.25">
      <c r="A23" s="9" t="s">
        <v>35</v>
      </c>
      <c r="B23" s="32" t="s">
        <v>36</v>
      </c>
      <c r="C23" s="33"/>
      <c r="D23" s="33"/>
      <c r="E23" s="33"/>
      <c r="F23" s="33"/>
      <c r="G23" s="33"/>
      <c r="H23" s="33"/>
    </row>
    <row r="24" spans="1:8" ht="21" customHeight="1" x14ac:dyDescent="0.25">
      <c r="A24" s="8" t="s">
        <v>37</v>
      </c>
      <c r="B24" s="34" t="s">
        <v>38</v>
      </c>
      <c r="C24" s="35"/>
      <c r="D24" s="35"/>
      <c r="E24" s="35"/>
      <c r="F24" s="35"/>
      <c r="G24" s="35"/>
      <c r="H24" s="35"/>
    </row>
    <row r="25" spans="1:8" ht="21" customHeight="1" x14ac:dyDescent="0.25">
      <c r="A25" s="9" t="s">
        <v>39</v>
      </c>
      <c r="B25" s="32" t="s">
        <v>40</v>
      </c>
      <c r="C25" s="33"/>
      <c r="D25" s="33"/>
      <c r="E25" s="33"/>
      <c r="F25" s="33"/>
      <c r="G25" s="33"/>
      <c r="H25" s="33"/>
    </row>
    <row r="26" spans="1:8" ht="21" customHeight="1" x14ac:dyDescent="0.25">
      <c r="A26" s="8" t="s">
        <v>41</v>
      </c>
      <c r="B26" s="34" t="s">
        <v>42</v>
      </c>
      <c r="C26" s="35"/>
      <c r="D26" s="35"/>
      <c r="E26" s="35"/>
      <c r="F26" s="35"/>
      <c r="G26" s="35"/>
      <c r="H26" s="35"/>
    </row>
    <row r="27" spans="1:8" ht="21" customHeight="1" x14ac:dyDescent="0.25">
      <c r="A27" s="9" t="s">
        <v>43</v>
      </c>
      <c r="B27" s="32" t="s">
        <v>44</v>
      </c>
      <c r="C27" s="33"/>
      <c r="D27" s="33"/>
      <c r="E27" s="33"/>
      <c r="F27" s="33"/>
      <c r="G27" s="33"/>
      <c r="H27" s="33"/>
    </row>
    <row r="28" spans="1:8" ht="21" customHeight="1" x14ac:dyDescent="0.25">
      <c r="A28" s="8" t="s">
        <v>45</v>
      </c>
      <c r="B28" s="34" t="s">
        <v>46</v>
      </c>
      <c r="C28" s="35"/>
      <c r="D28" s="35"/>
      <c r="E28" s="35"/>
      <c r="F28" s="35"/>
      <c r="G28" s="35"/>
      <c r="H28" s="35"/>
    </row>
    <row r="29" spans="1:8" ht="21" customHeight="1" x14ac:dyDescent="0.25"/>
    <row r="30" spans="1:8" ht="21" customHeight="1" x14ac:dyDescent="0.25"/>
    <row r="31" spans="1:8" ht="21" customHeight="1" x14ac:dyDescent="0.25">
      <c r="A31" s="3" t="s">
        <v>47</v>
      </c>
      <c r="B31" s="3" t="s">
        <v>48</v>
      </c>
    </row>
    <row r="32" spans="1:8" ht="21" customHeight="1" x14ac:dyDescent="0.25">
      <c r="A32" s="3" t="s">
        <v>49</v>
      </c>
      <c r="B32" s="3">
        <v>21</v>
      </c>
    </row>
    <row r="33" spans="1:2" ht="21" customHeight="1" x14ac:dyDescent="0.25">
      <c r="A33" s="3" t="s">
        <v>50</v>
      </c>
      <c r="B33" s="3">
        <v>12</v>
      </c>
    </row>
    <row r="34" spans="1:2" ht="21" customHeight="1" x14ac:dyDescent="0.25">
      <c r="A34" s="3" t="s">
        <v>51</v>
      </c>
      <c r="B34" s="3">
        <v>5</v>
      </c>
    </row>
    <row r="35" spans="1:2" ht="21" customHeight="1" x14ac:dyDescent="0.25">
      <c r="A35" s="3" t="s">
        <v>52</v>
      </c>
      <c r="B35" s="3">
        <v>22</v>
      </c>
    </row>
    <row r="36" spans="1:2" ht="21" customHeight="1" x14ac:dyDescent="0.25">
      <c r="A36" s="3" t="s">
        <v>53</v>
      </c>
      <c r="B36" s="3">
        <v>18</v>
      </c>
    </row>
    <row r="37" spans="1:2" ht="21" customHeight="1" x14ac:dyDescent="0.25"/>
    <row r="38" spans="1:2" ht="21" customHeight="1" x14ac:dyDescent="0.25"/>
    <row r="39" spans="1:2" ht="21" customHeight="1" x14ac:dyDescent="0.25"/>
    <row r="40" spans="1:2" ht="21" customHeight="1" x14ac:dyDescent="0.25"/>
    <row r="41" spans="1:2" ht="21" customHeight="1" x14ac:dyDescent="0.25"/>
    <row r="42" spans="1:2" ht="21" customHeight="1" x14ac:dyDescent="0.25"/>
    <row r="43" spans="1:2" ht="21" customHeight="1" x14ac:dyDescent="0.25"/>
    <row r="44" spans="1:2" ht="21" customHeight="1" x14ac:dyDescent="0.25"/>
  </sheetData>
  <mergeCells count="23">
    <mergeCell ref="A1:H1"/>
    <mergeCell ref="B5:H5"/>
    <mergeCell ref="A21:H21"/>
    <mergeCell ref="F14:H14"/>
    <mergeCell ref="B6:H6"/>
    <mergeCell ref="A2:H2"/>
    <mergeCell ref="A9:C9"/>
    <mergeCell ref="F11:H11"/>
    <mergeCell ref="B4:H4"/>
    <mergeCell ref="F10:H10"/>
    <mergeCell ref="F16:H16"/>
    <mergeCell ref="E9:H9"/>
    <mergeCell ref="F12:H12"/>
    <mergeCell ref="F15:H15"/>
    <mergeCell ref="F13:H13"/>
    <mergeCell ref="B25:H25"/>
    <mergeCell ref="B22:H22"/>
    <mergeCell ref="B24:H24"/>
    <mergeCell ref="F17:H17"/>
    <mergeCell ref="B28:H28"/>
    <mergeCell ref="B27:H27"/>
    <mergeCell ref="B26:H26"/>
    <mergeCell ref="B23:H23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25"/>
  <sheetViews>
    <sheetView showGridLines="0" tabSelected="1" workbookViewId="0">
      <pane ySplit="4" topLeftCell="A5" activePane="bottomLeft" state="frozen"/>
      <selection pane="bottomLeft" activeCell="R123" sqref="R123"/>
    </sheetView>
  </sheetViews>
  <sheetFormatPr defaultRowHeight="15" x14ac:dyDescent="0.25"/>
  <cols>
    <col min="1" max="1" width="34" customWidth="1"/>
    <col min="2" max="2" width="46" customWidth="1"/>
    <col min="3" max="3" width="48" customWidth="1"/>
    <col min="4" max="4" width="26" customWidth="1"/>
    <col min="5" max="5" width="34" customWidth="1"/>
    <col min="6" max="7" width="12" customWidth="1"/>
    <col min="8" max="8" width="34" customWidth="1"/>
    <col min="9" max="9" width="18" customWidth="1"/>
    <col min="10" max="10" width="34" customWidth="1"/>
    <col min="11" max="11" width="36" customWidth="1"/>
    <col min="12" max="12" width="46" customWidth="1"/>
    <col min="13" max="13" width="42" customWidth="1"/>
    <col min="14" max="14" width="44" customWidth="1"/>
  </cols>
  <sheetData>
    <row r="1" spans="1:14" ht="27.95" customHeight="1" x14ac:dyDescent="0.25">
      <c r="A1" s="31" t="s">
        <v>54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14" ht="21.95" customHeight="1" x14ac:dyDescent="0.25">
      <c r="A2" s="29" t="s">
        <v>55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</row>
    <row r="4" spans="1:14" ht="30" x14ac:dyDescent="0.25">
      <c r="A4" s="10" t="s">
        <v>56</v>
      </c>
      <c r="B4" s="10" t="s">
        <v>57</v>
      </c>
      <c r="C4" s="10" t="s">
        <v>58</v>
      </c>
      <c r="D4" s="10" t="s">
        <v>59</v>
      </c>
      <c r="E4" s="10" t="s">
        <v>60</v>
      </c>
      <c r="F4" s="10" t="s">
        <v>61</v>
      </c>
      <c r="G4" s="10" t="s">
        <v>62</v>
      </c>
      <c r="H4" s="10" t="s">
        <v>63</v>
      </c>
      <c r="I4" s="10" t="s">
        <v>64</v>
      </c>
      <c r="J4" s="10" t="s">
        <v>65</v>
      </c>
      <c r="K4" s="10" t="s">
        <v>66</v>
      </c>
      <c r="L4" s="10" t="s">
        <v>67</v>
      </c>
      <c r="M4" s="10" t="s">
        <v>68</v>
      </c>
      <c r="N4" s="10" t="s">
        <v>69</v>
      </c>
    </row>
    <row r="5" spans="1:14" ht="78" customHeight="1" x14ac:dyDescent="0.25">
      <c r="A5" s="11" t="s">
        <v>70</v>
      </c>
      <c r="B5" s="11" t="s">
        <v>71</v>
      </c>
      <c r="C5" s="11" t="s">
        <v>72</v>
      </c>
      <c r="D5" s="12" t="s">
        <v>34</v>
      </c>
      <c r="E5" s="13" t="s">
        <v>40</v>
      </c>
      <c r="F5" s="18" t="s">
        <v>73</v>
      </c>
      <c r="G5" s="11" t="s">
        <v>74</v>
      </c>
      <c r="H5" s="11" t="s">
        <v>75</v>
      </c>
      <c r="I5" s="11" t="s">
        <v>76</v>
      </c>
      <c r="J5" s="11" t="s">
        <v>77</v>
      </c>
      <c r="K5" s="11" t="s">
        <v>78</v>
      </c>
      <c r="L5" s="11" t="s">
        <v>79</v>
      </c>
      <c r="M5" s="11" t="s">
        <v>80</v>
      </c>
      <c r="N5" s="11" t="s">
        <v>81</v>
      </c>
    </row>
    <row r="6" spans="1:14" ht="78" customHeight="1" x14ac:dyDescent="0.25">
      <c r="A6" s="14" t="s">
        <v>82</v>
      </c>
      <c r="B6" s="14" t="s">
        <v>83</v>
      </c>
      <c r="C6" s="14" t="s">
        <v>84</v>
      </c>
      <c r="D6" s="12" t="s">
        <v>34</v>
      </c>
      <c r="E6" s="15" t="s">
        <v>42</v>
      </c>
      <c r="F6" s="19" t="s">
        <v>85</v>
      </c>
      <c r="G6" s="14" t="s">
        <v>86</v>
      </c>
      <c r="H6" s="14" t="s">
        <v>75</v>
      </c>
      <c r="I6" s="14" t="s">
        <v>76</v>
      </c>
      <c r="J6" s="14" t="s">
        <v>87</v>
      </c>
      <c r="K6" s="14" t="s">
        <v>88</v>
      </c>
      <c r="L6" s="14" t="s">
        <v>89</v>
      </c>
      <c r="M6" s="14" t="s">
        <v>80</v>
      </c>
      <c r="N6" s="14" t="s">
        <v>90</v>
      </c>
    </row>
    <row r="7" spans="1:14" ht="78" customHeight="1" x14ac:dyDescent="0.25">
      <c r="A7" s="11" t="s">
        <v>91</v>
      </c>
      <c r="B7" s="11" t="s">
        <v>92</v>
      </c>
      <c r="C7" s="11" t="s">
        <v>93</v>
      </c>
      <c r="D7" s="12" t="s">
        <v>34</v>
      </c>
      <c r="E7" s="15" t="s">
        <v>42</v>
      </c>
      <c r="F7" s="18" t="s">
        <v>94</v>
      </c>
      <c r="G7" s="11" t="s">
        <v>86</v>
      </c>
      <c r="H7" s="11" t="s">
        <v>75</v>
      </c>
      <c r="I7" s="11" t="s">
        <v>76</v>
      </c>
      <c r="J7" s="11" t="s">
        <v>95</v>
      </c>
      <c r="K7" s="11" t="s">
        <v>96</v>
      </c>
      <c r="L7" s="11" t="s">
        <v>97</v>
      </c>
      <c r="M7" s="11" t="s">
        <v>80</v>
      </c>
      <c r="N7" s="11" t="s">
        <v>98</v>
      </c>
    </row>
    <row r="8" spans="1:14" ht="78" customHeight="1" x14ac:dyDescent="0.25">
      <c r="A8" s="14" t="s">
        <v>99</v>
      </c>
      <c r="B8" s="14" t="s">
        <v>100</v>
      </c>
      <c r="C8" s="14" t="s">
        <v>101</v>
      </c>
      <c r="D8" s="12" t="s">
        <v>34</v>
      </c>
      <c r="E8" s="13" t="s">
        <v>40</v>
      </c>
      <c r="F8" s="19" t="s">
        <v>102</v>
      </c>
      <c r="G8" s="14" t="s">
        <v>86</v>
      </c>
      <c r="H8" s="14" t="s">
        <v>75</v>
      </c>
      <c r="I8" s="14" t="s">
        <v>76</v>
      </c>
      <c r="J8" s="14" t="s">
        <v>103</v>
      </c>
      <c r="K8" s="14" t="s">
        <v>104</v>
      </c>
      <c r="L8" s="14" t="s">
        <v>105</v>
      </c>
      <c r="M8" s="14" t="s">
        <v>80</v>
      </c>
      <c r="N8" s="14" t="s">
        <v>106</v>
      </c>
    </row>
    <row r="9" spans="1:14" ht="78" customHeight="1" x14ac:dyDescent="0.25">
      <c r="A9" s="11" t="s">
        <v>107</v>
      </c>
      <c r="B9" s="11" t="s">
        <v>108</v>
      </c>
      <c r="C9" s="11" t="s">
        <v>109</v>
      </c>
      <c r="D9" s="12" t="s">
        <v>34</v>
      </c>
      <c r="E9" s="15" t="s">
        <v>42</v>
      </c>
      <c r="F9" s="18" t="s">
        <v>110</v>
      </c>
      <c r="G9" s="11" t="s">
        <v>86</v>
      </c>
      <c r="H9" s="11" t="s">
        <v>75</v>
      </c>
      <c r="I9" s="11" t="s">
        <v>76</v>
      </c>
      <c r="J9" s="11" t="s">
        <v>111</v>
      </c>
      <c r="K9" s="11" t="s">
        <v>112</v>
      </c>
      <c r="L9" s="11" t="s">
        <v>113</v>
      </c>
      <c r="M9" s="11" t="s">
        <v>80</v>
      </c>
      <c r="N9" s="11" t="s">
        <v>114</v>
      </c>
    </row>
    <row r="10" spans="1:14" ht="78" customHeight="1" x14ac:dyDescent="0.25">
      <c r="A10" s="14" t="s">
        <v>115</v>
      </c>
      <c r="B10" s="14" t="s">
        <v>116</v>
      </c>
      <c r="C10" s="14" t="s">
        <v>117</v>
      </c>
      <c r="D10" s="12" t="s">
        <v>34</v>
      </c>
      <c r="E10" s="13" t="s">
        <v>40</v>
      </c>
      <c r="F10" s="19" t="s">
        <v>118</v>
      </c>
      <c r="G10" s="14" t="s">
        <v>74</v>
      </c>
      <c r="H10" s="14" t="s">
        <v>75</v>
      </c>
      <c r="I10" s="14" t="s">
        <v>76</v>
      </c>
      <c r="J10" s="14" t="s">
        <v>77</v>
      </c>
      <c r="K10" s="14" t="s">
        <v>78</v>
      </c>
      <c r="L10" s="14" t="s">
        <v>119</v>
      </c>
      <c r="M10" s="14" t="s">
        <v>120</v>
      </c>
      <c r="N10" s="14" t="s">
        <v>121</v>
      </c>
    </row>
    <row r="11" spans="1:14" ht="78" customHeight="1" x14ac:dyDescent="0.25">
      <c r="A11" s="11" t="s">
        <v>122</v>
      </c>
      <c r="B11" s="11" t="s">
        <v>123</v>
      </c>
      <c r="C11" s="11" t="s">
        <v>124</v>
      </c>
      <c r="D11" s="12" t="s">
        <v>34</v>
      </c>
      <c r="E11" s="13" t="s">
        <v>40</v>
      </c>
      <c r="F11" s="18" t="s">
        <v>125</v>
      </c>
      <c r="G11" s="11" t="s">
        <v>86</v>
      </c>
      <c r="H11" s="11" t="s">
        <v>75</v>
      </c>
      <c r="I11" s="11" t="s">
        <v>76</v>
      </c>
      <c r="J11" s="11" t="s">
        <v>126</v>
      </c>
      <c r="K11" s="11" t="s">
        <v>127</v>
      </c>
      <c r="L11" s="11" t="s">
        <v>128</v>
      </c>
      <c r="M11" s="11" t="s">
        <v>129</v>
      </c>
      <c r="N11" s="11" t="s">
        <v>130</v>
      </c>
    </row>
    <row r="12" spans="1:14" ht="78" customHeight="1" x14ac:dyDescent="0.25">
      <c r="A12" s="14" t="s">
        <v>131</v>
      </c>
      <c r="B12" s="14" t="s">
        <v>132</v>
      </c>
      <c r="C12" s="14" t="s">
        <v>133</v>
      </c>
      <c r="D12" s="12" t="s">
        <v>34</v>
      </c>
      <c r="E12" s="13" t="s">
        <v>40</v>
      </c>
      <c r="F12" s="19" t="s">
        <v>134</v>
      </c>
      <c r="G12" s="14" t="s">
        <v>86</v>
      </c>
      <c r="H12" s="14" t="s">
        <v>75</v>
      </c>
      <c r="I12" s="14" t="s">
        <v>76</v>
      </c>
      <c r="J12" s="14" t="s">
        <v>135</v>
      </c>
      <c r="K12" s="14" t="s">
        <v>136</v>
      </c>
      <c r="L12" s="14" t="s">
        <v>137</v>
      </c>
      <c r="M12" s="14" t="s">
        <v>129</v>
      </c>
      <c r="N12" s="14" t="s">
        <v>138</v>
      </c>
    </row>
    <row r="13" spans="1:14" ht="78" customHeight="1" x14ac:dyDescent="0.25">
      <c r="A13" s="11" t="s">
        <v>139</v>
      </c>
      <c r="B13" s="11" t="s">
        <v>140</v>
      </c>
      <c r="C13" s="11" t="s">
        <v>141</v>
      </c>
      <c r="D13" s="12" t="s">
        <v>34</v>
      </c>
      <c r="E13" s="15" t="s">
        <v>42</v>
      </c>
      <c r="F13" s="18" t="s">
        <v>142</v>
      </c>
      <c r="G13" s="11" t="s">
        <v>86</v>
      </c>
      <c r="H13" s="11" t="s">
        <v>75</v>
      </c>
      <c r="I13" s="11" t="s">
        <v>76</v>
      </c>
      <c r="J13" s="11" t="s">
        <v>143</v>
      </c>
      <c r="K13" s="11" t="s">
        <v>144</v>
      </c>
      <c r="L13" s="11" t="s">
        <v>145</v>
      </c>
      <c r="M13" s="11" t="s">
        <v>129</v>
      </c>
      <c r="N13" s="11" t="s">
        <v>146</v>
      </c>
    </row>
    <row r="14" spans="1:14" ht="78" customHeight="1" x14ac:dyDescent="0.25">
      <c r="A14" s="14" t="s">
        <v>147</v>
      </c>
      <c r="B14" s="14" t="s">
        <v>148</v>
      </c>
      <c r="C14" s="14" t="s">
        <v>149</v>
      </c>
      <c r="D14" s="12" t="s">
        <v>34</v>
      </c>
      <c r="E14" s="15" t="s">
        <v>42</v>
      </c>
      <c r="F14" s="19" t="s">
        <v>150</v>
      </c>
      <c r="G14" s="14" t="s">
        <v>74</v>
      </c>
      <c r="H14" s="14" t="s">
        <v>75</v>
      </c>
      <c r="I14" s="14" t="s">
        <v>76</v>
      </c>
      <c r="J14" s="14" t="s">
        <v>151</v>
      </c>
      <c r="K14" s="14" t="s">
        <v>152</v>
      </c>
      <c r="L14" s="14" t="s">
        <v>153</v>
      </c>
      <c r="M14" s="14" t="s">
        <v>154</v>
      </c>
      <c r="N14" s="14" t="s">
        <v>155</v>
      </c>
    </row>
    <row r="15" spans="1:14" ht="78" customHeight="1" x14ac:dyDescent="0.25">
      <c r="A15" s="11" t="s">
        <v>156</v>
      </c>
      <c r="B15" s="11" t="s">
        <v>157</v>
      </c>
      <c r="C15" s="11" t="s">
        <v>158</v>
      </c>
      <c r="D15" s="12" t="s">
        <v>34</v>
      </c>
      <c r="E15" s="15" t="s">
        <v>42</v>
      </c>
      <c r="F15" s="18" t="s">
        <v>159</v>
      </c>
      <c r="G15" s="11" t="s">
        <v>86</v>
      </c>
      <c r="H15" s="11" t="s">
        <v>75</v>
      </c>
      <c r="I15" s="11" t="s">
        <v>76</v>
      </c>
      <c r="J15" s="11" t="s">
        <v>77</v>
      </c>
      <c r="K15" s="11" t="s">
        <v>78</v>
      </c>
      <c r="L15" s="11" t="s">
        <v>160</v>
      </c>
      <c r="M15" s="11" t="s">
        <v>154</v>
      </c>
      <c r="N15" s="11" t="s">
        <v>161</v>
      </c>
    </row>
    <row r="16" spans="1:14" ht="78" customHeight="1" x14ac:dyDescent="0.25">
      <c r="A16" s="14" t="s">
        <v>162</v>
      </c>
      <c r="B16" s="14" t="s">
        <v>163</v>
      </c>
      <c r="C16" s="14" t="s">
        <v>164</v>
      </c>
      <c r="D16" s="12" t="s">
        <v>34</v>
      </c>
      <c r="E16" s="15" t="s">
        <v>42</v>
      </c>
      <c r="F16" s="19" t="s">
        <v>165</v>
      </c>
      <c r="G16" s="14" t="s">
        <v>86</v>
      </c>
      <c r="H16" s="14" t="s">
        <v>75</v>
      </c>
      <c r="I16" s="14" t="s">
        <v>76</v>
      </c>
      <c r="J16" s="14" t="s">
        <v>166</v>
      </c>
      <c r="K16" s="14" t="s">
        <v>167</v>
      </c>
      <c r="L16" s="14" t="s">
        <v>168</v>
      </c>
      <c r="M16" s="14" t="s">
        <v>154</v>
      </c>
      <c r="N16" s="14" t="s">
        <v>169</v>
      </c>
    </row>
    <row r="17" spans="1:14" ht="78" customHeight="1" x14ac:dyDescent="0.25">
      <c r="A17" s="11" t="s">
        <v>170</v>
      </c>
      <c r="B17" s="11" t="s">
        <v>171</v>
      </c>
      <c r="C17" s="11" t="s">
        <v>172</v>
      </c>
      <c r="D17" s="12" t="s">
        <v>34</v>
      </c>
      <c r="E17" s="15" t="s">
        <v>42</v>
      </c>
      <c r="F17" s="18" t="s">
        <v>173</v>
      </c>
      <c r="G17" s="11" t="s">
        <v>74</v>
      </c>
      <c r="H17" s="11" t="s">
        <v>75</v>
      </c>
      <c r="I17" s="11" t="s">
        <v>76</v>
      </c>
      <c r="J17" s="11" t="s">
        <v>126</v>
      </c>
      <c r="K17" s="11" t="s">
        <v>174</v>
      </c>
      <c r="L17" s="11" t="s">
        <v>175</v>
      </c>
      <c r="M17" s="11" t="s">
        <v>176</v>
      </c>
      <c r="N17" s="11" t="s">
        <v>177</v>
      </c>
    </row>
    <row r="18" spans="1:14" ht="78" customHeight="1" x14ac:dyDescent="0.25">
      <c r="A18" s="14" t="s">
        <v>178</v>
      </c>
      <c r="B18" s="14" t="s">
        <v>179</v>
      </c>
      <c r="C18" s="14" t="s">
        <v>180</v>
      </c>
      <c r="D18" s="12" t="s">
        <v>34</v>
      </c>
      <c r="E18" s="15" t="s">
        <v>42</v>
      </c>
      <c r="F18" s="19" t="s">
        <v>181</v>
      </c>
      <c r="G18" s="14" t="s">
        <v>86</v>
      </c>
      <c r="H18" s="14" t="s">
        <v>75</v>
      </c>
      <c r="I18" s="14" t="s">
        <v>76</v>
      </c>
      <c r="J18" s="14" t="s">
        <v>182</v>
      </c>
      <c r="K18" s="14" t="s">
        <v>183</v>
      </c>
      <c r="L18" s="14" t="s">
        <v>184</v>
      </c>
      <c r="M18" s="14" t="s">
        <v>176</v>
      </c>
      <c r="N18" s="14" t="s">
        <v>185</v>
      </c>
    </row>
    <row r="19" spans="1:14" ht="78" customHeight="1" x14ac:dyDescent="0.25">
      <c r="A19" s="11" t="s">
        <v>186</v>
      </c>
      <c r="B19" s="11" t="s">
        <v>187</v>
      </c>
      <c r="C19" s="11" t="s">
        <v>188</v>
      </c>
      <c r="D19" s="12" t="s">
        <v>34</v>
      </c>
      <c r="E19" s="13" t="s">
        <v>40</v>
      </c>
      <c r="F19" s="18" t="s">
        <v>189</v>
      </c>
      <c r="G19" s="11" t="s">
        <v>86</v>
      </c>
      <c r="H19" s="11" t="s">
        <v>75</v>
      </c>
      <c r="I19" s="11" t="s">
        <v>76</v>
      </c>
      <c r="J19" s="11" t="s">
        <v>190</v>
      </c>
      <c r="K19" s="11" t="s">
        <v>191</v>
      </c>
      <c r="L19" s="11" t="s">
        <v>192</v>
      </c>
      <c r="M19" s="11" t="s">
        <v>176</v>
      </c>
      <c r="N19" s="11" t="s">
        <v>193</v>
      </c>
    </row>
    <row r="20" spans="1:14" ht="78" customHeight="1" x14ac:dyDescent="0.25">
      <c r="A20" s="14" t="s">
        <v>194</v>
      </c>
      <c r="B20" s="14" t="s">
        <v>195</v>
      </c>
      <c r="C20" s="14" t="s">
        <v>196</v>
      </c>
      <c r="D20" s="12" t="s">
        <v>34</v>
      </c>
      <c r="E20" s="13" t="s">
        <v>40</v>
      </c>
      <c r="F20" s="19" t="s">
        <v>197</v>
      </c>
      <c r="G20" s="14" t="s">
        <v>86</v>
      </c>
      <c r="H20" s="14" t="s">
        <v>75</v>
      </c>
      <c r="I20" s="14" t="s">
        <v>76</v>
      </c>
      <c r="J20" s="14" t="s">
        <v>198</v>
      </c>
      <c r="K20" s="14" t="s">
        <v>191</v>
      </c>
      <c r="L20" s="14" t="s">
        <v>199</v>
      </c>
      <c r="M20" s="14" t="s">
        <v>176</v>
      </c>
      <c r="N20" s="14" t="s">
        <v>200</v>
      </c>
    </row>
    <row r="21" spans="1:14" ht="78" customHeight="1" x14ac:dyDescent="0.25">
      <c r="A21" s="11" t="s">
        <v>201</v>
      </c>
      <c r="B21" s="11" t="s">
        <v>202</v>
      </c>
      <c r="C21" s="11" t="s">
        <v>203</v>
      </c>
      <c r="D21" s="15" t="s">
        <v>38</v>
      </c>
      <c r="E21" s="16" t="s">
        <v>44</v>
      </c>
      <c r="F21" s="18" t="s">
        <v>204</v>
      </c>
      <c r="G21" s="11" t="s">
        <v>86</v>
      </c>
      <c r="H21" s="11" t="s">
        <v>75</v>
      </c>
      <c r="I21" s="11" t="s">
        <v>76</v>
      </c>
      <c r="J21" s="11" t="s">
        <v>77</v>
      </c>
      <c r="K21" s="11" t="s">
        <v>205</v>
      </c>
      <c r="L21" s="11" t="s">
        <v>206</v>
      </c>
      <c r="M21" s="11" t="s">
        <v>176</v>
      </c>
      <c r="N21" s="11" t="s">
        <v>207</v>
      </c>
    </row>
    <row r="22" spans="1:14" ht="78" customHeight="1" x14ac:dyDescent="0.25">
      <c r="A22" s="14" t="s">
        <v>208</v>
      </c>
      <c r="B22" s="14" t="s">
        <v>209</v>
      </c>
      <c r="C22" s="14" t="s">
        <v>210</v>
      </c>
      <c r="D22" s="12" t="s">
        <v>34</v>
      </c>
      <c r="E22" s="15" t="s">
        <v>42</v>
      </c>
      <c r="F22" s="19" t="s">
        <v>211</v>
      </c>
      <c r="G22" s="14" t="s">
        <v>74</v>
      </c>
      <c r="H22" s="14" t="s">
        <v>212</v>
      </c>
      <c r="I22" s="14" t="s">
        <v>76</v>
      </c>
      <c r="J22" s="14" t="s">
        <v>213</v>
      </c>
      <c r="K22" s="14" t="s">
        <v>214</v>
      </c>
      <c r="L22" s="14" t="s">
        <v>215</v>
      </c>
      <c r="M22" s="14" t="s">
        <v>216</v>
      </c>
      <c r="N22" s="14" t="s">
        <v>217</v>
      </c>
    </row>
    <row r="23" spans="1:14" ht="78" customHeight="1" x14ac:dyDescent="0.25">
      <c r="A23" s="11" t="s">
        <v>218</v>
      </c>
      <c r="B23" s="11" t="s">
        <v>219</v>
      </c>
      <c r="C23" s="11" t="s">
        <v>220</v>
      </c>
      <c r="D23" s="16" t="s">
        <v>36</v>
      </c>
      <c r="E23" s="16" t="s">
        <v>44</v>
      </c>
      <c r="F23" s="18" t="s">
        <v>221</v>
      </c>
      <c r="G23" s="11" t="s">
        <v>86</v>
      </c>
      <c r="H23" s="11" t="s">
        <v>212</v>
      </c>
      <c r="I23" s="11" t="s">
        <v>76</v>
      </c>
      <c r="J23" s="11" t="s">
        <v>222</v>
      </c>
      <c r="K23" s="11" t="s">
        <v>223</v>
      </c>
      <c r="L23" s="11" t="s">
        <v>224</v>
      </c>
      <c r="M23" s="11" t="s">
        <v>216</v>
      </c>
      <c r="N23" s="11" t="s">
        <v>225</v>
      </c>
    </row>
    <row r="24" spans="1:14" ht="78" customHeight="1" x14ac:dyDescent="0.25">
      <c r="A24" s="14" t="s">
        <v>226</v>
      </c>
      <c r="B24" s="14" t="s">
        <v>157</v>
      </c>
      <c r="C24" s="14" t="s">
        <v>227</v>
      </c>
      <c r="D24" s="12" t="s">
        <v>34</v>
      </c>
      <c r="E24" s="15" t="s">
        <v>42</v>
      </c>
      <c r="F24" s="19" t="s">
        <v>228</v>
      </c>
      <c r="G24" s="14" t="s">
        <v>86</v>
      </c>
      <c r="H24" s="14" t="s">
        <v>212</v>
      </c>
      <c r="I24" s="14" t="s">
        <v>76</v>
      </c>
      <c r="J24" s="14" t="s">
        <v>77</v>
      </c>
      <c r="K24" s="14" t="s">
        <v>78</v>
      </c>
      <c r="L24" s="14" t="s">
        <v>229</v>
      </c>
      <c r="M24" s="14" t="s">
        <v>216</v>
      </c>
      <c r="N24" s="14" t="s">
        <v>230</v>
      </c>
    </row>
    <row r="25" spans="1:14" ht="78" customHeight="1" x14ac:dyDescent="0.25">
      <c r="A25" s="11" t="s">
        <v>231</v>
      </c>
      <c r="B25" s="11" t="s">
        <v>232</v>
      </c>
      <c r="C25" s="11" t="s">
        <v>233</v>
      </c>
      <c r="D25" s="12" t="s">
        <v>34</v>
      </c>
      <c r="E25" s="13" t="s">
        <v>40</v>
      </c>
      <c r="F25" s="18" t="s">
        <v>234</v>
      </c>
      <c r="G25" s="11" t="s">
        <v>86</v>
      </c>
      <c r="H25" s="11" t="s">
        <v>212</v>
      </c>
      <c r="I25" s="11" t="s">
        <v>76</v>
      </c>
      <c r="J25" s="11" t="s">
        <v>235</v>
      </c>
      <c r="K25" s="11" t="s">
        <v>236</v>
      </c>
      <c r="L25" s="11" t="s">
        <v>237</v>
      </c>
      <c r="M25" s="11" t="s">
        <v>238</v>
      </c>
      <c r="N25" s="11" t="s">
        <v>239</v>
      </c>
    </row>
    <row r="26" spans="1:14" ht="78" customHeight="1" x14ac:dyDescent="0.25">
      <c r="A26" s="14" t="s">
        <v>240</v>
      </c>
      <c r="B26" s="14" t="s">
        <v>241</v>
      </c>
      <c r="C26" s="14" t="s">
        <v>242</v>
      </c>
      <c r="D26" s="12" t="s">
        <v>34</v>
      </c>
      <c r="E26" s="15" t="s">
        <v>42</v>
      </c>
      <c r="F26" s="19" t="s">
        <v>243</v>
      </c>
      <c r="G26" s="14" t="s">
        <v>74</v>
      </c>
      <c r="H26" s="14" t="s">
        <v>212</v>
      </c>
      <c r="I26" s="14" t="s">
        <v>76</v>
      </c>
      <c r="J26" s="14" t="s">
        <v>244</v>
      </c>
      <c r="K26" s="14" t="s">
        <v>245</v>
      </c>
      <c r="L26" s="14" t="s">
        <v>246</v>
      </c>
      <c r="M26" s="14" t="s">
        <v>247</v>
      </c>
      <c r="N26" s="14" t="s">
        <v>248</v>
      </c>
    </row>
    <row r="27" spans="1:14" ht="78" customHeight="1" x14ac:dyDescent="0.25">
      <c r="A27" s="11" t="s">
        <v>249</v>
      </c>
      <c r="B27" s="11" t="s">
        <v>250</v>
      </c>
      <c r="C27" s="11" t="s">
        <v>251</v>
      </c>
      <c r="D27" s="12" t="s">
        <v>34</v>
      </c>
      <c r="E27" s="15" t="s">
        <v>42</v>
      </c>
      <c r="F27" s="18" t="s">
        <v>252</v>
      </c>
      <c r="G27" s="11" t="s">
        <v>86</v>
      </c>
      <c r="H27" s="11" t="s">
        <v>212</v>
      </c>
      <c r="I27" s="11" t="s">
        <v>76</v>
      </c>
      <c r="J27" s="11" t="s">
        <v>190</v>
      </c>
      <c r="K27" s="11" t="s">
        <v>191</v>
      </c>
      <c r="L27" s="11" t="s">
        <v>253</v>
      </c>
      <c r="M27" s="11" t="s">
        <v>247</v>
      </c>
      <c r="N27" s="11" t="s">
        <v>254</v>
      </c>
    </row>
    <row r="28" spans="1:14" ht="78" customHeight="1" x14ac:dyDescent="0.25">
      <c r="A28" s="14" t="s">
        <v>255</v>
      </c>
      <c r="B28" s="14" t="s">
        <v>92</v>
      </c>
      <c r="C28" s="14" t="s">
        <v>256</v>
      </c>
      <c r="D28" s="16" t="s">
        <v>36</v>
      </c>
      <c r="E28" s="16" t="s">
        <v>44</v>
      </c>
      <c r="F28" s="19" t="s">
        <v>257</v>
      </c>
      <c r="G28" s="14" t="s">
        <v>86</v>
      </c>
      <c r="H28" s="14" t="s">
        <v>212</v>
      </c>
      <c r="I28" s="14" t="s">
        <v>76</v>
      </c>
      <c r="J28" s="14" t="s">
        <v>95</v>
      </c>
      <c r="K28" s="14" t="s">
        <v>258</v>
      </c>
      <c r="L28" s="14" t="s">
        <v>259</v>
      </c>
      <c r="M28" s="14" t="s">
        <v>247</v>
      </c>
      <c r="N28" s="14" t="s">
        <v>260</v>
      </c>
    </row>
    <row r="29" spans="1:14" ht="78" customHeight="1" x14ac:dyDescent="0.25">
      <c r="A29" s="11" t="s">
        <v>261</v>
      </c>
      <c r="B29" s="11" t="s">
        <v>157</v>
      </c>
      <c r="C29" s="11" t="s">
        <v>262</v>
      </c>
      <c r="D29" s="12" t="s">
        <v>34</v>
      </c>
      <c r="E29" s="13" t="s">
        <v>40</v>
      </c>
      <c r="F29" s="18" t="s">
        <v>263</v>
      </c>
      <c r="G29" s="11" t="s">
        <v>74</v>
      </c>
      <c r="H29" s="11" t="s">
        <v>212</v>
      </c>
      <c r="I29" s="11" t="s">
        <v>76</v>
      </c>
      <c r="J29" s="11" t="s">
        <v>77</v>
      </c>
      <c r="K29" s="11" t="s">
        <v>78</v>
      </c>
      <c r="L29" s="11" t="s">
        <v>264</v>
      </c>
      <c r="M29" s="11" t="s">
        <v>265</v>
      </c>
      <c r="N29" s="11" t="s">
        <v>266</v>
      </c>
    </row>
    <row r="30" spans="1:14" ht="78" customHeight="1" x14ac:dyDescent="0.25">
      <c r="A30" s="14" t="s">
        <v>267</v>
      </c>
      <c r="B30" s="14" t="s">
        <v>268</v>
      </c>
      <c r="C30" s="14" t="s">
        <v>269</v>
      </c>
      <c r="D30" s="12" t="s">
        <v>34</v>
      </c>
      <c r="E30" s="15" t="s">
        <v>42</v>
      </c>
      <c r="F30" s="19" t="s">
        <v>270</v>
      </c>
      <c r="G30" s="14" t="s">
        <v>86</v>
      </c>
      <c r="H30" s="14" t="s">
        <v>212</v>
      </c>
      <c r="I30" s="14" t="s">
        <v>76</v>
      </c>
      <c r="J30" s="14" t="s">
        <v>271</v>
      </c>
      <c r="K30" s="14" t="s">
        <v>272</v>
      </c>
      <c r="L30" s="14" t="s">
        <v>273</v>
      </c>
      <c r="M30" s="14" t="s">
        <v>265</v>
      </c>
      <c r="N30" s="14" t="s">
        <v>274</v>
      </c>
    </row>
    <row r="31" spans="1:14" ht="78" customHeight="1" x14ac:dyDescent="0.25">
      <c r="A31" s="11" t="s">
        <v>275</v>
      </c>
      <c r="B31" s="11" t="s">
        <v>276</v>
      </c>
      <c r="C31" s="11" t="s">
        <v>277</v>
      </c>
      <c r="D31" s="12" t="s">
        <v>34</v>
      </c>
      <c r="E31" s="15" t="s">
        <v>42</v>
      </c>
      <c r="F31" s="18" t="s">
        <v>278</v>
      </c>
      <c r="G31" s="11" t="s">
        <v>86</v>
      </c>
      <c r="H31" s="11" t="s">
        <v>212</v>
      </c>
      <c r="I31" s="11" t="s">
        <v>76</v>
      </c>
      <c r="J31" s="11" t="s">
        <v>279</v>
      </c>
      <c r="K31" s="11" t="s">
        <v>280</v>
      </c>
      <c r="L31" s="11" t="s">
        <v>281</v>
      </c>
      <c r="M31" s="11" t="s">
        <v>265</v>
      </c>
      <c r="N31" s="11" t="s">
        <v>282</v>
      </c>
    </row>
    <row r="32" spans="1:14" ht="78" customHeight="1" x14ac:dyDescent="0.25">
      <c r="A32" s="14" t="s">
        <v>283</v>
      </c>
      <c r="B32" s="14" t="s">
        <v>157</v>
      </c>
      <c r="C32" s="14" t="s">
        <v>284</v>
      </c>
      <c r="D32" s="12" t="s">
        <v>34</v>
      </c>
      <c r="E32" s="15" t="s">
        <v>42</v>
      </c>
      <c r="F32" s="19" t="s">
        <v>285</v>
      </c>
      <c r="G32" s="14" t="s">
        <v>86</v>
      </c>
      <c r="H32" s="14" t="s">
        <v>212</v>
      </c>
      <c r="I32" s="14" t="s">
        <v>76</v>
      </c>
      <c r="J32" s="14" t="s">
        <v>77</v>
      </c>
      <c r="K32" s="14" t="s">
        <v>78</v>
      </c>
      <c r="L32" s="14" t="s">
        <v>286</v>
      </c>
      <c r="M32" s="14" t="s">
        <v>265</v>
      </c>
      <c r="N32" s="14" t="s">
        <v>287</v>
      </c>
    </row>
    <row r="33" spans="1:14" ht="78" customHeight="1" x14ac:dyDescent="0.25">
      <c r="A33" s="11" t="s">
        <v>288</v>
      </c>
      <c r="B33" s="11" t="s">
        <v>108</v>
      </c>
      <c r="C33" s="11" t="s">
        <v>289</v>
      </c>
      <c r="D33" s="12" t="s">
        <v>34</v>
      </c>
      <c r="E33" s="15" t="s">
        <v>42</v>
      </c>
      <c r="F33" s="18" t="s">
        <v>290</v>
      </c>
      <c r="G33" s="11" t="s">
        <v>74</v>
      </c>
      <c r="H33" s="11" t="s">
        <v>212</v>
      </c>
      <c r="I33" s="11" t="s">
        <v>76</v>
      </c>
      <c r="J33" s="11" t="s">
        <v>111</v>
      </c>
      <c r="K33" s="11" t="s">
        <v>112</v>
      </c>
      <c r="L33" s="11" t="s">
        <v>291</v>
      </c>
      <c r="M33" s="11" t="s">
        <v>292</v>
      </c>
      <c r="N33" s="11" t="s">
        <v>293</v>
      </c>
    </row>
    <row r="34" spans="1:14" ht="78" customHeight="1" x14ac:dyDescent="0.25">
      <c r="A34" s="14" t="s">
        <v>294</v>
      </c>
      <c r="B34" s="14" t="s">
        <v>108</v>
      </c>
      <c r="C34" s="14" t="s">
        <v>295</v>
      </c>
      <c r="D34" s="12" t="s">
        <v>34</v>
      </c>
      <c r="E34" s="15" t="s">
        <v>42</v>
      </c>
      <c r="F34" s="19" t="s">
        <v>296</v>
      </c>
      <c r="G34" s="14" t="s">
        <v>86</v>
      </c>
      <c r="H34" s="14" t="s">
        <v>212</v>
      </c>
      <c r="I34" s="14" t="s">
        <v>76</v>
      </c>
      <c r="J34" s="14" t="s">
        <v>111</v>
      </c>
      <c r="K34" s="14" t="s">
        <v>112</v>
      </c>
      <c r="L34" s="14" t="s">
        <v>297</v>
      </c>
      <c r="M34" s="14" t="s">
        <v>292</v>
      </c>
      <c r="N34" s="14" t="s">
        <v>298</v>
      </c>
    </row>
    <row r="35" spans="1:14" ht="78" customHeight="1" x14ac:dyDescent="0.25">
      <c r="A35" s="11" t="s">
        <v>299</v>
      </c>
      <c r="B35" s="11" t="s">
        <v>108</v>
      </c>
      <c r="C35" s="11" t="s">
        <v>300</v>
      </c>
      <c r="D35" s="16" t="s">
        <v>36</v>
      </c>
      <c r="E35" s="16" t="s">
        <v>44</v>
      </c>
      <c r="F35" s="18" t="s">
        <v>301</v>
      </c>
      <c r="G35" s="11" t="s">
        <v>86</v>
      </c>
      <c r="H35" s="11" t="s">
        <v>212</v>
      </c>
      <c r="I35" s="11" t="s">
        <v>76</v>
      </c>
      <c r="J35" s="11" t="s">
        <v>111</v>
      </c>
      <c r="K35" s="11" t="s">
        <v>112</v>
      </c>
      <c r="L35" s="11" t="s">
        <v>302</v>
      </c>
      <c r="M35" s="11" t="s">
        <v>292</v>
      </c>
      <c r="N35" s="11" t="s">
        <v>303</v>
      </c>
    </row>
    <row r="36" spans="1:14" ht="78" customHeight="1" x14ac:dyDescent="0.25">
      <c r="A36" s="14" t="s">
        <v>304</v>
      </c>
      <c r="B36" s="14" t="s">
        <v>305</v>
      </c>
      <c r="C36" s="14" t="s">
        <v>306</v>
      </c>
      <c r="D36" s="12" t="s">
        <v>34</v>
      </c>
      <c r="E36" s="13" t="s">
        <v>40</v>
      </c>
      <c r="F36" s="19" t="s">
        <v>307</v>
      </c>
      <c r="G36" s="14" t="s">
        <v>74</v>
      </c>
      <c r="H36" s="14" t="s">
        <v>308</v>
      </c>
      <c r="I36" s="14" t="s">
        <v>76</v>
      </c>
      <c r="J36" s="14" t="s">
        <v>309</v>
      </c>
      <c r="K36" s="14" t="s">
        <v>310</v>
      </c>
      <c r="L36" s="14" t="s">
        <v>311</v>
      </c>
      <c r="M36" s="14" t="s">
        <v>312</v>
      </c>
      <c r="N36" s="14" t="s">
        <v>313</v>
      </c>
    </row>
    <row r="37" spans="1:14" ht="78" customHeight="1" x14ac:dyDescent="0.25">
      <c r="A37" s="11" t="s">
        <v>314</v>
      </c>
      <c r="B37" s="11" t="s">
        <v>315</v>
      </c>
      <c r="C37" s="11" t="s">
        <v>316</v>
      </c>
      <c r="D37" s="12" t="s">
        <v>34</v>
      </c>
      <c r="E37" s="13" t="s">
        <v>40</v>
      </c>
      <c r="F37" s="18" t="s">
        <v>317</v>
      </c>
      <c r="G37" s="11" t="s">
        <v>86</v>
      </c>
      <c r="H37" s="11" t="s">
        <v>308</v>
      </c>
      <c r="I37" s="11" t="s">
        <v>76</v>
      </c>
      <c r="J37" s="11" t="s">
        <v>318</v>
      </c>
      <c r="K37" s="11" t="s">
        <v>319</v>
      </c>
      <c r="L37" s="11" t="s">
        <v>320</v>
      </c>
      <c r="M37" s="11" t="s">
        <v>321</v>
      </c>
      <c r="N37" s="11" t="s">
        <v>322</v>
      </c>
    </row>
    <row r="38" spans="1:14" ht="78" customHeight="1" x14ac:dyDescent="0.25">
      <c r="A38" s="14" t="s">
        <v>323</v>
      </c>
      <c r="B38" s="14" t="s">
        <v>324</v>
      </c>
      <c r="C38" s="14" t="s">
        <v>325</v>
      </c>
      <c r="D38" s="12" t="s">
        <v>34</v>
      </c>
      <c r="E38" s="13" t="s">
        <v>40</v>
      </c>
      <c r="F38" s="19" t="s">
        <v>326</v>
      </c>
      <c r="G38" s="14" t="s">
        <v>86</v>
      </c>
      <c r="H38" s="14" t="s">
        <v>308</v>
      </c>
      <c r="I38" s="14" t="s">
        <v>76</v>
      </c>
      <c r="J38" s="14" t="s">
        <v>327</v>
      </c>
      <c r="K38" s="14" t="s">
        <v>328</v>
      </c>
      <c r="L38" s="14" t="s">
        <v>329</v>
      </c>
      <c r="M38" s="14" t="s">
        <v>321</v>
      </c>
      <c r="N38" s="14" t="s">
        <v>330</v>
      </c>
    </row>
    <row r="39" spans="1:14" ht="78" customHeight="1" x14ac:dyDescent="0.25">
      <c r="A39" s="11" t="s">
        <v>331</v>
      </c>
      <c r="B39" s="11" t="s">
        <v>157</v>
      </c>
      <c r="C39" s="11" t="s">
        <v>332</v>
      </c>
      <c r="D39" s="12" t="s">
        <v>34</v>
      </c>
      <c r="E39" s="15" t="s">
        <v>42</v>
      </c>
      <c r="F39" s="18" t="s">
        <v>333</v>
      </c>
      <c r="G39" s="11" t="s">
        <v>86</v>
      </c>
      <c r="H39" s="11" t="s">
        <v>308</v>
      </c>
      <c r="I39" s="11" t="s">
        <v>76</v>
      </c>
      <c r="J39" s="11" t="s">
        <v>77</v>
      </c>
      <c r="K39" s="11" t="s">
        <v>78</v>
      </c>
      <c r="L39" s="11" t="s">
        <v>334</v>
      </c>
      <c r="M39" s="11" t="s">
        <v>321</v>
      </c>
      <c r="N39" s="11" t="s">
        <v>335</v>
      </c>
    </row>
    <row r="40" spans="1:14" ht="78" customHeight="1" x14ac:dyDescent="0.25">
      <c r="A40" s="14" t="s">
        <v>336</v>
      </c>
      <c r="B40" s="14" t="s">
        <v>157</v>
      </c>
      <c r="C40" s="14" t="s">
        <v>337</v>
      </c>
      <c r="D40" s="12" t="s">
        <v>34</v>
      </c>
      <c r="E40" s="15" t="s">
        <v>42</v>
      </c>
      <c r="F40" s="19" t="s">
        <v>338</v>
      </c>
      <c r="G40" s="14" t="s">
        <v>86</v>
      </c>
      <c r="H40" s="14" t="s">
        <v>308</v>
      </c>
      <c r="I40" s="14" t="s">
        <v>76</v>
      </c>
      <c r="J40" s="14" t="s">
        <v>77</v>
      </c>
      <c r="K40" s="14" t="s">
        <v>78</v>
      </c>
      <c r="L40" s="14" t="s">
        <v>339</v>
      </c>
      <c r="M40" s="14" t="s">
        <v>321</v>
      </c>
      <c r="N40" s="14" t="s">
        <v>340</v>
      </c>
    </row>
    <row r="41" spans="1:14" ht="78" customHeight="1" x14ac:dyDescent="0.25">
      <c r="A41" s="11" t="s">
        <v>341</v>
      </c>
      <c r="B41" s="11" t="s">
        <v>108</v>
      </c>
      <c r="C41" s="11" t="s">
        <v>342</v>
      </c>
      <c r="D41" s="12" t="s">
        <v>34</v>
      </c>
      <c r="E41" s="15" t="s">
        <v>42</v>
      </c>
      <c r="F41" s="18" t="s">
        <v>343</v>
      </c>
      <c r="G41" s="11" t="s">
        <v>74</v>
      </c>
      <c r="H41" s="11" t="s">
        <v>308</v>
      </c>
      <c r="I41" s="11" t="s">
        <v>76</v>
      </c>
      <c r="J41" s="11" t="s">
        <v>111</v>
      </c>
      <c r="K41" s="11" t="s">
        <v>112</v>
      </c>
      <c r="L41" s="11" t="s">
        <v>344</v>
      </c>
      <c r="M41" s="11" t="s">
        <v>312</v>
      </c>
      <c r="N41" s="11" t="s">
        <v>345</v>
      </c>
    </row>
    <row r="42" spans="1:14" ht="78" customHeight="1" x14ac:dyDescent="0.25">
      <c r="A42" s="14" t="s">
        <v>346</v>
      </c>
      <c r="B42" s="14" t="s">
        <v>108</v>
      </c>
      <c r="C42" s="14" t="s">
        <v>347</v>
      </c>
      <c r="D42" s="16" t="s">
        <v>36</v>
      </c>
      <c r="E42" s="16" t="s">
        <v>44</v>
      </c>
      <c r="F42" s="19" t="s">
        <v>348</v>
      </c>
      <c r="G42" s="14" t="s">
        <v>86</v>
      </c>
      <c r="H42" s="14" t="s">
        <v>308</v>
      </c>
      <c r="I42" s="14" t="s">
        <v>76</v>
      </c>
      <c r="J42" s="14" t="s">
        <v>111</v>
      </c>
      <c r="K42" s="14" t="s">
        <v>112</v>
      </c>
      <c r="L42" s="14" t="s">
        <v>349</v>
      </c>
      <c r="M42" s="14" t="s">
        <v>350</v>
      </c>
      <c r="N42" s="14" t="s">
        <v>351</v>
      </c>
    </row>
    <row r="43" spans="1:14" ht="78" customHeight="1" x14ac:dyDescent="0.25">
      <c r="A43" s="11" t="s">
        <v>352</v>
      </c>
      <c r="B43" s="11" t="s">
        <v>353</v>
      </c>
      <c r="C43" s="11" t="s">
        <v>354</v>
      </c>
      <c r="D43" s="12" t="s">
        <v>34</v>
      </c>
      <c r="E43" s="13" t="s">
        <v>40</v>
      </c>
      <c r="F43" s="18" t="s">
        <v>355</v>
      </c>
      <c r="G43" s="11" t="s">
        <v>86</v>
      </c>
      <c r="H43" s="11" t="s">
        <v>308</v>
      </c>
      <c r="I43" s="11" t="s">
        <v>76</v>
      </c>
      <c r="J43" s="11" t="s">
        <v>356</v>
      </c>
      <c r="K43" s="11" t="s">
        <v>78</v>
      </c>
      <c r="L43" s="11" t="s">
        <v>357</v>
      </c>
      <c r="M43" s="11" t="s">
        <v>350</v>
      </c>
      <c r="N43" s="11" t="s">
        <v>358</v>
      </c>
    </row>
    <row r="44" spans="1:14" ht="78" customHeight="1" x14ac:dyDescent="0.25">
      <c r="A44" s="14" t="s">
        <v>359</v>
      </c>
      <c r="B44" s="14" t="s">
        <v>360</v>
      </c>
      <c r="C44" s="14" t="s">
        <v>361</v>
      </c>
      <c r="D44" s="12" t="s">
        <v>34</v>
      </c>
      <c r="E44" s="13" t="s">
        <v>40</v>
      </c>
      <c r="F44" s="19" t="s">
        <v>362</v>
      </c>
      <c r="G44" s="14" t="s">
        <v>86</v>
      </c>
      <c r="H44" s="14" t="s">
        <v>308</v>
      </c>
      <c r="I44" s="14" t="s">
        <v>76</v>
      </c>
      <c r="J44" s="14" t="s">
        <v>363</v>
      </c>
      <c r="K44" s="14" t="s">
        <v>364</v>
      </c>
      <c r="L44" s="14" t="s">
        <v>365</v>
      </c>
      <c r="M44" s="14" t="s">
        <v>350</v>
      </c>
      <c r="N44" s="14" t="s">
        <v>366</v>
      </c>
    </row>
    <row r="45" spans="1:14" ht="78" customHeight="1" x14ac:dyDescent="0.25">
      <c r="A45" s="11" t="s">
        <v>367</v>
      </c>
      <c r="B45" s="11" t="s">
        <v>108</v>
      </c>
      <c r="C45" s="11" t="s">
        <v>368</v>
      </c>
      <c r="D45" s="12" t="s">
        <v>34</v>
      </c>
      <c r="E45" s="15" t="s">
        <v>42</v>
      </c>
      <c r="F45" s="18" t="s">
        <v>369</v>
      </c>
      <c r="G45" s="11" t="s">
        <v>86</v>
      </c>
      <c r="H45" s="11" t="s">
        <v>308</v>
      </c>
      <c r="I45" s="11" t="s">
        <v>76</v>
      </c>
      <c r="J45" s="11" t="s">
        <v>111</v>
      </c>
      <c r="K45" s="11" t="s">
        <v>112</v>
      </c>
      <c r="L45" s="11" t="s">
        <v>370</v>
      </c>
      <c r="M45" s="11" t="s">
        <v>350</v>
      </c>
      <c r="N45" s="11" t="s">
        <v>371</v>
      </c>
    </row>
    <row r="46" spans="1:14" ht="78" customHeight="1" x14ac:dyDescent="0.25">
      <c r="A46" s="14" t="s">
        <v>372</v>
      </c>
      <c r="B46" s="14" t="s">
        <v>373</v>
      </c>
      <c r="C46" s="14" t="s">
        <v>374</v>
      </c>
      <c r="D46" s="12" t="s">
        <v>34</v>
      </c>
      <c r="E46" s="15" t="s">
        <v>42</v>
      </c>
      <c r="F46" s="19" t="s">
        <v>375</v>
      </c>
      <c r="G46" s="14" t="s">
        <v>74</v>
      </c>
      <c r="H46" s="14" t="s">
        <v>308</v>
      </c>
      <c r="I46" s="14" t="s">
        <v>76</v>
      </c>
      <c r="J46" s="14" t="s">
        <v>376</v>
      </c>
      <c r="K46" s="14" t="s">
        <v>377</v>
      </c>
      <c r="L46" s="14" t="s">
        <v>378</v>
      </c>
      <c r="M46" s="14" t="s">
        <v>379</v>
      </c>
      <c r="N46" s="14" t="s">
        <v>380</v>
      </c>
    </row>
    <row r="47" spans="1:14" ht="78" customHeight="1" x14ac:dyDescent="0.25">
      <c r="A47" s="11" t="s">
        <v>381</v>
      </c>
      <c r="B47" s="11" t="s">
        <v>382</v>
      </c>
      <c r="C47" s="11" t="s">
        <v>383</v>
      </c>
      <c r="D47" s="12" t="s">
        <v>34</v>
      </c>
      <c r="E47" s="15" t="s">
        <v>42</v>
      </c>
      <c r="F47" s="18" t="s">
        <v>384</v>
      </c>
      <c r="G47" s="11" t="s">
        <v>86</v>
      </c>
      <c r="H47" s="11" t="s">
        <v>308</v>
      </c>
      <c r="I47" s="11" t="s">
        <v>76</v>
      </c>
      <c r="J47" s="11" t="s">
        <v>385</v>
      </c>
      <c r="K47" s="11" t="s">
        <v>386</v>
      </c>
      <c r="L47" s="11" t="s">
        <v>387</v>
      </c>
      <c r="M47" s="11" t="s">
        <v>379</v>
      </c>
      <c r="N47" s="11" t="s">
        <v>388</v>
      </c>
    </row>
    <row r="48" spans="1:14" ht="78" customHeight="1" x14ac:dyDescent="0.25">
      <c r="A48" s="14" t="s">
        <v>389</v>
      </c>
      <c r="B48" s="14" t="s">
        <v>390</v>
      </c>
      <c r="C48" s="14" t="s">
        <v>391</v>
      </c>
      <c r="D48" s="12" t="s">
        <v>34</v>
      </c>
      <c r="E48" s="15" t="s">
        <v>42</v>
      </c>
      <c r="F48" s="19" t="s">
        <v>392</v>
      </c>
      <c r="G48" s="14" t="s">
        <v>86</v>
      </c>
      <c r="H48" s="14" t="s">
        <v>308</v>
      </c>
      <c r="I48" s="14" t="s">
        <v>76</v>
      </c>
      <c r="J48" s="14" t="s">
        <v>77</v>
      </c>
      <c r="K48" s="14" t="s">
        <v>78</v>
      </c>
      <c r="L48" s="14" t="s">
        <v>393</v>
      </c>
      <c r="M48" s="14" t="s">
        <v>350</v>
      </c>
      <c r="N48" s="14" t="s">
        <v>394</v>
      </c>
    </row>
    <row r="49" spans="1:14" ht="78" customHeight="1" x14ac:dyDescent="0.25">
      <c r="A49" s="11" t="s">
        <v>395</v>
      </c>
      <c r="B49" s="11" t="s">
        <v>157</v>
      </c>
      <c r="C49" s="11" t="s">
        <v>396</v>
      </c>
      <c r="D49" s="16" t="s">
        <v>36</v>
      </c>
      <c r="E49" s="16" t="s">
        <v>44</v>
      </c>
      <c r="F49" s="18" t="s">
        <v>397</v>
      </c>
      <c r="G49" s="11" t="s">
        <v>86</v>
      </c>
      <c r="H49" s="11" t="s">
        <v>308</v>
      </c>
      <c r="I49" s="11" t="s">
        <v>76</v>
      </c>
      <c r="J49" s="11" t="s">
        <v>77</v>
      </c>
      <c r="K49" s="11" t="s">
        <v>78</v>
      </c>
      <c r="L49" s="11" t="s">
        <v>398</v>
      </c>
      <c r="M49" s="11" t="s">
        <v>379</v>
      </c>
      <c r="N49" s="11" t="s">
        <v>399</v>
      </c>
    </row>
    <row r="50" spans="1:14" ht="78" customHeight="1" x14ac:dyDescent="0.25">
      <c r="A50" s="14" t="s">
        <v>400</v>
      </c>
      <c r="B50" s="14" t="s">
        <v>108</v>
      </c>
      <c r="C50" s="14" t="s">
        <v>401</v>
      </c>
      <c r="D50" s="16" t="s">
        <v>36</v>
      </c>
      <c r="E50" s="16" t="s">
        <v>44</v>
      </c>
      <c r="F50" s="19" t="s">
        <v>402</v>
      </c>
      <c r="G50" s="14" t="s">
        <v>86</v>
      </c>
      <c r="H50" s="14" t="s">
        <v>308</v>
      </c>
      <c r="I50" s="14" t="s">
        <v>76</v>
      </c>
      <c r="J50" s="14" t="s">
        <v>111</v>
      </c>
      <c r="K50" s="14" t="s">
        <v>112</v>
      </c>
      <c r="L50" s="14" t="s">
        <v>403</v>
      </c>
      <c r="M50" s="14" t="s">
        <v>379</v>
      </c>
      <c r="N50" s="14" t="s">
        <v>404</v>
      </c>
    </row>
    <row r="51" spans="1:14" ht="78" customHeight="1" x14ac:dyDescent="0.25">
      <c r="A51" s="11" t="s">
        <v>405</v>
      </c>
      <c r="B51" s="11" t="s">
        <v>163</v>
      </c>
      <c r="C51" s="11" t="s">
        <v>406</v>
      </c>
      <c r="D51" s="12" t="s">
        <v>34</v>
      </c>
      <c r="E51" s="15" t="s">
        <v>42</v>
      </c>
      <c r="F51" s="18" t="s">
        <v>407</v>
      </c>
      <c r="G51" s="11" t="s">
        <v>74</v>
      </c>
      <c r="H51" s="11" t="s">
        <v>308</v>
      </c>
      <c r="I51" s="11" t="s">
        <v>76</v>
      </c>
      <c r="J51" s="11" t="s">
        <v>166</v>
      </c>
      <c r="K51" s="11" t="s">
        <v>408</v>
      </c>
      <c r="L51" s="11" t="s">
        <v>409</v>
      </c>
      <c r="M51" s="11" t="s">
        <v>410</v>
      </c>
      <c r="N51" s="11" t="s">
        <v>411</v>
      </c>
    </row>
    <row r="52" spans="1:14" ht="78" customHeight="1" x14ac:dyDescent="0.25">
      <c r="A52" s="14" t="s">
        <v>412</v>
      </c>
      <c r="B52" s="14" t="s">
        <v>413</v>
      </c>
      <c r="C52" s="14" t="s">
        <v>414</v>
      </c>
      <c r="D52" s="12" t="s">
        <v>34</v>
      </c>
      <c r="E52" s="15" t="s">
        <v>42</v>
      </c>
      <c r="F52" s="19" t="s">
        <v>415</v>
      </c>
      <c r="G52" s="14" t="s">
        <v>86</v>
      </c>
      <c r="H52" s="14" t="s">
        <v>308</v>
      </c>
      <c r="I52" s="14" t="s">
        <v>76</v>
      </c>
      <c r="J52" s="14" t="s">
        <v>416</v>
      </c>
      <c r="K52" s="14" t="s">
        <v>236</v>
      </c>
      <c r="L52" s="14" t="s">
        <v>417</v>
      </c>
      <c r="M52" s="14" t="s">
        <v>410</v>
      </c>
      <c r="N52" s="14" t="s">
        <v>418</v>
      </c>
    </row>
    <row r="53" spans="1:14" ht="78" customHeight="1" x14ac:dyDescent="0.25">
      <c r="A53" s="11" t="s">
        <v>419</v>
      </c>
      <c r="B53" s="11" t="s">
        <v>108</v>
      </c>
      <c r="C53" s="11" t="s">
        <v>420</v>
      </c>
      <c r="D53" s="16" t="s">
        <v>36</v>
      </c>
      <c r="E53" s="16" t="s">
        <v>44</v>
      </c>
      <c r="F53" s="18" t="s">
        <v>421</v>
      </c>
      <c r="G53" s="11" t="s">
        <v>86</v>
      </c>
      <c r="H53" s="11" t="s">
        <v>308</v>
      </c>
      <c r="I53" s="11" t="s">
        <v>76</v>
      </c>
      <c r="J53" s="11" t="s">
        <v>111</v>
      </c>
      <c r="K53" s="11" t="s">
        <v>112</v>
      </c>
      <c r="L53" s="11" t="s">
        <v>422</v>
      </c>
      <c r="M53" s="11" t="s">
        <v>410</v>
      </c>
      <c r="N53" s="11" t="s">
        <v>423</v>
      </c>
    </row>
    <row r="54" spans="1:14" ht="78" customHeight="1" x14ac:dyDescent="0.25">
      <c r="A54" s="14" t="s">
        <v>424</v>
      </c>
      <c r="B54" s="14" t="s">
        <v>425</v>
      </c>
      <c r="C54" s="14" t="s">
        <v>426</v>
      </c>
      <c r="D54" s="12" t="s">
        <v>34</v>
      </c>
      <c r="E54" s="15" t="s">
        <v>42</v>
      </c>
      <c r="F54" s="19" t="s">
        <v>427</v>
      </c>
      <c r="G54" s="14" t="s">
        <v>74</v>
      </c>
      <c r="H54" s="14" t="s">
        <v>428</v>
      </c>
      <c r="I54" s="14" t="s">
        <v>76</v>
      </c>
      <c r="J54" s="14" t="s">
        <v>429</v>
      </c>
      <c r="K54" s="14" t="s">
        <v>430</v>
      </c>
      <c r="L54" s="14" t="s">
        <v>431</v>
      </c>
      <c r="M54" s="14" t="s">
        <v>432</v>
      </c>
      <c r="N54" s="14" t="s">
        <v>433</v>
      </c>
    </row>
    <row r="55" spans="1:14" ht="78" customHeight="1" x14ac:dyDescent="0.25">
      <c r="A55" s="11" t="s">
        <v>434</v>
      </c>
      <c r="B55" s="11" t="s">
        <v>435</v>
      </c>
      <c r="C55" s="11" t="s">
        <v>436</v>
      </c>
      <c r="D55" s="12" t="s">
        <v>34</v>
      </c>
      <c r="E55" s="15" t="s">
        <v>42</v>
      </c>
      <c r="F55" s="18" t="s">
        <v>437</v>
      </c>
      <c r="G55" s="11" t="s">
        <v>86</v>
      </c>
      <c r="H55" s="11" t="s">
        <v>428</v>
      </c>
      <c r="I55" s="11" t="s">
        <v>76</v>
      </c>
      <c r="J55" s="11" t="s">
        <v>438</v>
      </c>
      <c r="K55" s="11" t="s">
        <v>439</v>
      </c>
      <c r="L55" s="11" t="s">
        <v>440</v>
      </c>
      <c r="M55" s="11" t="s">
        <v>432</v>
      </c>
      <c r="N55" s="11" t="s">
        <v>441</v>
      </c>
    </row>
    <row r="56" spans="1:14" ht="78" customHeight="1" x14ac:dyDescent="0.25">
      <c r="A56" s="14" t="s">
        <v>442</v>
      </c>
      <c r="B56" s="14" t="s">
        <v>108</v>
      </c>
      <c r="C56" s="14" t="s">
        <v>443</v>
      </c>
      <c r="D56" s="16" t="s">
        <v>36</v>
      </c>
      <c r="E56" s="16" t="s">
        <v>44</v>
      </c>
      <c r="F56" s="19" t="s">
        <v>444</v>
      </c>
      <c r="G56" s="14" t="s">
        <v>86</v>
      </c>
      <c r="H56" s="14" t="s">
        <v>428</v>
      </c>
      <c r="I56" s="14" t="s">
        <v>76</v>
      </c>
      <c r="J56" s="14" t="s">
        <v>111</v>
      </c>
      <c r="K56" s="14" t="s">
        <v>445</v>
      </c>
      <c r="L56" s="14" t="s">
        <v>446</v>
      </c>
      <c r="M56" s="14" t="s">
        <v>432</v>
      </c>
      <c r="N56" s="14" t="s">
        <v>447</v>
      </c>
    </row>
    <row r="57" spans="1:14" ht="78" customHeight="1" x14ac:dyDescent="0.25">
      <c r="A57" s="11" t="s">
        <v>448</v>
      </c>
      <c r="B57" s="11" t="s">
        <v>449</v>
      </c>
      <c r="C57" s="11" t="s">
        <v>450</v>
      </c>
      <c r="D57" s="16" t="s">
        <v>36</v>
      </c>
      <c r="E57" s="16" t="s">
        <v>44</v>
      </c>
      <c r="F57" s="18" t="s">
        <v>451</v>
      </c>
      <c r="G57" s="11" t="s">
        <v>74</v>
      </c>
      <c r="H57" s="11" t="s">
        <v>428</v>
      </c>
      <c r="I57" s="11" t="s">
        <v>76</v>
      </c>
      <c r="J57" s="11" t="s">
        <v>452</v>
      </c>
      <c r="K57" s="11" t="s">
        <v>453</v>
      </c>
      <c r="L57" s="11" t="s">
        <v>454</v>
      </c>
      <c r="M57" s="11" t="s">
        <v>455</v>
      </c>
      <c r="N57" s="11" t="s">
        <v>456</v>
      </c>
    </row>
    <row r="58" spans="1:14" ht="78" customHeight="1" x14ac:dyDescent="0.25">
      <c r="A58" s="14" t="s">
        <v>457</v>
      </c>
      <c r="B58" s="14" t="s">
        <v>157</v>
      </c>
      <c r="C58" s="14" t="s">
        <v>458</v>
      </c>
      <c r="D58" s="12" t="s">
        <v>34</v>
      </c>
      <c r="E58" s="15" t="s">
        <v>42</v>
      </c>
      <c r="F58" s="19" t="s">
        <v>459</v>
      </c>
      <c r="G58" s="14" t="s">
        <v>74</v>
      </c>
      <c r="H58" s="14" t="s">
        <v>428</v>
      </c>
      <c r="I58" s="14" t="s">
        <v>76</v>
      </c>
      <c r="J58" s="14" t="s">
        <v>77</v>
      </c>
      <c r="K58" s="14" t="s">
        <v>78</v>
      </c>
      <c r="L58" s="14" t="s">
        <v>460</v>
      </c>
      <c r="M58" s="14" t="s">
        <v>461</v>
      </c>
      <c r="N58" s="14" t="s">
        <v>462</v>
      </c>
    </row>
    <row r="59" spans="1:14" ht="78" customHeight="1" x14ac:dyDescent="0.25">
      <c r="A59" s="11" t="s">
        <v>463</v>
      </c>
      <c r="B59" s="11" t="s">
        <v>464</v>
      </c>
      <c r="C59" s="11" t="s">
        <v>465</v>
      </c>
      <c r="D59" s="12" t="s">
        <v>34</v>
      </c>
      <c r="E59" s="13" t="s">
        <v>40</v>
      </c>
      <c r="F59" s="18" t="s">
        <v>466</v>
      </c>
      <c r="G59" s="11" t="s">
        <v>86</v>
      </c>
      <c r="H59" s="11" t="s">
        <v>428</v>
      </c>
      <c r="I59" s="11" t="s">
        <v>76</v>
      </c>
      <c r="J59" s="11" t="s">
        <v>467</v>
      </c>
      <c r="K59" s="11" t="s">
        <v>78</v>
      </c>
      <c r="L59" s="11" t="s">
        <v>468</v>
      </c>
      <c r="M59" s="11" t="s">
        <v>461</v>
      </c>
      <c r="N59" s="11" t="s">
        <v>469</v>
      </c>
    </row>
    <row r="60" spans="1:14" ht="78" customHeight="1" x14ac:dyDescent="0.25">
      <c r="A60" s="14" t="s">
        <v>470</v>
      </c>
      <c r="B60" s="14" t="s">
        <v>108</v>
      </c>
      <c r="C60" s="14" t="s">
        <v>471</v>
      </c>
      <c r="D60" s="12" t="s">
        <v>34</v>
      </c>
      <c r="E60" s="15" t="s">
        <v>42</v>
      </c>
      <c r="F60" s="19" t="s">
        <v>472</v>
      </c>
      <c r="G60" s="14" t="s">
        <v>86</v>
      </c>
      <c r="H60" s="14" t="s">
        <v>428</v>
      </c>
      <c r="I60" s="14" t="s">
        <v>76</v>
      </c>
      <c r="J60" s="14" t="s">
        <v>111</v>
      </c>
      <c r="K60" s="14" t="s">
        <v>445</v>
      </c>
      <c r="L60" s="14" t="s">
        <v>473</v>
      </c>
      <c r="M60" s="14" t="s">
        <v>432</v>
      </c>
      <c r="N60" s="14" t="s">
        <v>474</v>
      </c>
    </row>
    <row r="61" spans="1:14" ht="78" customHeight="1" x14ac:dyDescent="0.25">
      <c r="A61" s="11" t="s">
        <v>475</v>
      </c>
      <c r="B61" s="11" t="s">
        <v>108</v>
      </c>
      <c r="C61" s="11" t="s">
        <v>476</v>
      </c>
      <c r="D61" s="16" t="s">
        <v>36</v>
      </c>
      <c r="E61" s="16" t="s">
        <v>44</v>
      </c>
      <c r="F61" s="18" t="s">
        <v>477</v>
      </c>
      <c r="G61" s="11" t="s">
        <v>86</v>
      </c>
      <c r="H61" s="11" t="s">
        <v>428</v>
      </c>
      <c r="I61" s="11" t="s">
        <v>76</v>
      </c>
      <c r="J61" s="11" t="s">
        <v>111</v>
      </c>
      <c r="K61" s="11" t="s">
        <v>445</v>
      </c>
      <c r="L61" s="11" t="s">
        <v>478</v>
      </c>
      <c r="M61" s="11" t="s">
        <v>461</v>
      </c>
      <c r="N61" s="11" t="s">
        <v>479</v>
      </c>
    </row>
    <row r="62" spans="1:14" ht="78" customHeight="1" x14ac:dyDescent="0.25">
      <c r="A62" s="14" t="s">
        <v>480</v>
      </c>
      <c r="B62" s="14" t="s">
        <v>157</v>
      </c>
      <c r="C62" s="14" t="s">
        <v>481</v>
      </c>
      <c r="D62" s="12" t="s">
        <v>34</v>
      </c>
      <c r="E62" s="15" t="s">
        <v>42</v>
      </c>
      <c r="F62" s="19" t="s">
        <v>482</v>
      </c>
      <c r="G62" s="14" t="s">
        <v>74</v>
      </c>
      <c r="H62" s="14" t="s">
        <v>428</v>
      </c>
      <c r="I62" s="14" t="s">
        <v>76</v>
      </c>
      <c r="J62" s="14" t="s">
        <v>77</v>
      </c>
      <c r="K62" s="14" t="s">
        <v>78</v>
      </c>
      <c r="L62" s="14" t="s">
        <v>483</v>
      </c>
      <c r="M62" s="14" t="s">
        <v>484</v>
      </c>
      <c r="N62" s="14" t="s">
        <v>485</v>
      </c>
    </row>
    <row r="63" spans="1:14" ht="78" customHeight="1" x14ac:dyDescent="0.25">
      <c r="A63" s="11" t="s">
        <v>486</v>
      </c>
      <c r="B63" s="11" t="s">
        <v>487</v>
      </c>
      <c r="C63" s="11" t="s">
        <v>488</v>
      </c>
      <c r="D63" s="12" t="s">
        <v>34</v>
      </c>
      <c r="E63" s="15" t="s">
        <v>42</v>
      </c>
      <c r="F63" s="18" t="s">
        <v>489</v>
      </c>
      <c r="G63" s="11" t="s">
        <v>86</v>
      </c>
      <c r="H63" s="11" t="s">
        <v>428</v>
      </c>
      <c r="I63" s="11" t="s">
        <v>76</v>
      </c>
      <c r="J63" s="11" t="s">
        <v>452</v>
      </c>
      <c r="K63" s="11" t="s">
        <v>490</v>
      </c>
      <c r="L63" s="11" t="s">
        <v>491</v>
      </c>
      <c r="M63" s="11" t="s">
        <v>484</v>
      </c>
      <c r="N63" s="11" t="s">
        <v>492</v>
      </c>
    </row>
    <row r="64" spans="1:14" ht="78" customHeight="1" x14ac:dyDescent="0.25">
      <c r="A64" s="14" t="s">
        <v>493</v>
      </c>
      <c r="B64" s="14" t="s">
        <v>108</v>
      </c>
      <c r="C64" s="14" t="s">
        <v>494</v>
      </c>
      <c r="D64" s="16" t="s">
        <v>36</v>
      </c>
      <c r="E64" s="16" t="s">
        <v>44</v>
      </c>
      <c r="F64" s="19" t="s">
        <v>495</v>
      </c>
      <c r="G64" s="14" t="s">
        <v>86</v>
      </c>
      <c r="H64" s="14" t="s">
        <v>428</v>
      </c>
      <c r="I64" s="14" t="s">
        <v>76</v>
      </c>
      <c r="J64" s="14" t="s">
        <v>111</v>
      </c>
      <c r="K64" s="14" t="s">
        <v>445</v>
      </c>
      <c r="L64" s="14" t="s">
        <v>496</v>
      </c>
      <c r="M64" s="14" t="s">
        <v>484</v>
      </c>
      <c r="N64" s="14" t="s">
        <v>497</v>
      </c>
    </row>
    <row r="65" spans="1:14" ht="78" customHeight="1" x14ac:dyDescent="0.25">
      <c r="A65" s="11" t="s">
        <v>498</v>
      </c>
      <c r="B65" s="11" t="s">
        <v>108</v>
      </c>
      <c r="C65" s="11" t="s">
        <v>499</v>
      </c>
      <c r="D65" s="16" t="s">
        <v>36</v>
      </c>
      <c r="E65" s="16" t="s">
        <v>44</v>
      </c>
      <c r="F65" s="18" t="s">
        <v>500</v>
      </c>
      <c r="G65" s="11" t="s">
        <v>86</v>
      </c>
      <c r="H65" s="11" t="s">
        <v>428</v>
      </c>
      <c r="I65" s="11" t="s">
        <v>76</v>
      </c>
      <c r="J65" s="11" t="s">
        <v>111</v>
      </c>
      <c r="K65" s="11" t="s">
        <v>445</v>
      </c>
      <c r="L65" s="11" t="s">
        <v>501</v>
      </c>
      <c r="M65" s="11" t="s">
        <v>484</v>
      </c>
      <c r="N65" s="11" t="s">
        <v>502</v>
      </c>
    </row>
    <row r="66" spans="1:14" ht="78" customHeight="1" x14ac:dyDescent="0.25">
      <c r="A66" s="14" t="s">
        <v>503</v>
      </c>
      <c r="B66" s="14" t="s">
        <v>108</v>
      </c>
      <c r="C66" s="14" t="s">
        <v>504</v>
      </c>
      <c r="D66" s="12" t="s">
        <v>34</v>
      </c>
      <c r="E66" s="15" t="s">
        <v>42</v>
      </c>
      <c r="F66" s="19" t="s">
        <v>505</v>
      </c>
      <c r="G66" s="14" t="s">
        <v>74</v>
      </c>
      <c r="H66" s="14" t="s">
        <v>428</v>
      </c>
      <c r="I66" s="14" t="s">
        <v>76</v>
      </c>
      <c r="J66" s="14" t="s">
        <v>111</v>
      </c>
      <c r="K66" s="14" t="s">
        <v>506</v>
      </c>
      <c r="L66" s="14" t="s">
        <v>507</v>
      </c>
      <c r="M66" s="14" t="s">
        <v>508</v>
      </c>
      <c r="N66" s="14" t="s">
        <v>509</v>
      </c>
    </row>
    <row r="67" spans="1:14" ht="78" customHeight="1" x14ac:dyDescent="0.25">
      <c r="A67" s="11" t="s">
        <v>510</v>
      </c>
      <c r="B67" s="11" t="s">
        <v>108</v>
      </c>
      <c r="C67" s="11" t="s">
        <v>511</v>
      </c>
      <c r="D67" s="12" t="s">
        <v>34</v>
      </c>
      <c r="E67" s="15" t="s">
        <v>42</v>
      </c>
      <c r="F67" s="18" t="s">
        <v>512</v>
      </c>
      <c r="G67" s="11" t="s">
        <v>86</v>
      </c>
      <c r="H67" s="11" t="s">
        <v>428</v>
      </c>
      <c r="I67" s="11" t="s">
        <v>76</v>
      </c>
      <c r="J67" s="11" t="s">
        <v>111</v>
      </c>
      <c r="K67" s="11" t="s">
        <v>513</v>
      </c>
      <c r="L67" s="11" t="s">
        <v>514</v>
      </c>
      <c r="M67" s="11" t="s">
        <v>508</v>
      </c>
      <c r="N67" s="11" t="s">
        <v>515</v>
      </c>
    </row>
    <row r="68" spans="1:14" ht="78" customHeight="1" x14ac:dyDescent="0.25">
      <c r="A68" s="14" t="s">
        <v>516</v>
      </c>
      <c r="B68" s="14" t="s">
        <v>517</v>
      </c>
      <c r="C68" s="14" t="s">
        <v>518</v>
      </c>
      <c r="D68" s="12" t="s">
        <v>34</v>
      </c>
      <c r="E68" s="13" t="s">
        <v>40</v>
      </c>
      <c r="F68" s="19" t="s">
        <v>519</v>
      </c>
      <c r="G68" s="14" t="s">
        <v>74</v>
      </c>
      <c r="H68" s="14" t="s">
        <v>520</v>
      </c>
      <c r="I68" s="14" t="s">
        <v>76</v>
      </c>
      <c r="J68" s="14" t="s">
        <v>126</v>
      </c>
      <c r="K68" s="14" t="s">
        <v>127</v>
      </c>
      <c r="L68" s="14" t="s">
        <v>521</v>
      </c>
      <c r="M68" s="14" t="s">
        <v>522</v>
      </c>
      <c r="N68" s="14" t="s">
        <v>523</v>
      </c>
    </row>
    <row r="69" spans="1:14" ht="78" customHeight="1" x14ac:dyDescent="0.25">
      <c r="A69" s="11" t="s">
        <v>524</v>
      </c>
      <c r="B69" s="11" t="s">
        <v>525</v>
      </c>
      <c r="C69" s="11" t="s">
        <v>526</v>
      </c>
      <c r="D69" s="16" t="s">
        <v>36</v>
      </c>
      <c r="E69" s="16" t="s">
        <v>44</v>
      </c>
      <c r="F69" s="18" t="s">
        <v>527</v>
      </c>
      <c r="G69" s="11" t="s">
        <v>86</v>
      </c>
      <c r="H69" s="11" t="s">
        <v>520</v>
      </c>
      <c r="I69" s="11" t="s">
        <v>76</v>
      </c>
      <c r="J69" s="11" t="s">
        <v>126</v>
      </c>
      <c r="K69" s="11" t="s">
        <v>490</v>
      </c>
      <c r="L69" s="11" t="s">
        <v>528</v>
      </c>
      <c r="M69" s="11" t="s">
        <v>522</v>
      </c>
      <c r="N69" s="11" t="s">
        <v>529</v>
      </c>
    </row>
    <row r="70" spans="1:14" ht="78" customHeight="1" x14ac:dyDescent="0.25">
      <c r="A70" s="14" t="s">
        <v>530</v>
      </c>
      <c r="B70" s="14" t="s">
        <v>435</v>
      </c>
      <c r="C70" s="14" t="s">
        <v>531</v>
      </c>
      <c r="D70" s="12" t="s">
        <v>34</v>
      </c>
      <c r="E70" s="13" t="s">
        <v>40</v>
      </c>
      <c r="F70" s="19" t="s">
        <v>532</v>
      </c>
      <c r="G70" s="14" t="s">
        <v>86</v>
      </c>
      <c r="H70" s="14" t="s">
        <v>520</v>
      </c>
      <c r="I70" s="14" t="s">
        <v>76</v>
      </c>
      <c r="J70" s="14" t="s">
        <v>438</v>
      </c>
      <c r="K70" s="14" t="s">
        <v>533</v>
      </c>
      <c r="L70" s="14" t="s">
        <v>534</v>
      </c>
      <c r="M70" s="14" t="s">
        <v>522</v>
      </c>
      <c r="N70" s="14" t="s">
        <v>535</v>
      </c>
    </row>
    <row r="71" spans="1:14" ht="78" customHeight="1" x14ac:dyDescent="0.25">
      <c r="A71" s="11" t="s">
        <v>536</v>
      </c>
      <c r="B71" s="11" t="s">
        <v>537</v>
      </c>
      <c r="C71" s="11" t="s">
        <v>538</v>
      </c>
      <c r="D71" s="16" t="s">
        <v>36</v>
      </c>
      <c r="E71" s="16" t="s">
        <v>44</v>
      </c>
      <c r="F71" s="18" t="s">
        <v>539</v>
      </c>
      <c r="G71" s="11" t="s">
        <v>86</v>
      </c>
      <c r="H71" s="11" t="s">
        <v>520</v>
      </c>
      <c r="I71" s="11" t="s">
        <v>76</v>
      </c>
      <c r="J71" s="11" t="s">
        <v>87</v>
      </c>
      <c r="K71" s="11" t="s">
        <v>88</v>
      </c>
      <c r="L71" s="11" t="s">
        <v>540</v>
      </c>
      <c r="M71" s="11" t="s">
        <v>522</v>
      </c>
      <c r="N71" s="11" t="s">
        <v>541</v>
      </c>
    </row>
    <row r="72" spans="1:14" ht="78" customHeight="1" x14ac:dyDescent="0.25">
      <c r="A72" s="14" t="s">
        <v>542</v>
      </c>
      <c r="B72" s="14" t="s">
        <v>543</v>
      </c>
      <c r="C72" s="14" t="s">
        <v>544</v>
      </c>
      <c r="D72" s="12" t="s">
        <v>34</v>
      </c>
      <c r="E72" s="15" t="s">
        <v>42</v>
      </c>
      <c r="F72" s="19" t="s">
        <v>545</v>
      </c>
      <c r="G72" s="14" t="s">
        <v>86</v>
      </c>
      <c r="H72" s="14" t="s">
        <v>520</v>
      </c>
      <c r="I72" s="14" t="s">
        <v>76</v>
      </c>
      <c r="J72" s="14" t="s">
        <v>546</v>
      </c>
      <c r="K72" s="14" t="s">
        <v>127</v>
      </c>
      <c r="L72" s="14" t="s">
        <v>547</v>
      </c>
      <c r="M72" s="14" t="s">
        <v>548</v>
      </c>
      <c r="N72" s="14" t="s">
        <v>549</v>
      </c>
    </row>
    <row r="73" spans="1:14" ht="78" customHeight="1" x14ac:dyDescent="0.25">
      <c r="A73" s="11" t="s">
        <v>550</v>
      </c>
      <c r="B73" s="11" t="s">
        <v>551</v>
      </c>
      <c r="C73" s="11" t="s">
        <v>552</v>
      </c>
      <c r="D73" s="12" t="s">
        <v>34</v>
      </c>
      <c r="E73" s="15" t="s">
        <v>42</v>
      </c>
      <c r="F73" s="18" t="s">
        <v>553</v>
      </c>
      <c r="G73" s="11" t="s">
        <v>74</v>
      </c>
      <c r="H73" s="11" t="s">
        <v>520</v>
      </c>
      <c r="I73" s="11" t="s">
        <v>76</v>
      </c>
      <c r="J73" s="11" t="s">
        <v>554</v>
      </c>
      <c r="K73" s="11" t="s">
        <v>555</v>
      </c>
      <c r="L73" s="11" t="s">
        <v>556</v>
      </c>
      <c r="M73" s="11" t="s">
        <v>557</v>
      </c>
      <c r="N73" s="11" t="s">
        <v>558</v>
      </c>
    </row>
    <row r="74" spans="1:14" ht="78" customHeight="1" x14ac:dyDescent="0.25">
      <c r="A74" s="14" t="s">
        <v>559</v>
      </c>
      <c r="B74" s="14" t="s">
        <v>560</v>
      </c>
      <c r="C74" s="14" t="s">
        <v>561</v>
      </c>
      <c r="D74" s="12" t="s">
        <v>34</v>
      </c>
      <c r="E74" s="15" t="s">
        <v>42</v>
      </c>
      <c r="F74" s="19" t="s">
        <v>562</v>
      </c>
      <c r="G74" s="14" t="s">
        <v>86</v>
      </c>
      <c r="H74" s="14" t="s">
        <v>520</v>
      </c>
      <c r="I74" s="14" t="s">
        <v>76</v>
      </c>
      <c r="J74" s="14" t="s">
        <v>554</v>
      </c>
      <c r="K74" s="14" t="s">
        <v>555</v>
      </c>
      <c r="L74" s="14" t="s">
        <v>563</v>
      </c>
      <c r="M74" s="14" t="s">
        <v>557</v>
      </c>
      <c r="N74" s="14" t="s">
        <v>564</v>
      </c>
    </row>
    <row r="75" spans="1:14" ht="78" customHeight="1" x14ac:dyDescent="0.25">
      <c r="A75" s="11" t="s">
        <v>565</v>
      </c>
      <c r="B75" s="11" t="s">
        <v>566</v>
      </c>
      <c r="C75" s="11" t="s">
        <v>567</v>
      </c>
      <c r="D75" s="16" t="s">
        <v>36</v>
      </c>
      <c r="E75" s="16" t="s">
        <v>44</v>
      </c>
      <c r="F75" s="18" t="s">
        <v>568</v>
      </c>
      <c r="G75" s="11" t="s">
        <v>86</v>
      </c>
      <c r="H75" s="11" t="s">
        <v>520</v>
      </c>
      <c r="I75" s="11" t="s">
        <v>76</v>
      </c>
      <c r="J75" s="11" t="s">
        <v>569</v>
      </c>
      <c r="K75" s="11" t="s">
        <v>570</v>
      </c>
      <c r="L75" s="11" t="s">
        <v>571</v>
      </c>
      <c r="M75" s="11" t="s">
        <v>557</v>
      </c>
      <c r="N75" s="11" t="s">
        <v>572</v>
      </c>
    </row>
    <row r="76" spans="1:14" ht="78" customHeight="1" x14ac:dyDescent="0.25">
      <c r="A76" s="14" t="s">
        <v>573</v>
      </c>
      <c r="B76" s="14" t="s">
        <v>435</v>
      </c>
      <c r="C76" s="14" t="s">
        <v>574</v>
      </c>
      <c r="D76" s="16" t="s">
        <v>36</v>
      </c>
      <c r="E76" s="16" t="s">
        <v>44</v>
      </c>
      <c r="F76" s="19" t="s">
        <v>575</v>
      </c>
      <c r="G76" s="14" t="s">
        <v>86</v>
      </c>
      <c r="H76" s="14" t="s">
        <v>520</v>
      </c>
      <c r="I76" s="14" t="s">
        <v>76</v>
      </c>
      <c r="J76" s="14" t="s">
        <v>438</v>
      </c>
      <c r="K76" s="14" t="s">
        <v>533</v>
      </c>
      <c r="L76" s="14" t="s">
        <v>576</v>
      </c>
      <c r="M76" s="14" t="s">
        <v>577</v>
      </c>
      <c r="N76" s="14" t="s">
        <v>578</v>
      </c>
    </row>
    <row r="77" spans="1:14" ht="78" customHeight="1" x14ac:dyDescent="0.25">
      <c r="A77" s="11" t="s">
        <v>579</v>
      </c>
      <c r="B77" s="11" t="s">
        <v>148</v>
      </c>
      <c r="C77" s="11" t="s">
        <v>580</v>
      </c>
      <c r="D77" s="12" t="s">
        <v>34</v>
      </c>
      <c r="E77" s="15" t="s">
        <v>42</v>
      </c>
      <c r="F77" s="18" t="s">
        <v>581</v>
      </c>
      <c r="G77" s="11" t="s">
        <v>86</v>
      </c>
      <c r="H77" s="11" t="s">
        <v>520</v>
      </c>
      <c r="I77" s="11" t="s">
        <v>76</v>
      </c>
      <c r="J77" s="11" t="s">
        <v>151</v>
      </c>
      <c r="K77" s="11" t="s">
        <v>152</v>
      </c>
      <c r="L77" s="11" t="s">
        <v>582</v>
      </c>
      <c r="M77" s="11" t="s">
        <v>577</v>
      </c>
      <c r="N77" s="11" t="s">
        <v>583</v>
      </c>
    </row>
    <row r="78" spans="1:14" ht="78" customHeight="1" x14ac:dyDescent="0.25">
      <c r="A78" s="14" t="s">
        <v>584</v>
      </c>
      <c r="B78" s="14" t="s">
        <v>487</v>
      </c>
      <c r="C78" s="14" t="s">
        <v>585</v>
      </c>
      <c r="D78" s="12" t="s">
        <v>34</v>
      </c>
      <c r="E78" s="15" t="s">
        <v>42</v>
      </c>
      <c r="F78" s="19" t="s">
        <v>586</v>
      </c>
      <c r="G78" s="14" t="s">
        <v>74</v>
      </c>
      <c r="H78" s="14" t="s">
        <v>587</v>
      </c>
      <c r="I78" s="14" t="s">
        <v>76</v>
      </c>
      <c r="J78" s="14" t="s">
        <v>452</v>
      </c>
      <c r="K78" s="14" t="s">
        <v>490</v>
      </c>
      <c r="L78" s="14" t="s">
        <v>588</v>
      </c>
      <c r="M78" s="14" t="s">
        <v>589</v>
      </c>
      <c r="N78" s="14" t="s">
        <v>590</v>
      </c>
    </row>
    <row r="79" spans="1:14" ht="78" customHeight="1" x14ac:dyDescent="0.25">
      <c r="A79" s="11" t="s">
        <v>591</v>
      </c>
      <c r="B79" s="11" t="s">
        <v>487</v>
      </c>
      <c r="C79" s="11" t="s">
        <v>592</v>
      </c>
      <c r="D79" s="12" t="s">
        <v>34</v>
      </c>
      <c r="E79" s="15" t="s">
        <v>42</v>
      </c>
      <c r="F79" s="18" t="s">
        <v>593</v>
      </c>
      <c r="G79" s="11" t="s">
        <v>86</v>
      </c>
      <c r="H79" s="11" t="s">
        <v>587</v>
      </c>
      <c r="I79" s="11" t="s">
        <v>76</v>
      </c>
      <c r="J79" s="11" t="s">
        <v>452</v>
      </c>
      <c r="K79" s="11" t="s">
        <v>490</v>
      </c>
      <c r="L79" s="11" t="s">
        <v>594</v>
      </c>
      <c r="M79" s="11" t="s">
        <v>589</v>
      </c>
      <c r="N79" s="11" t="s">
        <v>595</v>
      </c>
    </row>
    <row r="80" spans="1:14" ht="78" customHeight="1" x14ac:dyDescent="0.25">
      <c r="A80" s="14" t="s">
        <v>596</v>
      </c>
      <c r="B80" s="14" t="s">
        <v>487</v>
      </c>
      <c r="C80" s="14" t="s">
        <v>597</v>
      </c>
      <c r="D80" s="12" t="s">
        <v>34</v>
      </c>
      <c r="E80" s="15" t="s">
        <v>42</v>
      </c>
      <c r="F80" s="19" t="s">
        <v>598</v>
      </c>
      <c r="G80" s="14" t="s">
        <v>86</v>
      </c>
      <c r="H80" s="14" t="s">
        <v>587</v>
      </c>
      <c r="I80" s="14" t="s">
        <v>76</v>
      </c>
      <c r="J80" s="14" t="s">
        <v>452</v>
      </c>
      <c r="K80" s="14" t="s">
        <v>490</v>
      </c>
      <c r="L80" s="14" t="s">
        <v>599</v>
      </c>
      <c r="M80" s="14" t="s">
        <v>589</v>
      </c>
      <c r="N80" s="14" t="s">
        <v>600</v>
      </c>
    </row>
    <row r="81" spans="1:14" ht="78" customHeight="1" x14ac:dyDescent="0.25">
      <c r="A81" s="11" t="s">
        <v>601</v>
      </c>
      <c r="B81" s="11" t="s">
        <v>602</v>
      </c>
      <c r="C81" s="11" t="s">
        <v>603</v>
      </c>
      <c r="D81" s="12" t="s">
        <v>34</v>
      </c>
      <c r="E81" s="15" t="s">
        <v>42</v>
      </c>
      <c r="F81" s="18" t="s">
        <v>604</v>
      </c>
      <c r="G81" s="11" t="s">
        <v>86</v>
      </c>
      <c r="H81" s="11" t="s">
        <v>587</v>
      </c>
      <c r="I81" s="11" t="s">
        <v>76</v>
      </c>
      <c r="J81" s="11" t="s">
        <v>605</v>
      </c>
      <c r="K81" s="11" t="s">
        <v>78</v>
      </c>
      <c r="L81" s="11" t="s">
        <v>606</v>
      </c>
      <c r="M81" s="11" t="s">
        <v>589</v>
      </c>
      <c r="N81" s="11" t="s">
        <v>607</v>
      </c>
    </row>
    <row r="82" spans="1:14" ht="78" customHeight="1" x14ac:dyDescent="0.25">
      <c r="A82" s="14" t="s">
        <v>608</v>
      </c>
      <c r="B82" s="14" t="s">
        <v>487</v>
      </c>
      <c r="C82" s="14" t="s">
        <v>609</v>
      </c>
      <c r="D82" s="12" t="s">
        <v>34</v>
      </c>
      <c r="E82" s="15" t="s">
        <v>42</v>
      </c>
      <c r="F82" s="19" t="s">
        <v>610</v>
      </c>
      <c r="G82" s="14" t="s">
        <v>86</v>
      </c>
      <c r="H82" s="14" t="s">
        <v>587</v>
      </c>
      <c r="I82" s="14" t="s">
        <v>76</v>
      </c>
      <c r="J82" s="14" t="s">
        <v>452</v>
      </c>
      <c r="K82" s="14" t="s">
        <v>490</v>
      </c>
      <c r="L82" s="14" t="s">
        <v>611</v>
      </c>
      <c r="M82" s="14" t="s">
        <v>589</v>
      </c>
      <c r="N82" s="14" t="s">
        <v>612</v>
      </c>
    </row>
    <row r="83" spans="1:14" ht="78" customHeight="1" x14ac:dyDescent="0.25">
      <c r="A83" s="11" t="s">
        <v>613</v>
      </c>
      <c r="B83" s="11" t="s">
        <v>487</v>
      </c>
      <c r="C83" s="11" t="s">
        <v>614</v>
      </c>
      <c r="D83" s="12" t="s">
        <v>34</v>
      </c>
      <c r="E83" s="15" t="s">
        <v>42</v>
      </c>
      <c r="F83" s="18" t="s">
        <v>615</v>
      </c>
      <c r="G83" s="11" t="s">
        <v>86</v>
      </c>
      <c r="H83" s="11" t="s">
        <v>587</v>
      </c>
      <c r="I83" s="11" t="s">
        <v>76</v>
      </c>
      <c r="J83" s="11" t="s">
        <v>452</v>
      </c>
      <c r="K83" s="11" t="s">
        <v>490</v>
      </c>
      <c r="L83" s="11" t="s">
        <v>616</v>
      </c>
      <c r="M83" s="11" t="s">
        <v>589</v>
      </c>
      <c r="N83" s="11" t="s">
        <v>617</v>
      </c>
    </row>
    <row r="84" spans="1:14" ht="78" customHeight="1" x14ac:dyDescent="0.25">
      <c r="A84" s="14" t="s">
        <v>618</v>
      </c>
      <c r="B84" s="14" t="s">
        <v>619</v>
      </c>
      <c r="C84" s="14" t="s">
        <v>620</v>
      </c>
      <c r="D84" s="12" t="s">
        <v>34</v>
      </c>
      <c r="E84" s="15" t="s">
        <v>42</v>
      </c>
      <c r="F84" s="19" t="s">
        <v>621</v>
      </c>
      <c r="G84" s="14" t="s">
        <v>74</v>
      </c>
      <c r="H84" s="14" t="s">
        <v>587</v>
      </c>
      <c r="I84" s="14" t="s">
        <v>76</v>
      </c>
      <c r="J84" s="14" t="s">
        <v>622</v>
      </c>
      <c r="K84" s="14" t="s">
        <v>490</v>
      </c>
      <c r="L84" s="14" t="s">
        <v>623</v>
      </c>
      <c r="M84" s="14" t="s">
        <v>624</v>
      </c>
      <c r="N84" s="14" t="s">
        <v>625</v>
      </c>
    </row>
    <row r="85" spans="1:14" ht="78" customHeight="1" x14ac:dyDescent="0.25">
      <c r="A85" s="11" t="s">
        <v>626</v>
      </c>
      <c r="B85" s="11" t="s">
        <v>627</v>
      </c>
      <c r="C85" s="11" t="s">
        <v>628</v>
      </c>
      <c r="D85" s="12" t="s">
        <v>34</v>
      </c>
      <c r="E85" s="13" t="s">
        <v>40</v>
      </c>
      <c r="F85" s="18" t="s">
        <v>629</v>
      </c>
      <c r="G85" s="11" t="s">
        <v>86</v>
      </c>
      <c r="H85" s="11" t="s">
        <v>587</v>
      </c>
      <c r="I85" s="11" t="s">
        <v>76</v>
      </c>
      <c r="J85" s="11" t="s">
        <v>198</v>
      </c>
      <c r="K85" s="11" t="s">
        <v>191</v>
      </c>
      <c r="L85" s="11" t="s">
        <v>630</v>
      </c>
      <c r="M85" s="11" t="s">
        <v>624</v>
      </c>
      <c r="N85" s="11" t="s">
        <v>631</v>
      </c>
    </row>
    <row r="86" spans="1:14" ht="78" customHeight="1" x14ac:dyDescent="0.25">
      <c r="A86" s="14" t="s">
        <v>632</v>
      </c>
      <c r="B86" s="14" t="s">
        <v>633</v>
      </c>
      <c r="C86" s="14" t="s">
        <v>634</v>
      </c>
      <c r="D86" s="16" t="s">
        <v>36</v>
      </c>
      <c r="E86" s="16" t="s">
        <v>44</v>
      </c>
      <c r="F86" s="19" t="s">
        <v>635</v>
      </c>
      <c r="G86" s="14" t="s">
        <v>86</v>
      </c>
      <c r="H86" s="14" t="s">
        <v>587</v>
      </c>
      <c r="I86" s="14" t="s">
        <v>76</v>
      </c>
      <c r="J86" s="14" t="s">
        <v>438</v>
      </c>
      <c r="K86" s="14" t="s">
        <v>636</v>
      </c>
      <c r="L86" s="14" t="s">
        <v>637</v>
      </c>
      <c r="M86" s="14" t="s">
        <v>638</v>
      </c>
      <c r="N86" s="14" t="s">
        <v>639</v>
      </c>
    </row>
    <row r="87" spans="1:14" ht="78" customHeight="1" x14ac:dyDescent="0.25">
      <c r="A87" s="11" t="s">
        <v>640</v>
      </c>
      <c r="B87" s="11" t="s">
        <v>487</v>
      </c>
      <c r="C87" s="11" t="s">
        <v>641</v>
      </c>
      <c r="D87" s="12" t="s">
        <v>34</v>
      </c>
      <c r="E87" s="15" t="s">
        <v>42</v>
      </c>
      <c r="F87" s="18" t="s">
        <v>642</v>
      </c>
      <c r="G87" s="11" t="s">
        <v>86</v>
      </c>
      <c r="H87" s="11" t="s">
        <v>587</v>
      </c>
      <c r="I87" s="11" t="s">
        <v>76</v>
      </c>
      <c r="J87" s="11" t="s">
        <v>452</v>
      </c>
      <c r="K87" s="11" t="s">
        <v>490</v>
      </c>
      <c r="L87" s="11" t="s">
        <v>643</v>
      </c>
      <c r="M87" s="11" t="s">
        <v>624</v>
      </c>
      <c r="N87" s="11" t="s">
        <v>644</v>
      </c>
    </row>
    <row r="88" spans="1:14" ht="78" customHeight="1" x14ac:dyDescent="0.25">
      <c r="A88" s="14" t="s">
        <v>645</v>
      </c>
      <c r="B88" s="14" t="s">
        <v>108</v>
      </c>
      <c r="C88" s="14" t="s">
        <v>646</v>
      </c>
      <c r="D88" s="12" t="s">
        <v>34</v>
      </c>
      <c r="E88" s="15" t="s">
        <v>42</v>
      </c>
      <c r="F88" s="19" t="s">
        <v>647</v>
      </c>
      <c r="G88" s="14" t="s">
        <v>86</v>
      </c>
      <c r="H88" s="14" t="s">
        <v>587</v>
      </c>
      <c r="I88" s="14" t="s">
        <v>76</v>
      </c>
      <c r="J88" s="14" t="s">
        <v>111</v>
      </c>
      <c r="K88" s="14" t="s">
        <v>490</v>
      </c>
      <c r="L88" s="14" t="s">
        <v>648</v>
      </c>
      <c r="M88" s="14" t="s">
        <v>624</v>
      </c>
      <c r="N88" s="14" t="s">
        <v>649</v>
      </c>
    </row>
    <row r="89" spans="1:14" ht="78" customHeight="1" x14ac:dyDescent="0.25">
      <c r="A89" s="11" t="s">
        <v>650</v>
      </c>
      <c r="B89" s="11" t="s">
        <v>487</v>
      </c>
      <c r="C89" s="11" t="s">
        <v>651</v>
      </c>
      <c r="D89" s="12" t="s">
        <v>34</v>
      </c>
      <c r="E89" s="13" t="s">
        <v>40</v>
      </c>
      <c r="F89" s="18" t="s">
        <v>652</v>
      </c>
      <c r="G89" s="11" t="s">
        <v>74</v>
      </c>
      <c r="H89" s="11" t="s">
        <v>587</v>
      </c>
      <c r="I89" s="11" t="s">
        <v>76</v>
      </c>
      <c r="J89" s="11" t="s">
        <v>452</v>
      </c>
      <c r="K89" s="11" t="s">
        <v>490</v>
      </c>
      <c r="L89" s="11" t="s">
        <v>653</v>
      </c>
      <c r="M89" s="11" t="s">
        <v>654</v>
      </c>
      <c r="N89" s="11" t="s">
        <v>655</v>
      </c>
    </row>
    <row r="90" spans="1:14" ht="78" customHeight="1" x14ac:dyDescent="0.25">
      <c r="A90" s="14" t="s">
        <v>656</v>
      </c>
      <c r="B90" s="14" t="s">
        <v>487</v>
      </c>
      <c r="C90" s="14" t="s">
        <v>657</v>
      </c>
      <c r="D90" s="12" t="s">
        <v>34</v>
      </c>
      <c r="E90" s="13" t="s">
        <v>40</v>
      </c>
      <c r="F90" s="19" t="s">
        <v>658</v>
      </c>
      <c r="G90" s="14" t="s">
        <v>86</v>
      </c>
      <c r="H90" s="14" t="s">
        <v>587</v>
      </c>
      <c r="I90" s="14" t="s">
        <v>76</v>
      </c>
      <c r="J90" s="14" t="s">
        <v>452</v>
      </c>
      <c r="K90" s="14" t="s">
        <v>490</v>
      </c>
      <c r="L90" s="14" t="s">
        <v>659</v>
      </c>
      <c r="M90" s="14" t="s">
        <v>654</v>
      </c>
      <c r="N90" s="14" t="s">
        <v>660</v>
      </c>
    </row>
    <row r="91" spans="1:14" ht="78" customHeight="1" x14ac:dyDescent="0.25">
      <c r="A91" s="11" t="s">
        <v>661</v>
      </c>
      <c r="B91" s="11" t="s">
        <v>662</v>
      </c>
      <c r="C91" s="11" t="s">
        <v>663</v>
      </c>
      <c r="D91" s="12" t="s">
        <v>34</v>
      </c>
      <c r="E91" s="13" t="s">
        <v>40</v>
      </c>
      <c r="F91" s="18" t="s">
        <v>664</v>
      </c>
      <c r="G91" s="11" t="s">
        <v>86</v>
      </c>
      <c r="H91" s="11" t="s">
        <v>587</v>
      </c>
      <c r="I91" s="11" t="s">
        <v>76</v>
      </c>
      <c r="J91" s="11" t="s">
        <v>438</v>
      </c>
      <c r="K91" s="11" t="s">
        <v>533</v>
      </c>
      <c r="L91" s="11" t="s">
        <v>665</v>
      </c>
      <c r="M91" s="11" t="s">
        <v>654</v>
      </c>
      <c r="N91" s="11" t="s">
        <v>666</v>
      </c>
    </row>
    <row r="92" spans="1:14" ht="78" customHeight="1" x14ac:dyDescent="0.25">
      <c r="A92" s="14" t="s">
        <v>667</v>
      </c>
      <c r="B92" s="14" t="s">
        <v>487</v>
      </c>
      <c r="C92" s="14" t="s">
        <v>668</v>
      </c>
      <c r="D92" s="12" t="s">
        <v>34</v>
      </c>
      <c r="E92" s="15" t="s">
        <v>42</v>
      </c>
      <c r="F92" s="19" t="s">
        <v>669</v>
      </c>
      <c r="G92" s="14" t="s">
        <v>86</v>
      </c>
      <c r="H92" s="14" t="s">
        <v>587</v>
      </c>
      <c r="I92" s="14" t="s">
        <v>76</v>
      </c>
      <c r="J92" s="14" t="s">
        <v>452</v>
      </c>
      <c r="K92" s="14" t="s">
        <v>78</v>
      </c>
      <c r="L92" s="14" t="s">
        <v>670</v>
      </c>
      <c r="M92" s="14" t="s">
        <v>654</v>
      </c>
      <c r="N92" s="14" t="s">
        <v>671</v>
      </c>
    </row>
    <row r="93" spans="1:14" ht="78" customHeight="1" x14ac:dyDescent="0.25">
      <c r="A93" s="11" t="s">
        <v>672</v>
      </c>
      <c r="B93" s="11" t="s">
        <v>517</v>
      </c>
      <c r="C93" s="11" t="s">
        <v>673</v>
      </c>
      <c r="D93" s="12" t="s">
        <v>34</v>
      </c>
      <c r="E93" s="15" t="s">
        <v>42</v>
      </c>
      <c r="F93" s="18" t="s">
        <v>674</v>
      </c>
      <c r="G93" s="11" t="s">
        <v>86</v>
      </c>
      <c r="H93" s="11" t="s">
        <v>587</v>
      </c>
      <c r="I93" s="11" t="s">
        <v>76</v>
      </c>
      <c r="J93" s="11" t="s">
        <v>126</v>
      </c>
      <c r="K93" s="11" t="s">
        <v>490</v>
      </c>
      <c r="L93" s="11" t="s">
        <v>675</v>
      </c>
      <c r="M93" s="11" t="s">
        <v>654</v>
      </c>
      <c r="N93" s="11" t="s">
        <v>676</v>
      </c>
    </row>
    <row r="94" spans="1:14" ht="78" customHeight="1" x14ac:dyDescent="0.25">
      <c r="A94" s="14" t="s">
        <v>677</v>
      </c>
      <c r="B94" s="14" t="s">
        <v>517</v>
      </c>
      <c r="C94" s="14" t="s">
        <v>678</v>
      </c>
      <c r="D94" s="12" t="s">
        <v>34</v>
      </c>
      <c r="E94" s="13" t="s">
        <v>40</v>
      </c>
      <c r="F94" s="19" t="s">
        <v>679</v>
      </c>
      <c r="G94" s="14" t="s">
        <v>86</v>
      </c>
      <c r="H94" s="14" t="s">
        <v>587</v>
      </c>
      <c r="I94" s="14" t="s">
        <v>76</v>
      </c>
      <c r="J94" s="14" t="s">
        <v>126</v>
      </c>
      <c r="K94" s="14" t="s">
        <v>127</v>
      </c>
      <c r="L94" s="14" t="s">
        <v>680</v>
      </c>
      <c r="M94" s="14" t="s">
        <v>681</v>
      </c>
      <c r="N94" s="14" t="s">
        <v>682</v>
      </c>
    </row>
    <row r="95" spans="1:14" ht="78" customHeight="1" x14ac:dyDescent="0.25">
      <c r="A95" s="11" t="s">
        <v>683</v>
      </c>
      <c r="B95" s="11" t="s">
        <v>684</v>
      </c>
      <c r="C95" s="11" t="s">
        <v>685</v>
      </c>
      <c r="D95" s="12" t="s">
        <v>34</v>
      </c>
      <c r="E95" s="15" t="s">
        <v>42</v>
      </c>
      <c r="F95" s="18" t="s">
        <v>686</v>
      </c>
      <c r="G95" s="11" t="s">
        <v>86</v>
      </c>
      <c r="H95" s="11" t="s">
        <v>587</v>
      </c>
      <c r="I95" s="11" t="s">
        <v>76</v>
      </c>
      <c r="J95" s="11" t="s">
        <v>363</v>
      </c>
      <c r="K95" s="11" t="s">
        <v>364</v>
      </c>
      <c r="L95" s="11" t="s">
        <v>687</v>
      </c>
      <c r="M95" s="11" t="s">
        <v>681</v>
      </c>
      <c r="N95" s="11" t="s">
        <v>688</v>
      </c>
    </row>
    <row r="96" spans="1:14" ht="78" customHeight="1" x14ac:dyDescent="0.25">
      <c r="A96" s="14" t="s">
        <v>689</v>
      </c>
      <c r="B96" s="14" t="s">
        <v>108</v>
      </c>
      <c r="C96" s="14" t="s">
        <v>690</v>
      </c>
      <c r="D96" s="12" t="s">
        <v>34</v>
      </c>
      <c r="E96" s="15" t="s">
        <v>42</v>
      </c>
      <c r="F96" s="19" t="s">
        <v>691</v>
      </c>
      <c r="G96" s="14" t="s">
        <v>74</v>
      </c>
      <c r="H96" s="14" t="s">
        <v>692</v>
      </c>
      <c r="I96" s="14" t="s">
        <v>76</v>
      </c>
      <c r="J96" s="14" t="s">
        <v>111</v>
      </c>
      <c r="K96" s="14" t="s">
        <v>112</v>
      </c>
      <c r="L96" s="14" t="s">
        <v>693</v>
      </c>
      <c r="M96" s="14" t="s">
        <v>694</v>
      </c>
      <c r="N96" s="14" t="s">
        <v>695</v>
      </c>
    </row>
    <row r="97" spans="1:14" ht="78" customHeight="1" x14ac:dyDescent="0.25">
      <c r="A97" s="11" t="s">
        <v>696</v>
      </c>
      <c r="B97" s="11" t="s">
        <v>697</v>
      </c>
      <c r="C97" s="11" t="s">
        <v>698</v>
      </c>
      <c r="D97" s="12" t="s">
        <v>34</v>
      </c>
      <c r="E97" s="15" t="s">
        <v>42</v>
      </c>
      <c r="F97" s="18" t="s">
        <v>699</v>
      </c>
      <c r="G97" s="11" t="s">
        <v>86</v>
      </c>
      <c r="H97" s="11" t="s">
        <v>692</v>
      </c>
      <c r="I97" s="11" t="s">
        <v>76</v>
      </c>
      <c r="J97" s="11" t="s">
        <v>700</v>
      </c>
      <c r="K97" s="11" t="s">
        <v>78</v>
      </c>
      <c r="L97" s="11" t="s">
        <v>701</v>
      </c>
      <c r="M97" s="11" t="s">
        <v>694</v>
      </c>
      <c r="N97" s="11" t="s">
        <v>702</v>
      </c>
    </row>
    <row r="98" spans="1:14" ht="78" customHeight="1" x14ac:dyDescent="0.25">
      <c r="A98" s="14" t="s">
        <v>703</v>
      </c>
      <c r="B98" s="14" t="s">
        <v>108</v>
      </c>
      <c r="C98" s="14" t="s">
        <v>704</v>
      </c>
      <c r="D98" s="12" t="s">
        <v>34</v>
      </c>
      <c r="E98" s="15" t="s">
        <v>42</v>
      </c>
      <c r="F98" s="19" t="s">
        <v>705</v>
      </c>
      <c r="G98" s="14" t="s">
        <v>86</v>
      </c>
      <c r="H98" s="14" t="s">
        <v>692</v>
      </c>
      <c r="I98" s="14" t="s">
        <v>76</v>
      </c>
      <c r="J98" s="14" t="s">
        <v>111</v>
      </c>
      <c r="K98" s="14" t="s">
        <v>112</v>
      </c>
      <c r="L98" s="14" t="s">
        <v>706</v>
      </c>
      <c r="M98" s="14" t="s">
        <v>694</v>
      </c>
      <c r="N98" s="14" t="s">
        <v>707</v>
      </c>
    </row>
    <row r="99" spans="1:14" ht="78" customHeight="1" x14ac:dyDescent="0.25">
      <c r="A99" s="11" t="s">
        <v>708</v>
      </c>
      <c r="B99" s="11" t="s">
        <v>709</v>
      </c>
      <c r="C99" s="11" t="s">
        <v>710</v>
      </c>
      <c r="D99" s="12" t="s">
        <v>34</v>
      </c>
      <c r="E99" s="15" t="s">
        <v>42</v>
      </c>
      <c r="F99" s="18" t="s">
        <v>711</v>
      </c>
      <c r="G99" s="11" t="s">
        <v>74</v>
      </c>
      <c r="H99" s="11" t="s">
        <v>692</v>
      </c>
      <c r="I99" s="11" t="s">
        <v>76</v>
      </c>
      <c r="J99" s="11" t="s">
        <v>712</v>
      </c>
      <c r="K99" s="11" t="s">
        <v>112</v>
      </c>
      <c r="L99" s="11" t="s">
        <v>713</v>
      </c>
      <c r="M99" s="11" t="s">
        <v>714</v>
      </c>
      <c r="N99" s="11" t="s">
        <v>715</v>
      </c>
    </row>
    <row r="100" spans="1:14" ht="78" customHeight="1" x14ac:dyDescent="0.25">
      <c r="A100" s="14" t="s">
        <v>716</v>
      </c>
      <c r="B100" s="14" t="s">
        <v>517</v>
      </c>
      <c r="C100" s="14" t="s">
        <v>717</v>
      </c>
      <c r="D100" s="12" t="s">
        <v>34</v>
      </c>
      <c r="E100" s="15" t="s">
        <v>42</v>
      </c>
      <c r="F100" s="19" t="s">
        <v>718</v>
      </c>
      <c r="G100" s="14" t="s">
        <v>86</v>
      </c>
      <c r="H100" s="14" t="s">
        <v>692</v>
      </c>
      <c r="I100" s="14" t="s">
        <v>76</v>
      </c>
      <c r="J100" s="14" t="s">
        <v>126</v>
      </c>
      <c r="K100" s="14" t="s">
        <v>112</v>
      </c>
      <c r="L100" s="14" t="s">
        <v>719</v>
      </c>
      <c r="M100" s="14" t="s">
        <v>714</v>
      </c>
      <c r="N100" s="14" t="s">
        <v>720</v>
      </c>
    </row>
    <row r="101" spans="1:14" ht="78" customHeight="1" x14ac:dyDescent="0.25">
      <c r="A101" s="11" t="s">
        <v>721</v>
      </c>
      <c r="B101" s="11" t="s">
        <v>108</v>
      </c>
      <c r="C101" s="11" t="s">
        <v>722</v>
      </c>
      <c r="D101" s="12" t="s">
        <v>34</v>
      </c>
      <c r="E101" s="15" t="s">
        <v>42</v>
      </c>
      <c r="F101" s="18" t="s">
        <v>723</v>
      </c>
      <c r="G101" s="11" t="s">
        <v>86</v>
      </c>
      <c r="H101" s="11" t="s">
        <v>692</v>
      </c>
      <c r="I101" s="11" t="s">
        <v>76</v>
      </c>
      <c r="J101" s="11" t="s">
        <v>111</v>
      </c>
      <c r="K101" s="11" t="s">
        <v>112</v>
      </c>
      <c r="L101" s="11" t="s">
        <v>724</v>
      </c>
      <c r="M101" s="11" t="s">
        <v>714</v>
      </c>
      <c r="N101" s="11" t="s">
        <v>725</v>
      </c>
    </row>
    <row r="102" spans="1:14" ht="78" customHeight="1" x14ac:dyDescent="0.25">
      <c r="A102" s="14" t="s">
        <v>726</v>
      </c>
      <c r="B102" s="14" t="s">
        <v>108</v>
      </c>
      <c r="C102" s="14" t="s">
        <v>727</v>
      </c>
      <c r="D102" s="12" t="s">
        <v>34</v>
      </c>
      <c r="E102" s="13" t="s">
        <v>40</v>
      </c>
      <c r="F102" s="19" t="s">
        <v>728</v>
      </c>
      <c r="G102" s="14" t="s">
        <v>74</v>
      </c>
      <c r="H102" s="14" t="s">
        <v>692</v>
      </c>
      <c r="I102" s="14" t="s">
        <v>76</v>
      </c>
      <c r="J102" s="14" t="s">
        <v>111</v>
      </c>
      <c r="K102" s="14" t="s">
        <v>78</v>
      </c>
      <c r="L102" s="14" t="s">
        <v>729</v>
      </c>
      <c r="M102" s="14" t="s">
        <v>730</v>
      </c>
      <c r="N102" s="14" t="s">
        <v>731</v>
      </c>
    </row>
    <row r="103" spans="1:14" ht="78" customHeight="1" x14ac:dyDescent="0.25">
      <c r="A103" s="11" t="s">
        <v>732</v>
      </c>
      <c r="B103" s="11" t="s">
        <v>697</v>
      </c>
      <c r="C103" s="11" t="s">
        <v>733</v>
      </c>
      <c r="D103" s="12" t="s">
        <v>34</v>
      </c>
      <c r="E103" s="13" t="s">
        <v>40</v>
      </c>
      <c r="F103" s="18" t="s">
        <v>734</v>
      </c>
      <c r="G103" s="11" t="s">
        <v>86</v>
      </c>
      <c r="H103" s="11" t="s">
        <v>692</v>
      </c>
      <c r="I103" s="11" t="s">
        <v>76</v>
      </c>
      <c r="J103" s="11" t="s">
        <v>700</v>
      </c>
      <c r="K103" s="11" t="s">
        <v>78</v>
      </c>
      <c r="L103" s="11" t="s">
        <v>735</v>
      </c>
      <c r="M103" s="11" t="s">
        <v>730</v>
      </c>
      <c r="N103" s="11" t="s">
        <v>736</v>
      </c>
    </row>
    <row r="104" spans="1:14" ht="78" customHeight="1" x14ac:dyDescent="0.25">
      <c r="A104" s="14" t="s">
        <v>737</v>
      </c>
      <c r="B104" s="14" t="s">
        <v>157</v>
      </c>
      <c r="C104" s="14" t="s">
        <v>738</v>
      </c>
      <c r="D104" s="12" t="s">
        <v>34</v>
      </c>
      <c r="E104" s="13" t="s">
        <v>40</v>
      </c>
      <c r="F104" s="19" t="s">
        <v>739</v>
      </c>
      <c r="G104" s="14" t="s">
        <v>86</v>
      </c>
      <c r="H104" s="14" t="s">
        <v>692</v>
      </c>
      <c r="I104" s="14" t="s">
        <v>76</v>
      </c>
      <c r="J104" s="14" t="s">
        <v>77</v>
      </c>
      <c r="K104" s="14" t="s">
        <v>78</v>
      </c>
      <c r="L104" s="14" t="s">
        <v>740</v>
      </c>
      <c r="M104" s="14" t="s">
        <v>730</v>
      </c>
      <c r="N104" s="14" t="s">
        <v>741</v>
      </c>
    </row>
    <row r="105" spans="1:14" ht="78" customHeight="1" x14ac:dyDescent="0.25">
      <c r="A105" s="11" t="s">
        <v>742</v>
      </c>
      <c r="B105" s="11" t="s">
        <v>108</v>
      </c>
      <c r="C105" s="11" t="s">
        <v>743</v>
      </c>
      <c r="D105" s="12" t="s">
        <v>34</v>
      </c>
      <c r="E105" s="15" t="s">
        <v>42</v>
      </c>
      <c r="F105" s="18" t="s">
        <v>744</v>
      </c>
      <c r="G105" s="11" t="s">
        <v>74</v>
      </c>
      <c r="H105" s="11" t="s">
        <v>692</v>
      </c>
      <c r="I105" s="11" t="s">
        <v>76</v>
      </c>
      <c r="J105" s="11" t="s">
        <v>111</v>
      </c>
      <c r="K105" s="11" t="s">
        <v>112</v>
      </c>
      <c r="L105" s="11" t="s">
        <v>745</v>
      </c>
      <c r="M105" s="11" t="s">
        <v>746</v>
      </c>
      <c r="N105" s="11" t="s">
        <v>747</v>
      </c>
    </row>
    <row r="106" spans="1:14" ht="78" customHeight="1" x14ac:dyDescent="0.25">
      <c r="A106" s="14" t="s">
        <v>748</v>
      </c>
      <c r="B106" s="14" t="s">
        <v>749</v>
      </c>
      <c r="C106" s="14" t="s">
        <v>750</v>
      </c>
      <c r="D106" s="12" t="s">
        <v>34</v>
      </c>
      <c r="E106" s="15" t="s">
        <v>42</v>
      </c>
      <c r="F106" s="19" t="s">
        <v>751</v>
      </c>
      <c r="G106" s="14" t="s">
        <v>86</v>
      </c>
      <c r="H106" s="14" t="s">
        <v>692</v>
      </c>
      <c r="I106" s="14" t="s">
        <v>76</v>
      </c>
      <c r="J106" s="14" t="s">
        <v>752</v>
      </c>
      <c r="K106" s="14" t="s">
        <v>167</v>
      </c>
      <c r="L106" s="14" t="s">
        <v>753</v>
      </c>
      <c r="M106" s="14" t="s">
        <v>746</v>
      </c>
      <c r="N106" s="14" t="s">
        <v>754</v>
      </c>
    </row>
    <row r="107" spans="1:14" ht="78" customHeight="1" x14ac:dyDescent="0.25">
      <c r="A107" s="11" t="s">
        <v>755</v>
      </c>
      <c r="B107" s="11" t="s">
        <v>163</v>
      </c>
      <c r="C107" s="11" t="s">
        <v>756</v>
      </c>
      <c r="D107" s="12" t="s">
        <v>34</v>
      </c>
      <c r="E107" s="15" t="s">
        <v>42</v>
      </c>
      <c r="F107" s="18" t="s">
        <v>757</v>
      </c>
      <c r="G107" s="11" t="s">
        <v>86</v>
      </c>
      <c r="H107" s="11" t="s">
        <v>692</v>
      </c>
      <c r="I107" s="11" t="s">
        <v>76</v>
      </c>
      <c r="J107" s="11" t="s">
        <v>166</v>
      </c>
      <c r="K107" s="11" t="s">
        <v>78</v>
      </c>
      <c r="L107" s="11" t="s">
        <v>758</v>
      </c>
      <c r="M107" s="11" t="s">
        <v>746</v>
      </c>
      <c r="N107" s="11" t="s">
        <v>759</v>
      </c>
    </row>
    <row r="108" spans="1:14" ht="78" customHeight="1" x14ac:dyDescent="0.25">
      <c r="A108" s="14" t="s">
        <v>760</v>
      </c>
      <c r="B108" s="14" t="s">
        <v>761</v>
      </c>
      <c r="C108" s="14" t="s">
        <v>762</v>
      </c>
      <c r="D108" s="12" t="s">
        <v>34</v>
      </c>
      <c r="E108" s="13" t="s">
        <v>40</v>
      </c>
      <c r="F108" s="19" t="s">
        <v>763</v>
      </c>
      <c r="G108" s="14" t="s">
        <v>74</v>
      </c>
      <c r="H108" s="14" t="s">
        <v>764</v>
      </c>
      <c r="I108" s="14" t="s">
        <v>76</v>
      </c>
      <c r="J108" s="14" t="s">
        <v>765</v>
      </c>
      <c r="K108" s="14" t="s">
        <v>766</v>
      </c>
      <c r="L108" s="14" t="s">
        <v>767</v>
      </c>
      <c r="M108" s="14" t="s">
        <v>768</v>
      </c>
      <c r="N108" s="14" t="s">
        <v>769</v>
      </c>
    </row>
    <row r="109" spans="1:14" ht="78" customHeight="1" x14ac:dyDescent="0.25">
      <c r="A109" s="11" t="s">
        <v>770</v>
      </c>
      <c r="B109" s="11" t="s">
        <v>761</v>
      </c>
      <c r="C109" s="11" t="s">
        <v>771</v>
      </c>
      <c r="D109" s="12" t="s">
        <v>34</v>
      </c>
      <c r="E109" s="13" t="s">
        <v>40</v>
      </c>
      <c r="F109" s="18" t="s">
        <v>772</v>
      </c>
      <c r="G109" s="11" t="s">
        <v>86</v>
      </c>
      <c r="H109" s="11" t="s">
        <v>764</v>
      </c>
      <c r="I109" s="11" t="s">
        <v>76</v>
      </c>
      <c r="J109" s="11" t="s">
        <v>765</v>
      </c>
      <c r="K109" s="11" t="s">
        <v>766</v>
      </c>
      <c r="L109" s="11" t="s">
        <v>773</v>
      </c>
      <c r="M109" s="11" t="s">
        <v>768</v>
      </c>
      <c r="N109" s="11" t="s">
        <v>774</v>
      </c>
    </row>
    <row r="110" spans="1:14" ht="78" customHeight="1" x14ac:dyDescent="0.25">
      <c r="A110" s="14" t="s">
        <v>775</v>
      </c>
      <c r="B110" s="14" t="s">
        <v>776</v>
      </c>
      <c r="C110" s="14" t="s">
        <v>777</v>
      </c>
      <c r="D110" s="12" t="s">
        <v>34</v>
      </c>
      <c r="E110" s="15" t="s">
        <v>42</v>
      </c>
      <c r="F110" s="19" t="s">
        <v>778</v>
      </c>
      <c r="G110" s="14" t="s">
        <v>86</v>
      </c>
      <c r="H110" s="14" t="s">
        <v>764</v>
      </c>
      <c r="I110" s="14" t="s">
        <v>76</v>
      </c>
      <c r="J110" s="14" t="s">
        <v>87</v>
      </c>
      <c r="K110" s="14" t="s">
        <v>88</v>
      </c>
      <c r="L110" s="14" t="s">
        <v>779</v>
      </c>
      <c r="M110" s="14" t="s">
        <v>768</v>
      </c>
      <c r="N110" s="14" t="s">
        <v>780</v>
      </c>
    </row>
    <row r="111" spans="1:14" ht="78" customHeight="1" x14ac:dyDescent="0.25">
      <c r="A111" s="11" t="s">
        <v>781</v>
      </c>
      <c r="B111" s="11" t="s">
        <v>782</v>
      </c>
      <c r="C111" s="11" t="s">
        <v>783</v>
      </c>
      <c r="D111" s="12" t="s">
        <v>34</v>
      </c>
      <c r="E111" s="13" t="s">
        <v>40</v>
      </c>
      <c r="F111" s="18" t="s">
        <v>784</v>
      </c>
      <c r="G111" s="11" t="s">
        <v>74</v>
      </c>
      <c r="H111" s="11" t="s">
        <v>764</v>
      </c>
      <c r="I111" s="11" t="s">
        <v>76</v>
      </c>
      <c r="J111" s="11" t="s">
        <v>785</v>
      </c>
      <c r="K111" s="11" t="s">
        <v>167</v>
      </c>
      <c r="L111" s="11" t="s">
        <v>786</v>
      </c>
      <c r="M111" s="11" t="s">
        <v>787</v>
      </c>
      <c r="N111" s="11" t="s">
        <v>788</v>
      </c>
    </row>
    <row r="112" spans="1:14" ht="78" customHeight="1" x14ac:dyDescent="0.25">
      <c r="A112" s="14" t="s">
        <v>789</v>
      </c>
      <c r="B112" s="14" t="s">
        <v>790</v>
      </c>
      <c r="C112" s="14" t="s">
        <v>791</v>
      </c>
      <c r="D112" s="12" t="s">
        <v>34</v>
      </c>
      <c r="E112" s="13" t="s">
        <v>40</v>
      </c>
      <c r="F112" s="19" t="s">
        <v>792</v>
      </c>
      <c r="G112" s="14" t="s">
        <v>86</v>
      </c>
      <c r="H112" s="14" t="s">
        <v>764</v>
      </c>
      <c r="I112" s="14" t="s">
        <v>76</v>
      </c>
      <c r="J112" s="14" t="s">
        <v>793</v>
      </c>
      <c r="K112" s="14" t="s">
        <v>794</v>
      </c>
      <c r="L112" s="14" t="s">
        <v>795</v>
      </c>
      <c r="M112" s="14" t="s">
        <v>787</v>
      </c>
      <c r="N112" s="14" t="s">
        <v>796</v>
      </c>
    </row>
    <row r="113" spans="1:14" ht="78" customHeight="1" x14ac:dyDescent="0.25">
      <c r="A113" s="11" t="s">
        <v>797</v>
      </c>
      <c r="B113" s="11" t="s">
        <v>798</v>
      </c>
      <c r="C113" s="11" t="s">
        <v>799</v>
      </c>
      <c r="D113" s="12" t="s">
        <v>34</v>
      </c>
      <c r="E113" s="13" t="s">
        <v>40</v>
      </c>
      <c r="F113" s="18" t="s">
        <v>800</v>
      </c>
      <c r="G113" s="11" t="s">
        <v>86</v>
      </c>
      <c r="H113" s="11" t="s">
        <v>764</v>
      </c>
      <c r="I113" s="11" t="s">
        <v>76</v>
      </c>
      <c r="J113" s="11" t="s">
        <v>801</v>
      </c>
      <c r="K113" s="11" t="s">
        <v>167</v>
      </c>
      <c r="L113" s="11" t="s">
        <v>802</v>
      </c>
      <c r="M113" s="11" t="s">
        <v>787</v>
      </c>
      <c r="N113" s="11" t="s">
        <v>803</v>
      </c>
    </row>
    <row r="114" spans="1:14" ht="78" customHeight="1" x14ac:dyDescent="0.25">
      <c r="A114" s="14" t="s">
        <v>804</v>
      </c>
      <c r="B114" s="14" t="s">
        <v>805</v>
      </c>
      <c r="C114" s="14" t="s">
        <v>806</v>
      </c>
      <c r="D114" s="12" t="s">
        <v>34</v>
      </c>
      <c r="E114" s="13" t="s">
        <v>40</v>
      </c>
      <c r="F114" s="19" t="s">
        <v>807</v>
      </c>
      <c r="G114" s="14" t="s">
        <v>74</v>
      </c>
      <c r="H114" s="14" t="s">
        <v>764</v>
      </c>
      <c r="I114" s="14" t="s">
        <v>76</v>
      </c>
      <c r="J114" s="14" t="s">
        <v>808</v>
      </c>
      <c r="K114" s="14" t="s">
        <v>809</v>
      </c>
      <c r="L114" s="14" t="s">
        <v>810</v>
      </c>
      <c r="M114" s="14" t="s">
        <v>811</v>
      </c>
      <c r="N114" s="14" t="s">
        <v>812</v>
      </c>
    </row>
    <row r="115" spans="1:14" ht="78" customHeight="1" x14ac:dyDescent="0.25">
      <c r="A115" s="11" t="s">
        <v>813</v>
      </c>
      <c r="B115" s="11" t="s">
        <v>413</v>
      </c>
      <c r="C115" s="11" t="s">
        <v>814</v>
      </c>
      <c r="D115" s="12" t="s">
        <v>34</v>
      </c>
      <c r="E115" s="13" t="s">
        <v>40</v>
      </c>
      <c r="F115" s="18" t="s">
        <v>815</v>
      </c>
      <c r="G115" s="11" t="s">
        <v>86</v>
      </c>
      <c r="H115" s="11" t="s">
        <v>764</v>
      </c>
      <c r="I115" s="11" t="s">
        <v>76</v>
      </c>
      <c r="J115" s="11" t="s">
        <v>416</v>
      </c>
      <c r="K115" s="11" t="s">
        <v>816</v>
      </c>
      <c r="L115" s="11" t="s">
        <v>817</v>
      </c>
      <c r="M115" s="11" t="s">
        <v>811</v>
      </c>
      <c r="N115" s="11" t="s">
        <v>818</v>
      </c>
    </row>
    <row r="116" spans="1:14" ht="78" customHeight="1" x14ac:dyDescent="0.25">
      <c r="A116" s="14" t="s">
        <v>819</v>
      </c>
      <c r="B116" s="14" t="s">
        <v>820</v>
      </c>
      <c r="C116" s="14" t="s">
        <v>821</v>
      </c>
      <c r="D116" s="12" t="s">
        <v>34</v>
      </c>
      <c r="E116" s="13" t="s">
        <v>40</v>
      </c>
      <c r="F116" s="19" t="s">
        <v>822</v>
      </c>
      <c r="G116" s="14" t="s">
        <v>86</v>
      </c>
      <c r="H116" s="14" t="s">
        <v>764</v>
      </c>
      <c r="I116" s="14" t="s">
        <v>76</v>
      </c>
      <c r="J116" s="14" t="s">
        <v>823</v>
      </c>
      <c r="K116" s="14" t="s">
        <v>88</v>
      </c>
      <c r="L116" s="14" t="s">
        <v>824</v>
      </c>
      <c r="M116" s="14" t="s">
        <v>811</v>
      </c>
      <c r="N116" s="14" t="s">
        <v>825</v>
      </c>
    </row>
    <row r="117" spans="1:14" ht="78" customHeight="1" x14ac:dyDescent="0.25">
      <c r="A117" s="11" t="s">
        <v>826</v>
      </c>
      <c r="B117" s="11" t="s">
        <v>827</v>
      </c>
      <c r="C117" s="11" t="s">
        <v>828</v>
      </c>
      <c r="D117" s="12" t="s">
        <v>34</v>
      </c>
      <c r="E117" s="13" t="s">
        <v>40</v>
      </c>
      <c r="F117" s="18" t="s">
        <v>829</v>
      </c>
      <c r="G117" s="11" t="s">
        <v>74</v>
      </c>
      <c r="H117" s="11" t="s">
        <v>764</v>
      </c>
      <c r="I117" s="11" t="s">
        <v>76</v>
      </c>
      <c r="J117" s="11" t="s">
        <v>830</v>
      </c>
      <c r="K117" s="11" t="s">
        <v>236</v>
      </c>
      <c r="L117" s="11" t="s">
        <v>831</v>
      </c>
      <c r="M117" s="11" t="s">
        <v>832</v>
      </c>
      <c r="N117" s="11" t="s">
        <v>833</v>
      </c>
    </row>
    <row r="118" spans="1:14" ht="78" customHeight="1" x14ac:dyDescent="0.25">
      <c r="A118" s="14" t="s">
        <v>834</v>
      </c>
      <c r="B118" s="14" t="s">
        <v>835</v>
      </c>
      <c r="C118" s="14" t="s">
        <v>836</v>
      </c>
      <c r="D118" s="12" t="s">
        <v>34</v>
      </c>
      <c r="E118" s="13" t="s">
        <v>40</v>
      </c>
      <c r="F118" s="19" t="s">
        <v>837</v>
      </c>
      <c r="G118" s="14" t="s">
        <v>86</v>
      </c>
      <c r="H118" s="14" t="s">
        <v>764</v>
      </c>
      <c r="I118" s="14" t="s">
        <v>76</v>
      </c>
      <c r="J118" s="14" t="s">
        <v>838</v>
      </c>
      <c r="K118" s="14" t="s">
        <v>364</v>
      </c>
      <c r="L118" s="14" t="s">
        <v>839</v>
      </c>
      <c r="M118" s="14" t="s">
        <v>832</v>
      </c>
      <c r="N118" s="14" t="s">
        <v>840</v>
      </c>
    </row>
    <row r="119" spans="1:14" ht="78" customHeight="1" x14ac:dyDescent="0.25">
      <c r="A119" s="11" t="s">
        <v>841</v>
      </c>
      <c r="B119" s="11" t="s">
        <v>842</v>
      </c>
      <c r="C119" s="11" t="s">
        <v>843</v>
      </c>
      <c r="D119" s="12" t="s">
        <v>34</v>
      </c>
      <c r="E119" s="13" t="s">
        <v>40</v>
      </c>
      <c r="F119" s="18" t="s">
        <v>844</v>
      </c>
      <c r="G119" s="11" t="s">
        <v>86</v>
      </c>
      <c r="H119" s="11" t="s">
        <v>764</v>
      </c>
      <c r="I119" s="11" t="s">
        <v>76</v>
      </c>
      <c r="J119" s="11" t="s">
        <v>845</v>
      </c>
      <c r="K119" s="11" t="s">
        <v>816</v>
      </c>
      <c r="L119" s="11" t="s">
        <v>846</v>
      </c>
      <c r="M119" s="11" t="s">
        <v>832</v>
      </c>
      <c r="N119" s="11" t="s">
        <v>847</v>
      </c>
    </row>
    <row r="120" spans="1:14" ht="78" customHeight="1" x14ac:dyDescent="0.25">
      <c r="A120" s="14" t="s">
        <v>848</v>
      </c>
      <c r="B120" s="14" t="s">
        <v>849</v>
      </c>
      <c r="C120" s="14" t="s">
        <v>850</v>
      </c>
      <c r="D120" s="12" t="s">
        <v>34</v>
      </c>
      <c r="E120" s="13" t="s">
        <v>40</v>
      </c>
      <c r="F120" s="19" t="s">
        <v>851</v>
      </c>
      <c r="G120" s="14" t="s">
        <v>74</v>
      </c>
      <c r="H120" s="14" t="s">
        <v>764</v>
      </c>
      <c r="I120" s="14" t="s">
        <v>76</v>
      </c>
      <c r="J120" s="14" t="s">
        <v>87</v>
      </c>
      <c r="K120" s="14" t="s">
        <v>88</v>
      </c>
      <c r="L120" s="14" t="s">
        <v>852</v>
      </c>
      <c r="M120" s="14" t="s">
        <v>853</v>
      </c>
      <c r="N120" s="14" t="s">
        <v>854</v>
      </c>
    </row>
    <row r="121" spans="1:14" ht="78" customHeight="1" x14ac:dyDescent="0.25">
      <c r="A121" s="11" t="s">
        <v>855</v>
      </c>
      <c r="B121" s="11" t="s">
        <v>856</v>
      </c>
      <c r="C121" s="11" t="s">
        <v>857</v>
      </c>
      <c r="D121" s="12" t="s">
        <v>34</v>
      </c>
      <c r="E121" s="13" t="s">
        <v>40</v>
      </c>
      <c r="F121" s="18" t="s">
        <v>858</v>
      </c>
      <c r="G121" s="11" t="s">
        <v>86</v>
      </c>
      <c r="H121" s="11" t="s">
        <v>764</v>
      </c>
      <c r="I121" s="11" t="s">
        <v>76</v>
      </c>
      <c r="J121" s="11" t="s">
        <v>859</v>
      </c>
      <c r="K121" s="11" t="s">
        <v>88</v>
      </c>
      <c r="L121" s="11" t="s">
        <v>860</v>
      </c>
      <c r="M121" s="11" t="s">
        <v>853</v>
      </c>
      <c r="N121" s="11" t="s">
        <v>861</v>
      </c>
    </row>
    <row r="122" spans="1:14" ht="78" customHeight="1" x14ac:dyDescent="0.25">
      <c r="A122" s="14" t="s">
        <v>862</v>
      </c>
      <c r="B122" s="14" t="s">
        <v>863</v>
      </c>
      <c r="C122" s="14" t="s">
        <v>864</v>
      </c>
      <c r="D122" s="12" t="s">
        <v>34</v>
      </c>
      <c r="E122" s="13" t="s">
        <v>40</v>
      </c>
      <c r="F122" s="19" t="s">
        <v>865</v>
      </c>
      <c r="G122" s="14" t="s">
        <v>86</v>
      </c>
      <c r="H122" s="14" t="s">
        <v>764</v>
      </c>
      <c r="I122" s="14" t="s">
        <v>76</v>
      </c>
      <c r="J122" s="14" t="s">
        <v>866</v>
      </c>
      <c r="K122" s="14" t="s">
        <v>88</v>
      </c>
      <c r="L122" s="14" t="s">
        <v>867</v>
      </c>
      <c r="M122" s="14" t="s">
        <v>853</v>
      </c>
      <c r="N122" s="14" t="s">
        <v>868</v>
      </c>
    </row>
    <row r="123" spans="1:14" ht="78" customHeight="1" x14ac:dyDescent="0.25">
      <c r="A123" s="11" t="s">
        <v>869</v>
      </c>
      <c r="B123" s="11" t="s">
        <v>870</v>
      </c>
      <c r="C123" s="11" t="s">
        <v>871</v>
      </c>
      <c r="D123" s="12" t="s">
        <v>34</v>
      </c>
      <c r="E123" s="15" t="s">
        <v>42</v>
      </c>
      <c r="F123" s="18" t="s">
        <v>872</v>
      </c>
      <c r="G123" s="11" t="s">
        <v>74</v>
      </c>
      <c r="H123" s="11" t="s">
        <v>764</v>
      </c>
      <c r="I123" s="11" t="s">
        <v>76</v>
      </c>
      <c r="J123" s="11" t="s">
        <v>873</v>
      </c>
      <c r="K123" s="11" t="s">
        <v>96</v>
      </c>
      <c r="L123" s="11" t="s">
        <v>874</v>
      </c>
      <c r="M123" s="11" t="s">
        <v>875</v>
      </c>
      <c r="N123" s="11" t="s">
        <v>876</v>
      </c>
    </row>
    <row r="124" spans="1:14" ht="78" customHeight="1" x14ac:dyDescent="0.25">
      <c r="A124" s="14" t="s">
        <v>877</v>
      </c>
      <c r="B124" s="14" t="s">
        <v>878</v>
      </c>
      <c r="C124" s="14" t="s">
        <v>879</v>
      </c>
      <c r="D124" s="16" t="s">
        <v>36</v>
      </c>
      <c r="E124" s="16" t="s">
        <v>44</v>
      </c>
      <c r="F124" s="19" t="s">
        <v>880</v>
      </c>
      <c r="G124" s="14" t="s">
        <v>86</v>
      </c>
      <c r="H124" s="14" t="s">
        <v>764</v>
      </c>
      <c r="I124" s="14" t="s">
        <v>76</v>
      </c>
      <c r="J124" s="14" t="s">
        <v>881</v>
      </c>
      <c r="K124" s="14" t="s">
        <v>245</v>
      </c>
      <c r="L124" s="14" t="s">
        <v>882</v>
      </c>
      <c r="M124" s="14" t="s">
        <v>883</v>
      </c>
      <c r="N124" s="14" t="s">
        <v>884</v>
      </c>
    </row>
    <row r="125" spans="1:14" ht="78" customHeight="1" x14ac:dyDescent="0.25">
      <c r="A125" s="11" t="s">
        <v>885</v>
      </c>
      <c r="B125" s="11" t="s">
        <v>886</v>
      </c>
      <c r="C125" s="11" t="s">
        <v>887</v>
      </c>
      <c r="D125" s="12" t="s">
        <v>34</v>
      </c>
      <c r="E125" s="13" t="s">
        <v>40</v>
      </c>
      <c r="F125" s="18" t="s">
        <v>888</v>
      </c>
      <c r="G125" s="11" t="s">
        <v>86</v>
      </c>
      <c r="H125" s="11" t="s">
        <v>764</v>
      </c>
      <c r="I125" s="11" t="s">
        <v>76</v>
      </c>
      <c r="J125" s="11" t="s">
        <v>889</v>
      </c>
      <c r="K125" s="11" t="s">
        <v>88</v>
      </c>
      <c r="L125" s="11" t="s">
        <v>890</v>
      </c>
      <c r="M125" s="11" t="s">
        <v>883</v>
      </c>
      <c r="N125" s="11" t="s">
        <v>891</v>
      </c>
    </row>
  </sheetData>
  <autoFilter ref="A4:N125" xr:uid="{00000000-0009-0000-0000-000001000000}"/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5"/>
  <sheetViews>
    <sheetView showGridLines="0" workbookViewId="0">
      <pane ySplit="4" topLeftCell="A5" activePane="bottomLeft" state="frozen"/>
      <selection pane="bottomLeft" activeCell="A6" sqref="A6"/>
    </sheetView>
  </sheetViews>
  <sheetFormatPr defaultRowHeight="12" x14ac:dyDescent="0.2"/>
  <cols>
    <col min="1" max="1" width="34" style="20" customWidth="1"/>
    <col min="2" max="2" width="46" style="20" customWidth="1"/>
    <col min="3" max="3" width="48" style="20" customWidth="1"/>
    <col min="4" max="4" width="26" style="20" customWidth="1"/>
    <col min="5" max="5" width="34" style="20" customWidth="1"/>
    <col min="6" max="7" width="12" style="20" customWidth="1"/>
    <col min="8" max="8" width="34" style="20" customWidth="1"/>
    <col min="9" max="9" width="18" style="20" customWidth="1"/>
    <col min="10" max="10" width="34" style="20" customWidth="1"/>
    <col min="11" max="11" width="36" style="20" customWidth="1"/>
    <col min="12" max="12" width="46" style="20" customWidth="1"/>
    <col min="13" max="13" width="42" style="20" customWidth="1"/>
    <col min="14" max="14" width="44" style="20" customWidth="1"/>
    <col min="15" max="16384" width="9.140625" style="20"/>
  </cols>
  <sheetData>
    <row r="1" spans="1:14" ht="27.95" customHeight="1" x14ac:dyDescent="0.2">
      <c r="A1" s="40" t="s">
        <v>892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</row>
    <row r="2" spans="1:14" ht="21.95" customHeight="1" x14ac:dyDescent="0.2">
      <c r="A2" s="38" t="s">
        <v>893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</row>
    <row r="4" spans="1:14" ht="24" x14ac:dyDescent="0.2">
      <c r="A4" s="21" t="s">
        <v>56</v>
      </c>
      <c r="B4" s="21" t="s">
        <v>57</v>
      </c>
      <c r="C4" s="21" t="s">
        <v>58</v>
      </c>
      <c r="D4" s="21" t="s">
        <v>59</v>
      </c>
      <c r="E4" s="21" t="s">
        <v>60</v>
      </c>
      <c r="F4" s="21" t="s">
        <v>61</v>
      </c>
      <c r="G4" s="21" t="s">
        <v>62</v>
      </c>
      <c r="H4" s="21" t="s">
        <v>63</v>
      </c>
      <c r="I4" s="21" t="s">
        <v>64</v>
      </c>
      <c r="J4" s="21" t="s">
        <v>65</v>
      </c>
      <c r="K4" s="21" t="s">
        <v>66</v>
      </c>
      <c r="L4" s="21" t="s">
        <v>67</v>
      </c>
      <c r="M4" s="21" t="s">
        <v>68</v>
      </c>
      <c r="N4" s="21" t="s">
        <v>69</v>
      </c>
    </row>
    <row r="5" spans="1:14" ht="78" customHeight="1" x14ac:dyDescent="0.2">
      <c r="A5" s="22" t="s">
        <v>894</v>
      </c>
      <c r="B5" s="22" t="s">
        <v>895</v>
      </c>
      <c r="C5" s="22" t="s">
        <v>896</v>
      </c>
      <c r="D5" s="23" t="s">
        <v>34</v>
      </c>
      <c r="E5" s="24" t="s">
        <v>40</v>
      </c>
      <c r="F5" s="25" t="s">
        <v>897</v>
      </c>
      <c r="G5" s="22" t="s">
        <v>74</v>
      </c>
      <c r="H5" s="22" t="s">
        <v>898</v>
      </c>
      <c r="I5" s="22" t="s">
        <v>899</v>
      </c>
      <c r="J5" s="22" t="s">
        <v>77</v>
      </c>
      <c r="K5" s="22" t="s">
        <v>78</v>
      </c>
      <c r="L5" s="22" t="s">
        <v>900</v>
      </c>
      <c r="M5" s="22" t="s">
        <v>901</v>
      </c>
      <c r="N5" s="22" t="s">
        <v>902</v>
      </c>
    </row>
    <row r="6" spans="1:14" ht="78" customHeight="1" x14ac:dyDescent="0.2">
      <c r="A6" s="26" t="s">
        <v>903</v>
      </c>
      <c r="B6" s="26" t="s">
        <v>904</v>
      </c>
      <c r="C6" s="26" t="s">
        <v>905</v>
      </c>
      <c r="D6" s="23" t="s">
        <v>34</v>
      </c>
      <c r="E6" s="24" t="s">
        <v>40</v>
      </c>
      <c r="F6" s="27" t="s">
        <v>906</v>
      </c>
      <c r="G6" s="26" t="s">
        <v>86</v>
      </c>
      <c r="H6" s="26" t="s">
        <v>898</v>
      </c>
      <c r="I6" s="26" t="s">
        <v>899</v>
      </c>
      <c r="J6" s="26" t="s">
        <v>438</v>
      </c>
      <c r="K6" s="26" t="s">
        <v>533</v>
      </c>
      <c r="L6" s="26" t="s">
        <v>907</v>
      </c>
      <c r="M6" s="26" t="s">
        <v>901</v>
      </c>
      <c r="N6" s="26" t="s">
        <v>908</v>
      </c>
    </row>
    <row r="7" spans="1:14" ht="78" customHeight="1" x14ac:dyDescent="0.2">
      <c r="A7" s="22" t="s">
        <v>909</v>
      </c>
      <c r="B7" s="22" t="s">
        <v>487</v>
      </c>
      <c r="C7" s="22" t="s">
        <v>910</v>
      </c>
      <c r="D7" s="23" t="s">
        <v>34</v>
      </c>
      <c r="E7" s="24" t="s">
        <v>40</v>
      </c>
      <c r="F7" s="25" t="s">
        <v>911</v>
      </c>
      <c r="G7" s="22" t="s">
        <v>86</v>
      </c>
      <c r="H7" s="22" t="s">
        <v>898</v>
      </c>
      <c r="I7" s="22" t="s">
        <v>899</v>
      </c>
      <c r="J7" s="22" t="s">
        <v>452</v>
      </c>
      <c r="K7" s="22" t="s">
        <v>490</v>
      </c>
      <c r="L7" s="22" t="s">
        <v>912</v>
      </c>
      <c r="M7" s="22" t="s">
        <v>901</v>
      </c>
      <c r="N7" s="22" t="s">
        <v>913</v>
      </c>
    </row>
    <row r="8" spans="1:14" ht="78" customHeight="1" x14ac:dyDescent="0.2">
      <c r="A8" s="26" t="s">
        <v>914</v>
      </c>
      <c r="B8" s="26" t="s">
        <v>915</v>
      </c>
      <c r="C8" s="26" t="s">
        <v>916</v>
      </c>
      <c r="D8" s="23" t="s">
        <v>34</v>
      </c>
      <c r="E8" s="24" t="s">
        <v>40</v>
      </c>
      <c r="F8" s="27" t="s">
        <v>917</v>
      </c>
      <c r="G8" s="26" t="s">
        <v>86</v>
      </c>
      <c r="H8" s="26" t="s">
        <v>898</v>
      </c>
      <c r="I8" s="26" t="s">
        <v>899</v>
      </c>
      <c r="J8" s="26" t="s">
        <v>918</v>
      </c>
      <c r="K8" s="26" t="s">
        <v>919</v>
      </c>
      <c r="L8" s="26" t="s">
        <v>920</v>
      </c>
      <c r="M8" s="26" t="s">
        <v>901</v>
      </c>
      <c r="N8" s="26" t="s">
        <v>921</v>
      </c>
    </row>
    <row r="9" spans="1:14" ht="78" customHeight="1" x14ac:dyDescent="0.2">
      <c r="A9" s="22" t="s">
        <v>922</v>
      </c>
      <c r="B9" s="22" t="s">
        <v>157</v>
      </c>
      <c r="C9" s="22" t="s">
        <v>923</v>
      </c>
      <c r="D9" s="23" t="s">
        <v>34</v>
      </c>
      <c r="E9" s="24" t="s">
        <v>40</v>
      </c>
      <c r="F9" s="25" t="s">
        <v>924</v>
      </c>
      <c r="G9" s="22" t="s">
        <v>86</v>
      </c>
      <c r="H9" s="22" t="s">
        <v>898</v>
      </c>
      <c r="I9" s="22" t="s">
        <v>899</v>
      </c>
      <c r="J9" s="22" t="s">
        <v>77</v>
      </c>
      <c r="K9" s="22" t="s">
        <v>78</v>
      </c>
      <c r="L9" s="22" t="s">
        <v>925</v>
      </c>
      <c r="M9" s="22" t="s">
        <v>926</v>
      </c>
      <c r="N9" s="22" t="s">
        <v>927</v>
      </c>
    </row>
    <row r="10" spans="1:14" ht="78" customHeight="1" x14ac:dyDescent="0.2">
      <c r="A10" s="26" t="s">
        <v>928</v>
      </c>
      <c r="B10" s="26" t="s">
        <v>108</v>
      </c>
      <c r="C10" s="26" t="s">
        <v>929</v>
      </c>
      <c r="D10" s="23" t="s">
        <v>34</v>
      </c>
      <c r="E10" s="28" t="s">
        <v>42</v>
      </c>
      <c r="F10" s="27" t="s">
        <v>930</v>
      </c>
      <c r="G10" s="26" t="s">
        <v>86</v>
      </c>
      <c r="H10" s="26" t="s">
        <v>898</v>
      </c>
      <c r="I10" s="26" t="s">
        <v>899</v>
      </c>
      <c r="J10" s="26" t="s">
        <v>111</v>
      </c>
      <c r="K10" s="26" t="s">
        <v>112</v>
      </c>
      <c r="L10" s="26" t="s">
        <v>931</v>
      </c>
      <c r="M10" s="26" t="s">
        <v>926</v>
      </c>
      <c r="N10" s="26" t="s">
        <v>932</v>
      </c>
    </row>
    <row r="11" spans="1:14" ht="78" customHeight="1" x14ac:dyDescent="0.2">
      <c r="A11" s="22" t="s">
        <v>933</v>
      </c>
      <c r="B11" s="22" t="s">
        <v>108</v>
      </c>
      <c r="C11" s="22" t="s">
        <v>934</v>
      </c>
      <c r="D11" s="23" t="s">
        <v>34</v>
      </c>
      <c r="E11" s="28" t="s">
        <v>42</v>
      </c>
      <c r="F11" s="25" t="s">
        <v>935</v>
      </c>
      <c r="G11" s="22" t="s">
        <v>86</v>
      </c>
      <c r="H11" s="22" t="s">
        <v>898</v>
      </c>
      <c r="I11" s="22" t="s">
        <v>899</v>
      </c>
      <c r="J11" s="22" t="s">
        <v>111</v>
      </c>
      <c r="K11" s="22" t="s">
        <v>78</v>
      </c>
      <c r="L11" s="22" t="s">
        <v>936</v>
      </c>
      <c r="M11" s="22" t="s">
        <v>937</v>
      </c>
      <c r="N11" s="22" t="s">
        <v>938</v>
      </c>
    </row>
    <row r="12" spans="1:14" ht="78" customHeight="1" x14ac:dyDescent="0.2">
      <c r="A12" s="26" t="s">
        <v>939</v>
      </c>
      <c r="B12" s="26" t="s">
        <v>940</v>
      </c>
      <c r="C12" s="26" t="s">
        <v>941</v>
      </c>
      <c r="D12" s="23" t="s">
        <v>34</v>
      </c>
      <c r="E12" s="24" t="s">
        <v>40</v>
      </c>
      <c r="F12" s="27" t="s">
        <v>942</v>
      </c>
      <c r="G12" s="26" t="s">
        <v>86</v>
      </c>
      <c r="H12" s="26" t="s">
        <v>943</v>
      </c>
      <c r="I12" s="26" t="s">
        <v>899</v>
      </c>
      <c r="J12" s="26" t="s">
        <v>198</v>
      </c>
      <c r="K12" s="26" t="s">
        <v>191</v>
      </c>
      <c r="L12" s="26" t="s">
        <v>944</v>
      </c>
      <c r="M12" s="26" t="s">
        <v>945</v>
      </c>
      <c r="N12" s="26" t="s">
        <v>946</v>
      </c>
    </row>
    <row r="13" spans="1:14" ht="78" customHeight="1" x14ac:dyDescent="0.2">
      <c r="A13" s="22" t="s">
        <v>947</v>
      </c>
      <c r="B13" s="22" t="s">
        <v>948</v>
      </c>
      <c r="C13" s="22" t="s">
        <v>949</v>
      </c>
      <c r="D13" s="23" t="s">
        <v>34</v>
      </c>
      <c r="E13" s="28" t="s">
        <v>42</v>
      </c>
      <c r="F13" s="25" t="s">
        <v>950</v>
      </c>
      <c r="G13" s="22" t="s">
        <v>74</v>
      </c>
      <c r="H13" s="22" t="s">
        <v>943</v>
      </c>
      <c r="I13" s="22" t="s">
        <v>899</v>
      </c>
      <c r="J13" s="22" t="s">
        <v>77</v>
      </c>
      <c r="K13" s="22" t="s">
        <v>78</v>
      </c>
      <c r="L13" s="22" t="s">
        <v>951</v>
      </c>
      <c r="M13" s="22" t="s">
        <v>952</v>
      </c>
      <c r="N13" s="22" t="s">
        <v>953</v>
      </c>
    </row>
    <row r="14" spans="1:14" ht="78" customHeight="1" x14ac:dyDescent="0.2">
      <c r="A14" s="26" t="s">
        <v>954</v>
      </c>
      <c r="B14" s="26" t="s">
        <v>955</v>
      </c>
      <c r="C14" s="26" t="s">
        <v>956</v>
      </c>
      <c r="D14" s="23" t="s">
        <v>34</v>
      </c>
      <c r="E14" s="24" t="s">
        <v>40</v>
      </c>
      <c r="F14" s="27" t="s">
        <v>957</v>
      </c>
      <c r="G14" s="26" t="s">
        <v>74</v>
      </c>
      <c r="H14" s="26" t="s">
        <v>958</v>
      </c>
      <c r="I14" s="26" t="s">
        <v>899</v>
      </c>
      <c r="J14" s="26" t="s">
        <v>77</v>
      </c>
      <c r="K14" s="26" t="s">
        <v>78</v>
      </c>
      <c r="L14" s="26" t="s">
        <v>959</v>
      </c>
      <c r="M14" s="26" t="s">
        <v>960</v>
      </c>
      <c r="N14" s="26" t="s">
        <v>961</v>
      </c>
    </row>
    <row r="15" spans="1:14" ht="78" customHeight="1" x14ac:dyDescent="0.2">
      <c r="A15" s="22" t="s">
        <v>962</v>
      </c>
      <c r="B15" s="22" t="s">
        <v>963</v>
      </c>
      <c r="C15" s="22" t="s">
        <v>964</v>
      </c>
      <c r="D15" s="23" t="s">
        <v>34</v>
      </c>
      <c r="E15" s="24" t="s">
        <v>40</v>
      </c>
      <c r="F15" s="25" t="s">
        <v>965</v>
      </c>
      <c r="G15" s="22" t="s">
        <v>74</v>
      </c>
      <c r="H15" s="22" t="s">
        <v>958</v>
      </c>
      <c r="I15" s="22" t="s">
        <v>899</v>
      </c>
      <c r="J15" s="22" t="s">
        <v>966</v>
      </c>
      <c r="K15" s="22" t="s">
        <v>967</v>
      </c>
      <c r="L15" s="22" t="s">
        <v>968</v>
      </c>
      <c r="M15" s="22" t="s">
        <v>969</v>
      </c>
      <c r="N15" s="22" t="s">
        <v>970</v>
      </c>
    </row>
    <row r="16" spans="1:14" ht="78" customHeight="1" x14ac:dyDescent="0.2">
      <c r="A16" s="26" t="s">
        <v>971</v>
      </c>
      <c r="B16" s="26" t="s">
        <v>390</v>
      </c>
      <c r="C16" s="26" t="s">
        <v>972</v>
      </c>
      <c r="D16" s="23" t="s">
        <v>34</v>
      </c>
      <c r="E16" s="28" t="s">
        <v>42</v>
      </c>
      <c r="F16" s="27" t="s">
        <v>973</v>
      </c>
      <c r="G16" s="26" t="s">
        <v>74</v>
      </c>
      <c r="H16" s="26" t="s">
        <v>958</v>
      </c>
      <c r="I16" s="26" t="s">
        <v>899</v>
      </c>
      <c r="J16" s="26" t="s">
        <v>77</v>
      </c>
      <c r="K16" s="26" t="s">
        <v>78</v>
      </c>
      <c r="L16" s="26" t="s">
        <v>974</v>
      </c>
      <c r="M16" s="26" t="s">
        <v>975</v>
      </c>
      <c r="N16" s="26" t="s">
        <v>976</v>
      </c>
    </row>
    <row r="17" spans="1:14" ht="78" customHeight="1" x14ac:dyDescent="0.2">
      <c r="A17" s="22" t="s">
        <v>977</v>
      </c>
      <c r="B17" s="22" t="s">
        <v>978</v>
      </c>
      <c r="C17" s="22" t="s">
        <v>979</v>
      </c>
      <c r="D17" s="23" t="s">
        <v>34</v>
      </c>
      <c r="E17" s="28" t="s">
        <v>42</v>
      </c>
      <c r="F17" s="25" t="s">
        <v>980</v>
      </c>
      <c r="G17" s="22" t="s">
        <v>74</v>
      </c>
      <c r="H17" s="22" t="s">
        <v>958</v>
      </c>
      <c r="I17" s="22" t="s">
        <v>899</v>
      </c>
      <c r="J17" s="22" t="s">
        <v>981</v>
      </c>
      <c r="K17" s="22" t="s">
        <v>78</v>
      </c>
      <c r="L17" s="22" t="s">
        <v>982</v>
      </c>
      <c r="M17" s="22" t="s">
        <v>983</v>
      </c>
      <c r="N17" s="22" t="s">
        <v>984</v>
      </c>
    </row>
    <row r="18" spans="1:14" ht="78" customHeight="1" x14ac:dyDescent="0.2">
      <c r="A18" s="26" t="s">
        <v>985</v>
      </c>
      <c r="B18" s="26" t="s">
        <v>108</v>
      </c>
      <c r="C18" s="26" t="s">
        <v>986</v>
      </c>
      <c r="D18" s="23" t="s">
        <v>34</v>
      </c>
      <c r="E18" s="28" t="s">
        <v>42</v>
      </c>
      <c r="F18" s="27" t="s">
        <v>987</v>
      </c>
      <c r="G18" s="26" t="s">
        <v>74</v>
      </c>
      <c r="H18" s="26" t="s">
        <v>958</v>
      </c>
      <c r="I18" s="26" t="s">
        <v>899</v>
      </c>
      <c r="J18" s="26" t="s">
        <v>111</v>
      </c>
      <c r="K18" s="26" t="s">
        <v>112</v>
      </c>
      <c r="L18" s="26" t="s">
        <v>988</v>
      </c>
      <c r="M18" s="26" t="s">
        <v>989</v>
      </c>
      <c r="N18" s="26" t="s">
        <v>990</v>
      </c>
    </row>
    <row r="19" spans="1:14" ht="78" customHeight="1" x14ac:dyDescent="0.2">
      <c r="A19" s="22" t="s">
        <v>991</v>
      </c>
      <c r="B19" s="22" t="s">
        <v>108</v>
      </c>
      <c r="C19" s="22" t="s">
        <v>992</v>
      </c>
      <c r="D19" s="23" t="s">
        <v>34</v>
      </c>
      <c r="E19" s="24" t="s">
        <v>40</v>
      </c>
      <c r="F19" s="25" t="s">
        <v>993</v>
      </c>
      <c r="G19" s="22" t="s">
        <v>74</v>
      </c>
      <c r="H19" s="22" t="s">
        <v>994</v>
      </c>
      <c r="I19" s="22" t="s">
        <v>899</v>
      </c>
      <c r="J19" s="22" t="s">
        <v>111</v>
      </c>
      <c r="K19" s="22" t="s">
        <v>78</v>
      </c>
      <c r="L19" s="22" t="s">
        <v>995</v>
      </c>
      <c r="M19" s="22" t="s">
        <v>996</v>
      </c>
      <c r="N19" s="22" t="s">
        <v>997</v>
      </c>
    </row>
    <row r="20" spans="1:14" ht="78" customHeight="1" x14ac:dyDescent="0.2">
      <c r="A20" s="26" t="s">
        <v>998</v>
      </c>
      <c r="B20" s="26" t="s">
        <v>108</v>
      </c>
      <c r="C20" s="26" t="s">
        <v>999</v>
      </c>
      <c r="D20" s="23" t="s">
        <v>34</v>
      </c>
      <c r="E20" s="24" t="s">
        <v>40</v>
      </c>
      <c r="F20" s="27" t="s">
        <v>1000</v>
      </c>
      <c r="G20" s="26" t="s">
        <v>86</v>
      </c>
      <c r="H20" s="26" t="s">
        <v>994</v>
      </c>
      <c r="I20" s="26" t="s">
        <v>899</v>
      </c>
      <c r="J20" s="26" t="s">
        <v>111</v>
      </c>
      <c r="K20" s="26" t="s">
        <v>78</v>
      </c>
      <c r="L20" s="26" t="s">
        <v>1001</v>
      </c>
      <c r="M20" s="26" t="s">
        <v>1002</v>
      </c>
      <c r="N20" s="26" t="s">
        <v>1003</v>
      </c>
    </row>
    <row r="21" spans="1:14" ht="78" customHeight="1" x14ac:dyDescent="0.2">
      <c r="A21" s="22" t="s">
        <v>1004</v>
      </c>
      <c r="B21" s="22" t="s">
        <v>108</v>
      </c>
      <c r="C21" s="22" t="s">
        <v>1005</v>
      </c>
      <c r="D21" s="23" t="s">
        <v>34</v>
      </c>
      <c r="E21" s="24" t="s">
        <v>40</v>
      </c>
      <c r="F21" s="25" t="s">
        <v>1006</v>
      </c>
      <c r="G21" s="22" t="s">
        <v>74</v>
      </c>
      <c r="H21" s="22" t="s">
        <v>994</v>
      </c>
      <c r="I21" s="22" t="s">
        <v>899</v>
      </c>
      <c r="J21" s="22" t="s">
        <v>111</v>
      </c>
      <c r="K21" s="22" t="s">
        <v>78</v>
      </c>
      <c r="L21" s="22" t="s">
        <v>1007</v>
      </c>
      <c r="M21" s="22" t="s">
        <v>1008</v>
      </c>
      <c r="N21" s="22" t="s">
        <v>1009</v>
      </c>
    </row>
    <row r="22" spans="1:14" ht="78" customHeight="1" x14ac:dyDescent="0.2">
      <c r="A22" s="26" t="s">
        <v>1010</v>
      </c>
      <c r="B22" s="26" t="s">
        <v>108</v>
      </c>
      <c r="C22" s="26" t="s">
        <v>1011</v>
      </c>
      <c r="D22" s="23" t="s">
        <v>34</v>
      </c>
      <c r="E22" s="28" t="s">
        <v>42</v>
      </c>
      <c r="F22" s="27" t="s">
        <v>1012</v>
      </c>
      <c r="G22" s="26" t="s">
        <v>86</v>
      </c>
      <c r="H22" s="26" t="s">
        <v>994</v>
      </c>
      <c r="I22" s="26" t="s">
        <v>899</v>
      </c>
      <c r="J22" s="26" t="s">
        <v>111</v>
      </c>
      <c r="K22" s="26" t="s">
        <v>78</v>
      </c>
      <c r="L22" s="26" t="s">
        <v>1013</v>
      </c>
      <c r="M22" s="26" t="s">
        <v>1014</v>
      </c>
      <c r="N22" s="26" t="s">
        <v>1015</v>
      </c>
    </row>
    <row r="23" spans="1:14" ht="78" customHeight="1" x14ac:dyDescent="0.2">
      <c r="A23" s="22" t="s">
        <v>1016</v>
      </c>
      <c r="B23" s="22" t="s">
        <v>108</v>
      </c>
      <c r="C23" s="22" t="s">
        <v>1017</v>
      </c>
      <c r="D23" s="23" t="s">
        <v>34</v>
      </c>
      <c r="E23" s="28" t="s">
        <v>42</v>
      </c>
      <c r="F23" s="25" t="s">
        <v>1018</v>
      </c>
      <c r="G23" s="22" t="s">
        <v>74</v>
      </c>
      <c r="H23" s="22" t="s">
        <v>1019</v>
      </c>
      <c r="I23" s="22" t="s">
        <v>899</v>
      </c>
      <c r="J23" s="22" t="s">
        <v>111</v>
      </c>
      <c r="K23" s="22" t="s">
        <v>112</v>
      </c>
      <c r="L23" s="22" t="s">
        <v>1020</v>
      </c>
      <c r="M23" s="22" t="s">
        <v>1021</v>
      </c>
      <c r="N23" s="22" t="s">
        <v>1022</v>
      </c>
    </row>
    <row r="24" spans="1:14" ht="78" customHeight="1" x14ac:dyDescent="0.2">
      <c r="A24" s="26" t="s">
        <v>1023</v>
      </c>
      <c r="B24" s="26" t="s">
        <v>108</v>
      </c>
      <c r="C24" s="26" t="s">
        <v>1024</v>
      </c>
      <c r="D24" s="23" t="s">
        <v>34</v>
      </c>
      <c r="E24" s="28" t="s">
        <v>42</v>
      </c>
      <c r="F24" s="27" t="s">
        <v>1025</v>
      </c>
      <c r="G24" s="26" t="s">
        <v>74</v>
      </c>
      <c r="H24" s="26" t="s">
        <v>1019</v>
      </c>
      <c r="I24" s="26" t="s">
        <v>899</v>
      </c>
      <c r="J24" s="26" t="s">
        <v>111</v>
      </c>
      <c r="K24" s="26" t="s">
        <v>112</v>
      </c>
      <c r="L24" s="26" t="s">
        <v>1026</v>
      </c>
      <c r="M24" s="26" t="s">
        <v>1027</v>
      </c>
      <c r="N24" s="26" t="s">
        <v>1028</v>
      </c>
    </row>
    <row r="25" spans="1:14" ht="78" customHeight="1" x14ac:dyDescent="0.2">
      <c r="A25" s="22" t="s">
        <v>1029</v>
      </c>
      <c r="B25" s="22" t="s">
        <v>108</v>
      </c>
      <c r="C25" s="22" t="s">
        <v>1030</v>
      </c>
      <c r="D25" s="23" t="s">
        <v>34</v>
      </c>
      <c r="E25" s="28" t="s">
        <v>42</v>
      </c>
      <c r="F25" s="25" t="s">
        <v>1031</v>
      </c>
      <c r="G25" s="22" t="s">
        <v>74</v>
      </c>
      <c r="H25" s="22" t="s">
        <v>1019</v>
      </c>
      <c r="I25" s="22" t="s">
        <v>899</v>
      </c>
      <c r="J25" s="22" t="s">
        <v>111</v>
      </c>
      <c r="K25" s="22" t="s">
        <v>78</v>
      </c>
      <c r="L25" s="22" t="s">
        <v>1032</v>
      </c>
      <c r="M25" s="22" t="s">
        <v>1033</v>
      </c>
      <c r="N25" s="22" t="s">
        <v>1034</v>
      </c>
    </row>
  </sheetData>
  <autoFilter ref="A4:N25" xr:uid="{00000000-0009-0000-0000-000002000000}"/>
  <mergeCells count="2">
    <mergeCell ref="A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showGridLines="0" workbookViewId="0">
      <pane ySplit="4" topLeftCell="A5" activePane="bottomLeft" state="frozen"/>
      <selection pane="bottomLeft" activeCell="A7" sqref="A7"/>
    </sheetView>
  </sheetViews>
  <sheetFormatPr defaultRowHeight="15" x14ac:dyDescent="0.25"/>
  <cols>
    <col min="1" max="1" width="42" customWidth="1"/>
    <col min="2" max="2" width="20" customWidth="1"/>
    <col min="3" max="3" width="18" customWidth="1"/>
    <col min="4" max="4" width="62" customWidth="1"/>
    <col min="5" max="5" width="54" customWidth="1"/>
    <col min="6" max="6" width="18" customWidth="1"/>
    <col min="7" max="9" width="12" customWidth="1"/>
  </cols>
  <sheetData>
    <row r="1" spans="1:9" ht="27.95" customHeight="1" x14ac:dyDescent="0.25">
      <c r="A1" s="31" t="s">
        <v>1035</v>
      </c>
      <c r="B1" s="30"/>
      <c r="C1" s="30"/>
      <c r="D1" s="30"/>
      <c r="E1" s="30"/>
      <c r="F1" s="30"/>
      <c r="G1" s="30"/>
      <c r="H1" s="30"/>
      <c r="I1" s="30"/>
    </row>
    <row r="2" spans="1:9" ht="21.95" customHeight="1" x14ac:dyDescent="0.25">
      <c r="A2" s="29" t="s">
        <v>1036</v>
      </c>
      <c r="B2" s="30"/>
      <c r="C2" s="30"/>
      <c r="D2" s="30"/>
      <c r="E2" s="30"/>
      <c r="F2" s="30"/>
      <c r="G2" s="30"/>
      <c r="H2" s="30"/>
      <c r="I2" s="30"/>
    </row>
    <row r="4" spans="1:9" ht="30" x14ac:dyDescent="0.25">
      <c r="A4" s="17" t="s">
        <v>1037</v>
      </c>
      <c r="B4" s="17" t="s">
        <v>1038</v>
      </c>
      <c r="C4" s="17" t="s">
        <v>1039</v>
      </c>
      <c r="D4" s="17" t="s">
        <v>1040</v>
      </c>
      <c r="E4" s="17" t="s">
        <v>1041</v>
      </c>
      <c r="F4" s="17" t="s">
        <v>1042</v>
      </c>
      <c r="G4" s="17" t="s">
        <v>1043</v>
      </c>
      <c r="H4" s="17" t="s">
        <v>1044</v>
      </c>
      <c r="I4" s="17" t="s">
        <v>1045</v>
      </c>
    </row>
    <row r="5" spans="1:9" ht="69.95" customHeight="1" x14ac:dyDescent="0.25">
      <c r="A5" s="11" t="s">
        <v>1046</v>
      </c>
      <c r="B5" s="11" t="s">
        <v>33</v>
      </c>
      <c r="C5" s="11" t="s">
        <v>39</v>
      </c>
      <c r="D5" s="11" t="s">
        <v>1047</v>
      </c>
      <c r="E5" s="11" t="s">
        <v>1048</v>
      </c>
      <c r="F5" s="11">
        <f>COUNTIF('Domain Capability Mapping'!$H:$H,A5)</f>
        <v>0</v>
      </c>
      <c r="G5" s="11">
        <f>COUNTIFS('Domain Capability Mapping'!$H:$H,A5,'Domain Capability Mapping'!$D:$D,"P0*")</f>
        <v>0</v>
      </c>
      <c r="H5" s="11">
        <f>COUNTIFS('Domain Capability Mapping'!$H:$H,A5,'Domain Capability Mapping'!$D:$D,"P1*")</f>
        <v>0</v>
      </c>
      <c r="I5" s="11">
        <f>COUNTIFS('Domain Capability Mapping'!$H:$H,A5,'Domain Capability Mapping'!$D:$D,"P2*")</f>
        <v>0</v>
      </c>
    </row>
    <row r="6" spans="1:9" ht="69.95" customHeight="1" x14ac:dyDescent="0.25">
      <c r="A6" s="14" t="s">
        <v>1049</v>
      </c>
      <c r="B6" s="14" t="s">
        <v>33</v>
      </c>
      <c r="C6" s="14" t="s">
        <v>41</v>
      </c>
      <c r="D6" s="14" t="s">
        <v>1050</v>
      </c>
      <c r="E6" s="14" t="s">
        <v>1051</v>
      </c>
      <c r="F6" s="11">
        <f>COUNTIF('Domain Capability Mapping'!$H:$H,A6)</f>
        <v>0</v>
      </c>
      <c r="G6" s="11">
        <f>COUNTIFS('Domain Capability Mapping'!$H:$H,A6,'Domain Capability Mapping'!$D:$D,"P0*")</f>
        <v>0</v>
      </c>
      <c r="H6" s="11">
        <f>COUNTIFS('Domain Capability Mapping'!$H:$H,A6,'Domain Capability Mapping'!$D:$D,"P1*")</f>
        <v>0</v>
      </c>
      <c r="I6" s="11">
        <f>COUNTIFS('Domain Capability Mapping'!$H:$H,A6,'Domain Capability Mapping'!$D:$D,"P2*")</f>
        <v>0</v>
      </c>
    </row>
    <row r="7" spans="1:9" ht="69.95" customHeight="1" x14ac:dyDescent="0.25">
      <c r="A7" s="11" t="s">
        <v>1052</v>
      </c>
      <c r="B7" s="11" t="s">
        <v>33</v>
      </c>
      <c r="C7" s="11" t="s">
        <v>39</v>
      </c>
      <c r="D7" s="11" t="s">
        <v>1053</v>
      </c>
      <c r="E7" s="11" t="s">
        <v>1054</v>
      </c>
      <c r="F7" s="11">
        <f>COUNTIF('Domain Capability Mapping'!$H:$H,A7)</f>
        <v>0</v>
      </c>
      <c r="G7" s="11">
        <f>COUNTIFS('Domain Capability Mapping'!$H:$H,A7,'Domain Capability Mapping'!$D:$D,"P0*")</f>
        <v>0</v>
      </c>
      <c r="H7" s="11">
        <f>COUNTIFS('Domain Capability Mapping'!$H:$H,A7,'Domain Capability Mapping'!$D:$D,"P1*")</f>
        <v>0</v>
      </c>
      <c r="I7" s="11">
        <f>COUNTIFS('Domain Capability Mapping'!$H:$H,A7,'Domain Capability Mapping'!$D:$D,"P2*")</f>
        <v>0</v>
      </c>
    </row>
    <row r="8" spans="1:9" ht="69.95" customHeight="1" x14ac:dyDescent="0.25">
      <c r="A8" s="14" t="s">
        <v>1055</v>
      </c>
      <c r="B8" s="14" t="s">
        <v>1056</v>
      </c>
      <c r="C8" s="14" t="s">
        <v>41</v>
      </c>
      <c r="D8" s="14" t="s">
        <v>1057</v>
      </c>
      <c r="E8" s="14" t="s">
        <v>1058</v>
      </c>
      <c r="F8" s="11">
        <f>COUNTIF('Domain Capability Mapping'!$H:$H,A8)</f>
        <v>0</v>
      </c>
      <c r="G8" s="11">
        <f>COUNTIFS('Domain Capability Mapping'!$H:$H,A8,'Domain Capability Mapping'!$D:$D,"P0*")</f>
        <v>0</v>
      </c>
      <c r="H8" s="11">
        <f>COUNTIFS('Domain Capability Mapping'!$H:$H,A8,'Domain Capability Mapping'!$D:$D,"P1*")</f>
        <v>0</v>
      </c>
      <c r="I8" s="11">
        <f>COUNTIFS('Domain Capability Mapping'!$H:$H,A8,'Domain Capability Mapping'!$D:$D,"P2*")</f>
        <v>0</v>
      </c>
    </row>
    <row r="9" spans="1:9" ht="69.95" customHeight="1" x14ac:dyDescent="0.25">
      <c r="A9" s="11" t="s">
        <v>1059</v>
      </c>
      <c r="B9" s="11" t="s">
        <v>1060</v>
      </c>
      <c r="C9" s="11" t="s">
        <v>41</v>
      </c>
      <c r="D9" s="11" t="s">
        <v>1061</v>
      </c>
      <c r="E9" s="11" t="s">
        <v>1062</v>
      </c>
      <c r="F9" s="11">
        <f>COUNTIF('Domain Capability Mapping'!$H:$H,A9)</f>
        <v>0</v>
      </c>
      <c r="G9" s="11">
        <f>COUNTIFS('Domain Capability Mapping'!$H:$H,A9,'Domain Capability Mapping'!$D:$D,"P0*")</f>
        <v>0</v>
      </c>
      <c r="H9" s="11">
        <f>COUNTIFS('Domain Capability Mapping'!$H:$H,A9,'Domain Capability Mapping'!$D:$D,"P1*")</f>
        <v>0</v>
      </c>
      <c r="I9" s="11">
        <f>COUNTIFS('Domain Capability Mapping'!$H:$H,A9,'Domain Capability Mapping'!$D:$D,"P2*")</f>
        <v>0</v>
      </c>
    </row>
    <row r="10" spans="1:9" ht="69.95" customHeight="1" x14ac:dyDescent="0.25">
      <c r="A10" s="14" t="s">
        <v>587</v>
      </c>
      <c r="B10" s="14" t="s">
        <v>33</v>
      </c>
      <c r="C10" s="14" t="s">
        <v>39</v>
      </c>
      <c r="D10" s="14" t="s">
        <v>1063</v>
      </c>
      <c r="E10" s="14" t="s">
        <v>1064</v>
      </c>
      <c r="F10" s="11">
        <f>COUNTIF('Domain Capability Mapping'!$H:$H,A10)</f>
        <v>18</v>
      </c>
      <c r="G10" s="11">
        <f>COUNTIFS('Domain Capability Mapping'!$H:$H,A10,'Domain Capability Mapping'!$D:$D,"P0*")</f>
        <v>17</v>
      </c>
      <c r="H10" s="11">
        <f>COUNTIFS('Domain Capability Mapping'!$H:$H,A10,'Domain Capability Mapping'!$D:$D,"P1*")</f>
        <v>1</v>
      </c>
      <c r="I10" s="11">
        <f>COUNTIFS('Domain Capability Mapping'!$H:$H,A10,'Domain Capability Mapping'!$D:$D,"P2*")</f>
        <v>0</v>
      </c>
    </row>
    <row r="11" spans="1:9" ht="69.95" customHeight="1" x14ac:dyDescent="0.25">
      <c r="A11" s="11" t="s">
        <v>1065</v>
      </c>
      <c r="B11" s="11" t="s">
        <v>33</v>
      </c>
      <c r="C11" s="11" t="s">
        <v>41</v>
      </c>
      <c r="D11" s="11" t="s">
        <v>1066</v>
      </c>
      <c r="E11" s="11" t="s">
        <v>1067</v>
      </c>
      <c r="F11" s="11">
        <f>COUNTIF('Domain Capability Mapping'!$H:$H,A11)</f>
        <v>0</v>
      </c>
      <c r="G11" s="11">
        <f>COUNTIFS('Domain Capability Mapping'!$H:$H,A11,'Domain Capability Mapping'!$D:$D,"P0*")</f>
        <v>0</v>
      </c>
      <c r="H11" s="11">
        <f>COUNTIFS('Domain Capability Mapping'!$H:$H,A11,'Domain Capability Mapping'!$D:$D,"P1*")</f>
        <v>0</v>
      </c>
      <c r="I11" s="11">
        <f>COUNTIFS('Domain Capability Mapping'!$H:$H,A11,'Domain Capability Mapping'!$D:$D,"P2*")</f>
        <v>0</v>
      </c>
    </row>
    <row r="12" spans="1:9" ht="69.95" customHeight="1" x14ac:dyDescent="0.25">
      <c r="A12" s="14" t="s">
        <v>1068</v>
      </c>
      <c r="B12" s="14" t="s">
        <v>33</v>
      </c>
      <c r="C12" s="14" t="s">
        <v>39</v>
      </c>
      <c r="D12" s="14" t="s">
        <v>1069</v>
      </c>
      <c r="E12" s="14" t="s">
        <v>1070</v>
      </c>
      <c r="F12" s="11">
        <f>COUNTIF('Domain Capability Mapping'!$H:$H,A12)</f>
        <v>0</v>
      </c>
      <c r="G12" s="11">
        <f>COUNTIFS('Domain Capability Mapping'!$H:$H,A12,'Domain Capability Mapping'!$D:$D,"P0*")</f>
        <v>0</v>
      </c>
      <c r="H12" s="11">
        <f>COUNTIFS('Domain Capability Mapping'!$H:$H,A12,'Domain Capability Mapping'!$D:$D,"P1*")</f>
        <v>0</v>
      </c>
      <c r="I12" s="11">
        <f>COUNTIFS('Domain Capability Mapping'!$H:$H,A12,'Domain Capability Mapping'!$D:$D,"P2*")</f>
        <v>0</v>
      </c>
    </row>
  </sheetData>
  <autoFilter ref="A4:I12" xr:uid="{00000000-0009-0000-0000-000003000000}"/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"/>
  <sheetViews>
    <sheetView showGridLines="0" workbookViewId="0">
      <pane ySplit="4" topLeftCell="A5" activePane="bottomLeft" state="frozen"/>
      <selection pane="bottomLeft" sqref="A1:E1"/>
    </sheetView>
  </sheetViews>
  <sheetFormatPr defaultRowHeight="15" x14ac:dyDescent="0.25"/>
  <cols>
    <col min="1" max="1" width="36" customWidth="1"/>
    <col min="2" max="2" width="42" customWidth="1"/>
    <col min="3" max="3" width="44" customWidth="1"/>
    <col min="4" max="4" width="58" customWidth="1"/>
    <col min="5" max="5" width="32" customWidth="1"/>
  </cols>
  <sheetData>
    <row r="1" spans="1:5" ht="27.95" customHeight="1" x14ac:dyDescent="0.25">
      <c r="A1" s="31" t="s">
        <v>1071</v>
      </c>
      <c r="B1" s="30"/>
      <c r="C1" s="30"/>
      <c r="D1" s="30"/>
      <c r="E1" s="30"/>
    </row>
    <row r="2" spans="1:5" ht="21.95" customHeight="1" x14ac:dyDescent="0.25">
      <c r="A2" s="29" t="s">
        <v>1072</v>
      </c>
      <c r="B2" s="30"/>
      <c r="C2" s="30"/>
      <c r="D2" s="30"/>
      <c r="E2" s="30"/>
    </row>
    <row r="4" spans="1:5" ht="30" x14ac:dyDescent="0.25">
      <c r="A4" s="17" t="s">
        <v>1073</v>
      </c>
      <c r="B4" s="17" t="s">
        <v>65</v>
      </c>
      <c r="C4" s="17" t="s">
        <v>1074</v>
      </c>
      <c r="D4" s="17" t="s">
        <v>1075</v>
      </c>
      <c r="E4" s="17" t="s">
        <v>1076</v>
      </c>
    </row>
    <row r="5" spans="1:5" ht="68.099999999999994" customHeight="1" x14ac:dyDescent="0.25">
      <c r="A5" s="11" t="s">
        <v>1077</v>
      </c>
      <c r="B5" s="11" t="s">
        <v>87</v>
      </c>
      <c r="C5" s="11" t="s">
        <v>1078</v>
      </c>
      <c r="D5" s="11" t="s">
        <v>1079</v>
      </c>
      <c r="E5" s="11" t="s">
        <v>1080</v>
      </c>
    </row>
    <row r="6" spans="1:5" ht="68.099999999999994" customHeight="1" x14ac:dyDescent="0.25">
      <c r="A6" s="14" t="s">
        <v>1081</v>
      </c>
      <c r="B6" s="14" t="s">
        <v>198</v>
      </c>
      <c r="C6" s="14" t="s">
        <v>1082</v>
      </c>
      <c r="D6" s="14" t="s">
        <v>1083</v>
      </c>
      <c r="E6" s="14" t="s">
        <v>1084</v>
      </c>
    </row>
    <row r="7" spans="1:5" ht="68.099999999999994" customHeight="1" x14ac:dyDescent="0.25">
      <c r="A7" s="11" t="s">
        <v>1085</v>
      </c>
      <c r="B7" s="11" t="s">
        <v>1086</v>
      </c>
      <c r="C7" s="11" t="s">
        <v>1087</v>
      </c>
      <c r="D7" s="11" t="s">
        <v>1088</v>
      </c>
      <c r="E7" s="11" t="s">
        <v>1089</v>
      </c>
    </row>
    <row r="8" spans="1:5" ht="68.099999999999994" customHeight="1" x14ac:dyDescent="0.25">
      <c r="A8" s="14" t="s">
        <v>1090</v>
      </c>
      <c r="B8" s="14" t="s">
        <v>1091</v>
      </c>
      <c r="C8" s="14" t="s">
        <v>1092</v>
      </c>
      <c r="D8" s="14" t="s">
        <v>1093</v>
      </c>
      <c r="E8" s="14" t="s">
        <v>1094</v>
      </c>
    </row>
    <row r="9" spans="1:5" ht="68.099999999999994" customHeight="1" x14ac:dyDescent="0.25">
      <c r="A9" s="11" t="s">
        <v>1095</v>
      </c>
      <c r="B9" s="11" t="s">
        <v>1096</v>
      </c>
      <c r="C9" s="11" t="s">
        <v>1097</v>
      </c>
      <c r="D9" s="11" t="s">
        <v>1098</v>
      </c>
      <c r="E9" s="11" t="s">
        <v>1099</v>
      </c>
    </row>
    <row r="10" spans="1:5" ht="68.099999999999994" customHeight="1" x14ac:dyDescent="0.25">
      <c r="A10" s="14" t="s">
        <v>1100</v>
      </c>
      <c r="B10" s="14" t="s">
        <v>1101</v>
      </c>
      <c r="C10" s="14" t="s">
        <v>1102</v>
      </c>
      <c r="D10" s="14" t="s">
        <v>1103</v>
      </c>
      <c r="E10" s="14" t="s">
        <v>1080</v>
      </c>
    </row>
    <row r="11" spans="1:5" ht="68.099999999999994" customHeight="1" x14ac:dyDescent="0.25">
      <c r="A11" s="11" t="s">
        <v>1104</v>
      </c>
      <c r="B11" s="11" t="s">
        <v>569</v>
      </c>
      <c r="C11" s="11" t="s">
        <v>1105</v>
      </c>
      <c r="D11" s="11" t="s">
        <v>1106</v>
      </c>
      <c r="E11" s="11" t="s">
        <v>1107</v>
      </c>
    </row>
    <row r="12" spans="1:5" ht="68.099999999999994" customHeight="1" x14ac:dyDescent="0.25">
      <c r="A12" s="14" t="s">
        <v>1108</v>
      </c>
      <c r="B12" s="14" t="s">
        <v>793</v>
      </c>
      <c r="C12" s="14" t="s">
        <v>1109</v>
      </c>
      <c r="D12" s="14" t="s">
        <v>1110</v>
      </c>
      <c r="E12" s="14" t="s">
        <v>1111</v>
      </c>
    </row>
    <row r="13" spans="1:5" ht="68.099999999999994" customHeight="1" x14ac:dyDescent="0.25">
      <c r="A13" s="11" t="s">
        <v>1112</v>
      </c>
      <c r="B13" s="11" t="s">
        <v>1113</v>
      </c>
      <c r="C13" s="11" t="s">
        <v>1114</v>
      </c>
      <c r="D13" s="11" t="s">
        <v>1115</v>
      </c>
      <c r="E13" s="11" t="s">
        <v>1116</v>
      </c>
    </row>
  </sheetData>
  <autoFilter ref="A4:E13" xr:uid="{00000000-0009-0000-0000-000004000000}"/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2"/>
  <sheetViews>
    <sheetView showGridLines="0" workbookViewId="0">
      <pane ySplit="4" topLeftCell="A5" activePane="bottomLeft" state="frozen"/>
      <selection pane="bottomLeft" activeCell="B5" sqref="B5"/>
    </sheetView>
  </sheetViews>
  <sheetFormatPr defaultRowHeight="15" x14ac:dyDescent="0.25"/>
  <cols>
    <col min="1" max="1" width="24" customWidth="1"/>
    <col min="2" max="2" width="120" customWidth="1"/>
  </cols>
  <sheetData>
    <row r="1" spans="1:2" ht="27.95" customHeight="1" x14ac:dyDescent="0.25">
      <c r="A1" s="31" t="s">
        <v>1117</v>
      </c>
      <c r="B1" s="30"/>
    </row>
    <row r="2" spans="1:2" ht="21.95" customHeight="1" x14ac:dyDescent="0.25">
      <c r="A2" s="29" t="s">
        <v>1118</v>
      </c>
      <c r="B2" s="30"/>
    </row>
    <row r="4" spans="1:2" x14ac:dyDescent="0.25">
      <c r="A4" s="4" t="s">
        <v>1119</v>
      </c>
      <c r="B4" s="4" t="s">
        <v>1120</v>
      </c>
    </row>
    <row r="5" spans="1:2" ht="45" customHeight="1" x14ac:dyDescent="0.25">
      <c r="A5" s="11" t="s">
        <v>1121</v>
      </c>
      <c r="B5" s="11" t="s">
        <v>1122</v>
      </c>
    </row>
    <row r="6" spans="1:2" ht="45" customHeight="1" x14ac:dyDescent="0.25">
      <c r="A6" s="14" t="s">
        <v>1121</v>
      </c>
      <c r="B6" s="14" t="s">
        <v>1123</v>
      </c>
    </row>
    <row r="7" spans="1:2" ht="45" customHeight="1" x14ac:dyDescent="0.25">
      <c r="A7" s="11" t="s">
        <v>1121</v>
      </c>
      <c r="B7" s="11" t="s">
        <v>1124</v>
      </c>
    </row>
    <row r="8" spans="1:2" ht="45" customHeight="1" x14ac:dyDescent="0.25">
      <c r="A8" s="14" t="s">
        <v>1125</v>
      </c>
      <c r="B8" s="14" t="s">
        <v>1126</v>
      </c>
    </row>
    <row r="9" spans="1:2" ht="45" customHeight="1" x14ac:dyDescent="0.25">
      <c r="A9" s="11" t="s">
        <v>1127</v>
      </c>
      <c r="B9" s="11" t="s">
        <v>1128</v>
      </c>
    </row>
    <row r="10" spans="1:2" ht="45" customHeight="1" x14ac:dyDescent="0.25">
      <c r="A10" s="14" t="s">
        <v>1129</v>
      </c>
      <c r="B10" s="14" t="s">
        <v>1130</v>
      </c>
    </row>
    <row r="11" spans="1:2" ht="45" customHeight="1" x14ac:dyDescent="0.25">
      <c r="A11" s="11" t="s">
        <v>1131</v>
      </c>
      <c r="B11" s="11" t="s">
        <v>1132</v>
      </c>
    </row>
    <row r="12" spans="1:2" ht="45" customHeight="1" x14ac:dyDescent="0.25">
      <c r="A12" s="14" t="s">
        <v>1133</v>
      </c>
      <c r="B12" s="14" t="s">
        <v>1134</v>
      </c>
    </row>
  </sheetData>
  <mergeCells count="2">
    <mergeCell ref="A2:B2"/>
    <mergeCell ref="A1:B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2648767ADDAC4198CE9FAE936A0E2E" ma:contentTypeVersion="10" ma:contentTypeDescription="Create a new document." ma:contentTypeScope="" ma:versionID="bfce7f8d432cf4f2b54d649024185cc8">
  <xsd:schema xmlns:xsd="http://www.w3.org/2001/XMLSchema" xmlns:xs="http://www.w3.org/2001/XMLSchema" xmlns:p="http://schemas.microsoft.com/office/2006/metadata/properties" xmlns:ns2="bcf21e1d-e7b2-4ba8-bb72-ca5e3ff425f9" targetNamespace="http://schemas.microsoft.com/office/2006/metadata/properties" ma:root="true" ma:fieldsID="db0e3ff7a073da1765cf4c642dfd2d3e" ns2:_="">
    <xsd:import namespace="bcf21e1d-e7b2-4ba8-bb72-ca5e3ff42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f21e1d-e7b2-4ba8-bb72-ca5e3ff425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Image Tags_0" ma:hidden="true" ma:internalName="lcf76f155ced4ddcb4097134ff3c332f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f21e1d-e7b2-4ba8-bb72-ca5e3ff425f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76C2846-EE1B-464E-B821-829D8E93DF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f21e1d-e7b2-4ba8-bb72-ca5e3ff425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65C472F-BA65-427B-9748-B5C7578D70C2}">
  <ds:schemaRefs>
    <ds:schemaRef ds:uri="http://schemas.microsoft.com/office/2006/metadata/properties"/>
    <ds:schemaRef ds:uri="http://schemas.microsoft.com/office/infopath/2007/PartnerControls"/>
    <ds:schemaRef ds:uri="bcf21e1d-e7b2-4ba8-bb72-ca5e3ff425f9"/>
  </ds:schemaRefs>
</ds:datastoreItem>
</file>

<file path=customXml/itemProps3.xml><?xml version="1.0" encoding="utf-8"?>
<ds:datastoreItem xmlns:ds="http://schemas.openxmlformats.org/officeDocument/2006/customXml" ds:itemID="{F53BF502-4242-4948-A3D7-DB085B1E350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Domain Capability Mapping</vt:lpstr>
      <vt:lpstr>Supporting Kernel</vt:lpstr>
      <vt:lpstr>Domain Family View</vt:lpstr>
      <vt:lpstr>R4 Context Drivers</vt:lpstr>
      <vt:lpstr>Sources &amp; Method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R4 Interoperability Capabilities Required</dc:title>
  <dc:subject>UNITY R4 capability mapping</dc:subject>
  <dc:creator>OpenAI</dc:creator>
  <cp:keywords/>
  <dc:description/>
  <cp:lastModifiedBy>Villena, Jose</cp:lastModifiedBy>
  <cp:revision/>
  <dcterms:created xsi:type="dcterms:W3CDTF">2026-08-06T10:55:22Z</dcterms:created>
  <dcterms:modified xsi:type="dcterms:W3CDTF">2026-08-14T16:58:42Z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0x010100CC2648767ADDAC4198CE9FAE936A0E2E</vt:lpwstr>
  </property>
</Properties>
</file>