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.gaspar.moya\Desktop\"/>
    </mc:Choice>
  </mc:AlternateContent>
  <xr:revisionPtr revIDLastSave="0" documentId="13_ncr:1_{0E05D056-68EB-4A07-9D2D-B8D5254F7192}" xr6:coauthVersionLast="47" xr6:coauthVersionMax="47" xr10:uidLastSave="{00000000-0000-0000-0000-000000000000}"/>
  <bookViews>
    <workbookView xWindow="-110" yWindow="-110" windowWidth="19420" windowHeight="10300" xr2:uid="{4CB885BF-F220-4BC9-A357-75F9AA2149C0}"/>
  </bookViews>
  <sheets>
    <sheet name="Pivot" sheetId="2" r:id="rId1"/>
    <sheet name="Sheet1" sheetId="1" r:id="rId2"/>
  </sheets>
  <definedNames>
    <definedName name="_xlnm._FilterDatabase" localSheetId="1" hidden="1">Sheet1!$A$2:$AN$257</definedName>
  </definedNames>
  <calcPr calcId="191029"/>
  <pivotCaches>
    <pivotCache cacheId="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257" i="1" l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M3" i="1"/>
  <c r="AN3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V3" i="1"/>
  <c r="U3" i="1"/>
  <c r="W3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AM257" i="1"/>
  <c r="AL257" i="1"/>
  <c r="AK257" i="1"/>
  <c r="AJ257" i="1"/>
  <c r="AM256" i="1"/>
  <c r="AL256" i="1"/>
  <c r="AK256" i="1"/>
  <c r="AJ256" i="1"/>
  <c r="AM255" i="1"/>
  <c r="AL255" i="1"/>
  <c r="AK255" i="1"/>
  <c r="AJ255" i="1"/>
  <c r="AM254" i="1"/>
  <c r="AL254" i="1"/>
  <c r="AK254" i="1"/>
  <c r="AJ254" i="1"/>
  <c r="AM253" i="1"/>
  <c r="AL253" i="1"/>
  <c r="AK253" i="1"/>
  <c r="AJ253" i="1"/>
  <c r="AM144" i="1"/>
  <c r="AL144" i="1"/>
  <c r="AK144" i="1"/>
  <c r="AJ144" i="1"/>
  <c r="AM251" i="1"/>
  <c r="AL251" i="1"/>
  <c r="AK251" i="1"/>
  <c r="AJ251" i="1"/>
  <c r="AM250" i="1"/>
  <c r="AL250" i="1"/>
  <c r="AK250" i="1"/>
  <c r="AJ250" i="1"/>
  <c r="AM249" i="1"/>
  <c r="AL249" i="1"/>
  <c r="AK249" i="1"/>
  <c r="AJ249" i="1"/>
  <c r="AM248" i="1"/>
  <c r="AL248" i="1"/>
  <c r="AK248" i="1"/>
  <c r="AJ248" i="1"/>
  <c r="AM247" i="1"/>
  <c r="AL247" i="1"/>
  <c r="AK247" i="1"/>
  <c r="AJ247" i="1"/>
  <c r="AM246" i="1"/>
  <c r="AL246" i="1"/>
  <c r="AK246" i="1"/>
  <c r="AJ246" i="1"/>
  <c r="AM245" i="1"/>
  <c r="AL245" i="1"/>
  <c r="AK245" i="1"/>
  <c r="AJ245" i="1"/>
  <c r="AM244" i="1"/>
  <c r="AL244" i="1"/>
  <c r="AK244" i="1"/>
  <c r="AJ244" i="1"/>
  <c r="AM242" i="1"/>
  <c r="AL242" i="1"/>
  <c r="AK242" i="1"/>
  <c r="AJ242" i="1"/>
  <c r="AM241" i="1"/>
  <c r="AL241" i="1"/>
  <c r="AK241" i="1"/>
  <c r="AJ241" i="1"/>
  <c r="AM240" i="1"/>
  <c r="AL240" i="1"/>
  <c r="AK240" i="1"/>
  <c r="AJ240" i="1"/>
  <c r="AM239" i="1"/>
  <c r="AL239" i="1"/>
  <c r="AK239" i="1"/>
  <c r="AJ239" i="1"/>
  <c r="AM238" i="1"/>
  <c r="AL238" i="1"/>
  <c r="AK238" i="1"/>
  <c r="AJ238" i="1"/>
  <c r="AM237" i="1"/>
  <c r="AL237" i="1"/>
  <c r="AK237" i="1"/>
  <c r="AJ237" i="1"/>
  <c r="AM236" i="1"/>
  <c r="AL236" i="1"/>
  <c r="AK236" i="1"/>
  <c r="AJ236" i="1"/>
  <c r="AM224" i="1"/>
  <c r="AL224" i="1"/>
  <c r="AK224" i="1"/>
  <c r="AJ224" i="1"/>
  <c r="AM175" i="1"/>
  <c r="AL175" i="1"/>
  <c r="AK175" i="1"/>
  <c r="AJ175" i="1"/>
  <c r="AM235" i="1"/>
  <c r="AL235" i="1"/>
  <c r="AK235" i="1"/>
  <c r="AJ235" i="1"/>
  <c r="AM234" i="1"/>
  <c r="AL234" i="1"/>
  <c r="AK234" i="1"/>
  <c r="AJ234" i="1"/>
  <c r="AM233" i="1"/>
  <c r="AL233" i="1"/>
  <c r="AK233" i="1"/>
  <c r="AJ233" i="1"/>
  <c r="AM231" i="1"/>
  <c r="AL231" i="1"/>
  <c r="AK231" i="1"/>
  <c r="AJ231" i="1"/>
  <c r="AM203" i="1"/>
  <c r="AL203" i="1"/>
  <c r="AK203" i="1"/>
  <c r="AJ203" i="1"/>
  <c r="AM230" i="1"/>
  <c r="AL230" i="1"/>
  <c r="AK230" i="1"/>
  <c r="AJ230" i="1"/>
  <c r="AM228" i="1"/>
  <c r="AL228" i="1"/>
  <c r="AK228" i="1"/>
  <c r="AJ228" i="1"/>
  <c r="AM227" i="1"/>
  <c r="AL227" i="1"/>
  <c r="AK227" i="1"/>
  <c r="AJ227" i="1"/>
  <c r="AM226" i="1"/>
  <c r="AL226" i="1"/>
  <c r="AK226" i="1"/>
  <c r="AJ226" i="1"/>
  <c r="AM225" i="1"/>
  <c r="AL225" i="1"/>
  <c r="AK225" i="1"/>
  <c r="AJ225" i="1"/>
  <c r="AM223" i="1"/>
  <c r="AL223" i="1"/>
  <c r="AK223" i="1"/>
  <c r="AJ223" i="1"/>
  <c r="AM222" i="1"/>
  <c r="AL222" i="1"/>
  <c r="AK222" i="1"/>
  <c r="AJ222" i="1"/>
  <c r="AM221" i="1"/>
  <c r="AL221" i="1"/>
  <c r="AK221" i="1"/>
  <c r="AJ221" i="1"/>
  <c r="AM220" i="1"/>
  <c r="AL220" i="1"/>
  <c r="AK220" i="1"/>
  <c r="AJ220" i="1"/>
  <c r="AM218" i="1"/>
  <c r="AL218" i="1"/>
  <c r="AK218" i="1"/>
  <c r="AJ218" i="1"/>
  <c r="AM217" i="1"/>
  <c r="AL217" i="1"/>
  <c r="AK217" i="1"/>
  <c r="AJ217" i="1"/>
  <c r="AM216" i="1"/>
  <c r="AL216" i="1"/>
  <c r="AK216" i="1"/>
  <c r="AJ216" i="1"/>
  <c r="AM215" i="1"/>
  <c r="AL215" i="1"/>
  <c r="AK215" i="1"/>
  <c r="AJ215" i="1"/>
  <c r="AM213" i="1"/>
  <c r="AL213" i="1"/>
  <c r="AK213" i="1"/>
  <c r="AJ213" i="1"/>
  <c r="AM212" i="1"/>
  <c r="AL212" i="1"/>
  <c r="AK212" i="1"/>
  <c r="AJ212" i="1"/>
  <c r="AM181" i="1"/>
  <c r="AL181" i="1"/>
  <c r="AK181" i="1"/>
  <c r="AJ181" i="1"/>
  <c r="AM211" i="1"/>
  <c r="AL211" i="1"/>
  <c r="AK211" i="1"/>
  <c r="AJ211" i="1"/>
  <c r="AM210" i="1"/>
  <c r="AL210" i="1"/>
  <c r="AK210" i="1"/>
  <c r="AJ210" i="1"/>
  <c r="AM209" i="1"/>
  <c r="AL209" i="1"/>
  <c r="AK209" i="1"/>
  <c r="AJ209" i="1"/>
  <c r="AM66" i="1"/>
  <c r="AL66" i="1"/>
  <c r="AK66" i="1"/>
  <c r="AJ66" i="1"/>
  <c r="AM207" i="1"/>
  <c r="AL207" i="1"/>
  <c r="AK207" i="1"/>
  <c r="AJ207" i="1"/>
  <c r="AM206" i="1"/>
  <c r="AL206" i="1"/>
  <c r="AK206" i="1"/>
  <c r="AJ206" i="1"/>
  <c r="AM205" i="1"/>
  <c r="AL205" i="1"/>
  <c r="AK205" i="1"/>
  <c r="AJ205" i="1"/>
  <c r="AM204" i="1"/>
  <c r="AL204" i="1"/>
  <c r="AK204" i="1"/>
  <c r="AJ204" i="1"/>
  <c r="AM202" i="1"/>
  <c r="AL202" i="1"/>
  <c r="AK202" i="1"/>
  <c r="AJ202" i="1"/>
  <c r="AM201" i="1"/>
  <c r="AL201" i="1"/>
  <c r="AK201" i="1"/>
  <c r="AJ201" i="1"/>
  <c r="AM200" i="1"/>
  <c r="AL200" i="1"/>
  <c r="AK200" i="1"/>
  <c r="AJ200" i="1"/>
  <c r="AM199" i="1"/>
  <c r="AL199" i="1"/>
  <c r="AK199" i="1"/>
  <c r="AJ199" i="1"/>
  <c r="AM198" i="1"/>
  <c r="AL198" i="1"/>
  <c r="AK198" i="1"/>
  <c r="AJ198" i="1"/>
  <c r="AM197" i="1"/>
  <c r="AL197" i="1"/>
  <c r="AK197" i="1"/>
  <c r="AJ197" i="1"/>
  <c r="AM196" i="1"/>
  <c r="AL196" i="1"/>
  <c r="AK196" i="1"/>
  <c r="AJ196" i="1"/>
  <c r="AM195" i="1"/>
  <c r="AL195" i="1"/>
  <c r="AK195" i="1"/>
  <c r="AJ195" i="1"/>
  <c r="AM194" i="1"/>
  <c r="AL194" i="1"/>
  <c r="AK194" i="1"/>
  <c r="AJ194" i="1"/>
  <c r="AM193" i="1"/>
  <c r="AL193" i="1"/>
  <c r="AK193" i="1"/>
  <c r="AJ193" i="1"/>
  <c r="AM192" i="1"/>
  <c r="AL192" i="1"/>
  <c r="AK192" i="1"/>
  <c r="AJ192" i="1"/>
  <c r="AM191" i="1"/>
  <c r="AL191" i="1"/>
  <c r="AK191" i="1"/>
  <c r="AJ191" i="1"/>
  <c r="AM190" i="1"/>
  <c r="AL190" i="1"/>
  <c r="AK190" i="1"/>
  <c r="AJ190" i="1"/>
  <c r="AM102" i="1"/>
  <c r="AL102" i="1"/>
  <c r="AK102" i="1"/>
  <c r="AJ102" i="1"/>
  <c r="AM188" i="1"/>
  <c r="AL188" i="1"/>
  <c r="AK188" i="1"/>
  <c r="AJ188" i="1"/>
  <c r="AM187" i="1"/>
  <c r="AL187" i="1"/>
  <c r="AK187" i="1"/>
  <c r="AJ187" i="1"/>
  <c r="AM186" i="1"/>
  <c r="AL186" i="1"/>
  <c r="AK186" i="1"/>
  <c r="AJ186" i="1"/>
  <c r="AM185" i="1"/>
  <c r="AL185" i="1"/>
  <c r="AK185" i="1"/>
  <c r="AJ185" i="1"/>
  <c r="AM184" i="1"/>
  <c r="AL184" i="1"/>
  <c r="AK184" i="1"/>
  <c r="AJ184" i="1"/>
  <c r="AM183" i="1"/>
  <c r="AL183" i="1"/>
  <c r="AK183" i="1"/>
  <c r="AJ183" i="1"/>
  <c r="AM182" i="1"/>
  <c r="AL182" i="1"/>
  <c r="AK182" i="1"/>
  <c r="AJ182" i="1"/>
  <c r="AM62" i="1"/>
  <c r="AL62" i="1"/>
  <c r="AK62" i="1"/>
  <c r="AJ62" i="1"/>
  <c r="U257" i="1"/>
  <c r="T257" i="1"/>
  <c r="S257" i="1"/>
  <c r="R257" i="1"/>
  <c r="U256" i="1"/>
  <c r="T256" i="1"/>
  <c r="S256" i="1"/>
  <c r="R256" i="1"/>
  <c r="U255" i="1"/>
  <c r="T255" i="1"/>
  <c r="S255" i="1"/>
  <c r="R255" i="1"/>
  <c r="U254" i="1"/>
  <c r="T254" i="1"/>
  <c r="S254" i="1"/>
  <c r="R254" i="1"/>
  <c r="U253" i="1"/>
  <c r="T253" i="1"/>
  <c r="S253" i="1"/>
  <c r="R253" i="1"/>
  <c r="U144" i="1"/>
  <c r="T144" i="1"/>
  <c r="S144" i="1"/>
  <c r="R144" i="1"/>
  <c r="U251" i="1"/>
  <c r="T251" i="1"/>
  <c r="S251" i="1"/>
  <c r="R251" i="1"/>
  <c r="U250" i="1"/>
  <c r="T250" i="1"/>
  <c r="S250" i="1"/>
  <c r="R250" i="1"/>
  <c r="U249" i="1"/>
  <c r="T249" i="1"/>
  <c r="S249" i="1"/>
  <c r="R249" i="1"/>
  <c r="U248" i="1"/>
  <c r="T248" i="1"/>
  <c r="S248" i="1"/>
  <c r="R248" i="1"/>
  <c r="U247" i="1"/>
  <c r="T247" i="1"/>
  <c r="S247" i="1"/>
  <c r="R247" i="1"/>
  <c r="U246" i="1"/>
  <c r="T246" i="1"/>
  <c r="S246" i="1"/>
  <c r="R246" i="1"/>
  <c r="U245" i="1"/>
  <c r="T245" i="1"/>
  <c r="S245" i="1"/>
  <c r="R245" i="1"/>
  <c r="U244" i="1"/>
  <c r="T244" i="1"/>
  <c r="S244" i="1"/>
  <c r="R244" i="1"/>
  <c r="U242" i="1"/>
  <c r="T242" i="1"/>
  <c r="S242" i="1"/>
  <c r="R242" i="1"/>
  <c r="U241" i="1"/>
  <c r="T241" i="1"/>
  <c r="S241" i="1"/>
  <c r="R241" i="1"/>
  <c r="U240" i="1"/>
  <c r="T240" i="1"/>
  <c r="S240" i="1"/>
  <c r="R240" i="1"/>
  <c r="U239" i="1"/>
  <c r="T239" i="1"/>
  <c r="S239" i="1"/>
  <c r="R239" i="1"/>
  <c r="U238" i="1"/>
  <c r="T238" i="1"/>
  <c r="S238" i="1"/>
  <c r="R238" i="1"/>
  <c r="U237" i="1"/>
  <c r="T237" i="1"/>
  <c r="S237" i="1"/>
  <c r="R237" i="1"/>
  <c r="U236" i="1"/>
  <c r="T236" i="1"/>
  <c r="S236" i="1"/>
  <c r="R236" i="1"/>
  <c r="U224" i="1"/>
  <c r="T224" i="1"/>
  <c r="S224" i="1"/>
  <c r="R224" i="1"/>
  <c r="U175" i="1"/>
  <c r="T175" i="1"/>
  <c r="S175" i="1"/>
  <c r="R175" i="1"/>
  <c r="U235" i="1"/>
  <c r="T235" i="1"/>
  <c r="S235" i="1"/>
  <c r="R235" i="1"/>
  <c r="U234" i="1"/>
  <c r="T234" i="1"/>
  <c r="S234" i="1"/>
  <c r="R234" i="1"/>
  <c r="U233" i="1"/>
  <c r="T233" i="1"/>
  <c r="S233" i="1"/>
  <c r="R233" i="1"/>
  <c r="U231" i="1"/>
  <c r="T231" i="1"/>
  <c r="S231" i="1"/>
  <c r="R231" i="1"/>
  <c r="U203" i="1"/>
  <c r="T203" i="1"/>
  <c r="S203" i="1"/>
  <c r="R203" i="1"/>
  <c r="U230" i="1"/>
  <c r="T230" i="1"/>
  <c r="S230" i="1"/>
  <c r="R230" i="1"/>
  <c r="U228" i="1"/>
  <c r="T228" i="1"/>
  <c r="S228" i="1"/>
  <c r="R228" i="1"/>
  <c r="U227" i="1"/>
  <c r="T227" i="1"/>
  <c r="S227" i="1"/>
  <c r="R227" i="1"/>
  <c r="U226" i="1"/>
  <c r="T226" i="1"/>
  <c r="S226" i="1"/>
  <c r="R226" i="1"/>
  <c r="U225" i="1"/>
  <c r="T225" i="1"/>
  <c r="S225" i="1"/>
  <c r="R225" i="1"/>
  <c r="U223" i="1"/>
  <c r="T223" i="1"/>
  <c r="S223" i="1"/>
  <c r="R223" i="1"/>
  <c r="U222" i="1"/>
  <c r="T222" i="1"/>
  <c r="S222" i="1"/>
  <c r="R222" i="1"/>
  <c r="U221" i="1"/>
  <c r="T221" i="1"/>
  <c r="S221" i="1"/>
  <c r="R221" i="1"/>
  <c r="U220" i="1"/>
  <c r="T220" i="1"/>
  <c r="S220" i="1"/>
  <c r="R220" i="1"/>
  <c r="U218" i="1"/>
  <c r="T218" i="1"/>
  <c r="S218" i="1"/>
  <c r="R218" i="1"/>
  <c r="U217" i="1"/>
  <c r="T217" i="1"/>
  <c r="S217" i="1"/>
  <c r="R217" i="1"/>
  <c r="U216" i="1"/>
  <c r="T216" i="1"/>
  <c r="S216" i="1"/>
  <c r="R216" i="1"/>
  <c r="U215" i="1"/>
  <c r="T215" i="1"/>
  <c r="S215" i="1"/>
  <c r="R215" i="1"/>
  <c r="U213" i="1"/>
  <c r="T213" i="1"/>
  <c r="S213" i="1"/>
  <c r="R213" i="1"/>
  <c r="U212" i="1"/>
  <c r="T212" i="1"/>
  <c r="S212" i="1"/>
  <c r="R212" i="1"/>
  <c r="U181" i="1"/>
  <c r="T181" i="1"/>
  <c r="S181" i="1"/>
  <c r="R181" i="1"/>
  <c r="U211" i="1"/>
  <c r="T211" i="1"/>
  <c r="S211" i="1"/>
  <c r="R211" i="1"/>
  <c r="U210" i="1"/>
  <c r="T210" i="1"/>
  <c r="S210" i="1"/>
  <c r="R210" i="1"/>
  <c r="U209" i="1"/>
  <c r="T209" i="1"/>
  <c r="S209" i="1"/>
  <c r="R209" i="1"/>
  <c r="U66" i="1"/>
  <c r="T66" i="1"/>
  <c r="S66" i="1"/>
  <c r="R66" i="1"/>
  <c r="U207" i="1"/>
  <c r="T207" i="1"/>
  <c r="S207" i="1"/>
  <c r="R207" i="1"/>
  <c r="U206" i="1"/>
  <c r="T206" i="1"/>
  <c r="S206" i="1"/>
  <c r="R206" i="1"/>
  <c r="U205" i="1"/>
  <c r="T205" i="1"/>
  <c r="S205" i="1"/>
  <c r="R205" i="1"/>
  <c r="U204" i="1"/>
  <c r="T204" i="1"/>
  <c r="S204" i="1"/>
  <c r="R204" i="1"/>
  <c r="U202" i="1"/>
  <c r="T202" i="1"/>
  <c r="S202" i="1"/>
  <c r="R202" i="1"/>
  <c r="U201" i="1"/>
  <c r="T201" i="1"/>
  <c r="S201" i="1"/>
  <c r="R201" i="1"/>
  <c r="U200" i="1"/>
  <c r="T200" i="1"/>
  <c r="S200" i="1"/>
  <c r="R200" i="1"/>
  <c r="U199" i="1"/>
  <c r="T199" i="1"/>
  <c r="S199" i="1"/>
  <c r="R199" i="1"/>
  <c r="U198" i="1"/>
  <c r="T198" i="1"/>
  <c r="S198" i="1"/>
  <c r="R198" i="1"/>
  <c r="U197" i="1"/>
  <c r="T197" i="1"/>
  <c r="S197" i="1"/>
  <c r="R197" i="1"/>
  <c r="U196" i="1"/>
  <c r="T196" i="1"/>
  <c r="S196" i="1"/>
  <c r="R196" i="1"/>
  <c r="U195" i="1"/>
  <c r="T195" i="1"/>
  <c r="S195" i="1"/>
  <c r="R195" i="1"/>
  <c r="U194" i="1"/>
  <c r="T194" i="1"/>
  <c r="S194" i="1"/>
  <c r="R194" i="1"/>
  <c r="U193" i="1"/>
  <c r="T193" i="1"/>
  <c r="S193" i="1"/>
  <c r="R193" i="1"/>
  <c r="U192" i="1"/>
  <c r="T192" i="1"/>
  <c r="S192" i="1"/>
  <c r="R192" i="1"/>
  <c r="U191" i="1"/>
  <c r="T191" i="1"/>
  <c r="S191" i="1"/>
  <c r="R191" i="1"/>
  <c r="U190" i="1"/>
  <c r="T190" i="1"/>
  <c r="S190" i="1"/>
  <c r="R190" i="1"/>
  <c r="U102" i="1"/>
  <c r="T102" i="1"/>
  <c r="S102" i="1"/>
  <c r="R102" i="1"/>
  <c r="U188" i="1"/>
  <c r="T188" i="1"/>
  <c r="S188" i="1"/>
  <c r="R188" i="1"/>
  <c r="U187" i="1"/>
  <c r="T187" i="1"/>
  <c r="S187" i="1"/>
  <c r="R187" i="1"/>
  <c r="U186" i="1"/>
  <c r="T186" i="1"/>
  <c r="S186" i="1"/>
  <c r="R186" i="1"/>
  <c r="U185" i="1"/>
  <c r="T185" i="1"/>
  <c r="S185" i="1"/>
  <c r="R185" i="1"/>
  <c r="U184" i="1"/>
  <c r="T184" i="1"/>
  <c r="S184" i="1"/>
  <c r="R184" i="1"/>
  <c r="U183" i="1"/>
  <c r="T183" i="1"/>
  <c r="S183" i="1"/>
  <c r="R183" i="1"/>
  <c r="U182" i="1"/>
  <c r="T182" i="1"/>
  <c r="S182" i="1"/>
  <c r="R182" i="1"/>
  <c r="U62" i="1"/>
  <c r="T62" i="1"/>
  <c r="S62" i="1"/>
  <c r="R62" i="1"/>
  <c r="AM180" i="1"/>
  <c r="AL180" i="1"/>
  <c r="AK180" i="1"/>
  <c r="AJ180" i="1"/>
  <c r="AM179" i="1"/>
  <c r="AL179" i="1"/>
  <c r="AK179" i="1"/>
  <c r="AJ179" i="1"/>
  <c r="AM178" i="1"/>
  <c r="AL178" i="1"/>
  <c r="AK178" i="1"/>
  <c r="AJ178" i="1"/>
  <c r="AM160" i="1"/>
  <c r="AL160" i="1"/>
  <c r="AK160" i="1"/>
  <c r="AJ160" i="1"/>
  <c r="AM176" i="1"/>
  <c r="AL176" i="1"/>
  <c r="AK176" i="1"/>
  <c r="AJ176" i="1"/>
  <c r="AM138" i="1"/>
  <c r="AL138" i="1"/>
  <c r="AK138" i="1"/>
  <c r="AJ138" i="1"/>
  <c r="AM173" i="1"/>
  <c r="AL173" i="1"/>
  <c r="AK173" i="1"/>
  <c r="AJ173" i="1"/>
  <c r="AM172" i="1"/>
  <c r="AL172" i="1"/>
  <c r="AK172" i="1"/>
  <c r="AJ172" i="1"/>
  <c r="AM171" i="1"/>
  <c r="AL171" i="1"/>
  <c r="AK171" i="1"/>
  <c r="AJ171" i="1"/>
  <c r="AM170" i="1"/>
  <c r="AL170" i="1"/>
  <c r="AK170" i="1"/>
  <c r="AJ170" i="1"/>
  <c r="AM169" i="1"/>
  <c r="AL169" i="1"/>
  <c r="AK169" i="1"/>
  <c r="AJ169" i="1"/>
  <c r="AM168" i="1"/>
  <c r="AL168" i="1"/>
  <c r="AK168" i="1"/>
  <c r="AJ168" i="1"/>
  <c r="AM166" i="1"/>
  <c r="AL166" i="1"/>
  <c r="AK166" i="1"/>
  <c r="AJ166" i="1"/>
  <c r="AM164" i="1"/>
  <c r="AL164" i="1"/>
  <c r="AK164" i="1"/>
  <c r="AJ164" i="1"/>
  <c r="AM163" i="1"/>
  <c r="AL163" i="1"/>
  <c r="AK163" i="1"/>
  <c r="AJ163" i="1"/>
  <c r="AM162" i="1"/>
  <c r="AL162" i="1"/>
  <c r="AK162" i="1"/>
  <c r="AJ162" i="1"/>
  <c r="AM161" i="1"/>
  <c r="AL161" i="1"/>
  <c r="AK161" i="1"/>
  <c r="AJ161" i="1"/>
  <c r="AM151" i="1"/>
  <c r="AL151" i="1"/>
  <c r="AK151" i="1"/>
  <c r="AJ151" i="1"/>
  <c r="AM143" i="1"/>
  <c r="AL143" i="1"/>
  <c r="AK143" i="1"/>
  <c r="AJ143" i="1"/>
  <c r="AM158" i="1"/>
  <c r="AL158" i="1"/>
  <c r="AK158" i="1"/>
  <c r="AJ158" i="1"/>
  <c r="AM157" i="1"/>
  <c r="AL157" i="1"/>
  <c r="AK157" i="1"/>
  <c r="AJ157" i="1"/>
  <c r="AM156" i="1"/>
  <c r="AL156" i="1"/>
  <c r="AK156" i="1"/>
  <c r="AJ156" i="1"/>
  <c r="AM154" i="1"/>
  <c r="AL154" i="1"/>
  <c r="AK154" i="1"/>
  <c r="AJ154" i="1"/>
  <c r="AM153" i="1"/>
  <c r="AL153" i="1"/>
  <c r="AK153" i="1"/>
  <c r="AJ153" i="1"/>
  <c r="AM152" i="1"/>
  <c r="AL152" i="1"/>
  <c r="AK152" i="1"/>
  <c r="AJ152" i="1"/>
  <c r="AM150" i="1"/>
  <c r="AL150" i="1"/>
  <c r="AK150" i="1"/>
  <c r="AJ150" i="1"/>
  <c r="AM149" i="1"/>
  <c r="AL149" i="1"/>
  <c r="AK149" i="1"/>
  <c r="AJ149" i="1"/>
  <c r="AM148" i="1"/>
  <c r="AL148" i="1"/>
  <c r="AK148" i="1"/>
  <c r="AJ148" i="1"/>
  <c r="AM147" i="1"/>
  <c r="AL147" i="1"/>
  <c r="AK147" i="1"/>
  <c r="AJ147" i="1"/>
  <c r="AM146" i="1"/>
  <c r="AL146" i="1"/>
  <c r="AK146" i="1"/>
  <c r="AJ146" i="1"/>
  <c r="AM145" i="1"/>
  <c r="AL145" i="1"/>
  <c r="AK145" i="1"/>
  <c r="AJ145" i="1"/>
  <c r="AM243" i="1"/>
  <c r="AL243" i="1"/>
  <c r="AK243" i="1"/>
  <c r="AJ243" i="1"/>
  <c r="AM208" i="1"/>
  <c r="AL208" i="1"/>
  <c r="AK208" i="1"/>
  <c r="AJ208" i="1"/>
  <c r="AM142" i="1"/>
  <c r="AL142" i="1"/>
  <c r="AK142" i="1"/>
  <c r="AJ142" i="1"/>
  <c r="AM155" i="1"/>
  <c r="AL155" i="1"/>
  <c r="AK155" i="1"/>
  <c r="AJ155" i="1"/>
  <c r="AM141" i="1"/>
  <c r="AL141" i="1"/>
  <c r="AK141" i="1"/>
  <c r="AJ141" i="1"/>
  <c r="AM140" i="1"/>
  <c r="AL140" i="1"/>
  <c r="AK140" i="1"/>
  <c r="AJ140" i="1"/>
  <c r="AM139" i="1"/>
  <c r="AL139" i="1"/>
  <c r="AK139" i="1"/>
  <c r="AJ139" i="1"/>
  <c r="AM137" i="1"/>
  <c r="AL137" i="1"/>
  <c r="AK137" i="1"/>
  <c r="AJ137" i="1"/>
  <c r="AM136" i="1"/>
  <c r="AL136" i="1"/>
  <c r="AK136" i="1"/>
  <c r="AJ136" i="1"/>
  <c r="AM135" i="1"/>
  <c r="AL135" i="1"/>
  <c r="AK135" i="1"/>
  <c r="AJ135" i="1"/>
  <c r="AM134" i="1"/>
  <c r="AL134" i="1"/>
  <c r="AK134" i="1"/>
  <c r="AJ134" i="1"/>
  <c r="AM133" i="1"/>
  <c r="AL133" i="1"/>
  <c r="AK133" i="1"/>
  <c r="AJ133" i="1"/>
  <c r="AM132" i="1"/>
  <c r="AL132" i="1"/>
  <c r="AK132" i="1"/>
  <c r="AJ132" i="1"/>
  <c r="AM131" i="1"/>
  <c r="AL131" i="1"/>
  <c r="AK131" i="1"/>
  <c r="AJ131" i="1"/>
  <c r="AM130" i="1"/>
  <c r="AL130" i="1"/>
  <c r="AK130" i="1"/>
  <c r="AJ130" i="1"/>
  <c r="AM129" i="1"/>
  <c r="AL129" i="1"/>
  <c r="AK129" i="1"/>
  <c r="AJ129" i="1"/>
  <c r="AM128" i="1"/>
  <c r="AL128" i="1"/>
  <c r="AK128" i="1"/>
  <c r="AJ128" i="1"/>
  <c r="AM127" i="1"/>
  <c r="AL127" i="1"/>
  <c r="AK127" i="1"/>
  <c r="AJ127" i="1"/>
  <c r="AM126" i="1"/>
  <c r="AL126" i="1"/>
  <c r="AK126" i="1"/>
  <c r="AJ126" i="1"/>
  <c r="AM125" i="1"/>
  <c r="AL125" i="1"/>
  <c r="AK125" i="1"/>
  <c r="AJ125" i="1"/>
  <c r="AM124" i="1"/>
  <c r="AL124" i="1"/>
  <c r="AK124" i="1"/>
  <c r="AJ124" i="1"/>
  <c r="AM118" i="1"/>
  <c r="AL118" i="1"/>
  <c r="AK118" i="1"/>
  <c r="AJ118" i="1"/>
  <c r="AM123" i="1"/>
  <c r="AL123" i="1"/>
  <c r="AK123" i="1"/>
  <c r="AJ123" i="1"/>
  <c r="AM122" i="1"/>
  <c r="AL122" i="1"/>
  <c r="AK122" i="1"/>
  <c r="AJ122" i="1"/>
  <c r="AM219" i="1"/>
  <c r="AL219" i="1"/>
  <c r="AK219" i="1"/>
  <c r="AJ219" i="1"/>
  <c r="AM174" i="1"/>
  <c r="AL174" i="1"/>
  <c r="AK174" i="1"/>
  <c r="AJ174" i="1"/>
  <c r="AM121" i="1"/>
  <c r="AL121" i="1"/>
  <c r="AK121" i="1"/>
  <c r="AJ121" i="1"/>
  <c r="AM120" i="1"/>
  <c r="AL120" i="1"/>
  <c r="AK120" i="1"/>
  <c r="AJ120" i="1"/>
  <c r="AM119" i="1"/>
  <c r="AL119" i="1"/>
  <c r="AK119" i="1"/>
  <c r="AJ119" i="1"/>
  <c r="AM117" i="1"/>
  <c r="AL117" i="1"/>
  <c r="AK117" i="1"/>
  <c r="AJ117" i="1"/>
  <c r="AM116" i="1"/>
  <c r="AL116" i="1"/>
  <c r="AK116" i="1"/>
  <c r="AJ116" i="1"/>
  <c r="AM115" i="1"/>
  <c r="AL115" i="1"/>
  <c r="AK115" i="1"/>
  <c r="AJ115" i="1"/>
  <c r="AM5" i="1"/>
  <c r="AL5" i="1"/>
  <c r="AK5" i="1"/>
  <c r="AJ5" i="1"/>
  <c r="AM232" i="1"/>
  <c r="AL232" i="1"/>
  <c r="AK232" i="1"/>
  <c r="AJ232" i="1"/>
  <c r="AM229" i="1"/>
  <c r="AL229" i="1"/>
  <c r="AK229" i="1"/>
  <c r="AJ229" i="1"/>
  <c r="AM189" i="1"/>
  <c r="AL189" i="1"/>
  <c r="AK189" i="1"/>
  <c r="AJ189" i="1"/>
  <c r="AM114" i="1"/>
  <c r="AL114" i="1"/>
  <c r="AK114" i="1"/>
  <c r="AJ114" i="1"/>
  <c r="AM113" i="1"/>
  <c r="AL113" i="1"/>
  <c r="AK113" i="1"/>
  <c r="AJ113" i="1"/>
  <c r="AM165" i="1"/>
  <c r="AL165" i="1"/>
  <c r="AK165" i="1"/>
  <c r="AJ165" i="1"/>
  <c r="AM112" i="1"/>
  <c r="AL112" i="1"/>
  <c r="AK112" i="1"/>
  <c r="AJ112" i="1"/>
  <c r="AM111" i="1"/>
  <c r="AL111" i="1"/>
  <c r="AK111" i="1"/>
  <c r="AJ111" i="1"/>
  <c r="AM110" i="1"/>
  <c r="AL110" i="1"/>
  <c r="AK110" i="1"/>
  <c r="AJ110" i="1"/>
  <c r="AM109" i="1"/>
  <c r="AL109" i="1"/>
  <c r="AK109" i="1"/>
  <c r="AJ109" i="1"/>
  <c r="AM108" i="1"/>
  <c r="AL108" i="1"/>
  <c r="AK108" i="1"/>
  <c r="AJ108" i="1"/>
  <c r="AM107" i="1"/>
  <c r="AL107" i="1"/>
  <c r="AK107" i="1"/>
  <c r="AJ107" i="1"/>
  <c r="AM106" i="1"/>
  <c r="AL106" i="1"/>
  <c r="AK106" i="1"/>
  <c r="AJ106" i="1"/>
  <c r="AM105" i="1"/>
  <c r="AL105" i="1"/>
  <c r="AK105" i="1"/>
  <c r="AJ105" i="1"/>
  <c r="AM104" i="1"/>
  <c r="AL104" i="1"/>
  <c r="AK104" i="1"/>
  <c r="AJ104" i="1"/>
  <c r="AM103" i="1"/>
  <c r="AL103" i="1"/>
  <c r="AK103" i="1"/>
  <c r="AJ103" i="1"/>
  <c r="AM167" i="1"/>
  <c r="AL167" i="1"/>
  <c r="AK167" i="1"/>
  <c r="AJ167" i="1"/>
  <c r="AM159" i="1"/>
  <c r="AL159" i="1"/>
  <c r="AK159" i="1"/>
  <c r="AJ159" i="1"/>
  <c r="AM101" i="1"/>
  <c r="AL101" i="1"/>
  <c r="AK101" i="1"/>
  <c r="AJ101" i="1"/>
  <c r="AM100" i="1"/>
  <c r="AL100" i="1"/>
  <c r="AK100" i="1"/>
  <c r="AJ100" i="1"/>
  <c r="AM99" i="1"/>
  <c r="AL99" i="1"/>
  <c r="AK99" i="1"/>
  <c r="AJ99" i="1"/>
  <c r="AM98" i="1"/>
  <c r="AL98" i="1"/>
  <c r="AK98" i="1"/>
  <c r="AJ98" i="1"/>
  <c r="AM97" i="1"/>
  <c r="AL97" i="1"/>
  <c r="AK97" i="1"/>
  <c r="AJ97" i="1"/>
  <c r="AM96" i="1"/>
  <c r="AL96" i="1"/>
  <c r="AK96" i="1"/>
  <c r="AJ96" i="1"/>
  <c r="AM95" i="1"/>
  <c r="AL95" i="1"/>
  <c r="AK95" i="1"/>
  <c r="AJ95" i="1"/>
  <c r="AM94" i="1"/>
  <c r="AL94" i="1"/>
  <c r="AK94" i="1"/>
  <c r="AJ94" i="1"/>
  <c r="AM93" i="1"/>
  <c r="AL93" i="1"/>
  <c r="AK93" i="1"/>
  <c r="AJ93" i="1"/>
  <c r="AM92" i="1"/>
  <c r="AL92" i="1"/>
  <c r="AK92" i="1"/>
  <c r="AJ92" i="1"/>
  <c r="AM91" i="1"/>
  <c r="AL91" i="1"/>
  <c r="AK91" i="1"/>
  <c r="AJ91" i="1"/>
  <c r="AM90" i="1"/>
  <c r="AL90" i="1"/>
  <c r="AK90" i="1"/>
  <c r="AJ90" i="1"/>
  <c r="AM89" i="1"/>
  <c r="AL89" i="1"/>
  <c r="AK89" i="1"/>
  <c r="AJ89" i="1"/>
  <c r="AM88" i="1"/>
  <c r="AL88" i="1"/>
  <c r="AK88" i="1"/>
  <c r="AJ88" i="1"/>
  <c r="AM87" i="1"/>
  <c r="AL87" i="1"/>
  <c r="AK87" i="1"/>
  <c r="AJ87" i="1"/>
  <c r="AM85" i="1"/>
  <c r="AL85" i="1"/>
  <c r="AK85" i="1"/>
  <c r="AJ85" i="1"/>
  <c r="AM84" i="1"/>
  <c r="AL84" i="1"/>
  <c r="AK84" i="1"/>
  <c r="AJ84" i="1"/>
  <c r="AM177" i="1"/>
  <c r="AL177" i="1"/>
  <c r="AK177" i="1"/>
  <c r="AJ177" i="1"/>
  <c r="AM83" i="1"/>
  <c r="AL83" i="1"/>
  <c r="AK83" i="1"/>
  <c r="AJ83" i="1"/>
  <c r="AM82" i="1"/>
  <c r="AL82" i="1"/>
  <c r="AK82" i="1"/>
  <c r="AJ82" i="1"/>
  <c r="AM81" i="1"/>
  <c r="AL81" i="1"/>
  <c r="AK81" i="1"/>
  <c r="AJ81" i="1"/>
  <c r="AM80" i="1"/>
  <c r="AL80" i="1"/>
  <c r="AK80" i="1"/>
  <c r="AJ80" i="1"/>
  <c r="AM79" i="1"/>
  <c r="AL79" i="1"/>
  <c r="AK79" i="1"/>
  <c r="AJ79" i="1"/>
  <c r="AM63" i="1"/>
  <c r="AL63" i="1"/>
  <c r="AK63" i="1"/>
  <c r="AJ63" i="1"/>
  <c r="AM78" i="1"/>
  <c r="AL78" i="1"/>
  <c r="AK78" i="1"/>
  <c r="AJ78" i="1"/>
  <c r="AM77" i="1"/>
  <c r="AL77" i="1"/>
  <c r="AK77" i="1"/>
  <c r="AJ77" i="1"/>
  <c r="AM76" i="1"/>
  <c r="AL76" i="1"/>
  <c r="AK76" i="1"/>
  <c r="AJ76" i="1"/>
  <c r="AL3" i="1"/>
  <c r="AK3" i="1"/>
  <c r="AJ3" i="1"/>
  <c r="AM74" i="1"/>
  <c r="AL74" i="1"/>
  <c r="AK74" i="1"/>
  <c r="AJ74" i="1"/>
  <c r="AM73" i="1"/>
  <c r="AL73" i="1"/>
  <c r="AK73" i="1"/>
  <c r="AJ73" i="1"/>
  <c r="AM72" i="1"/>
  <c r="AL72" i="1"/>
  <c r="AK72" i="1"/>
  <c r="AJ72" i="1"/>
  <c r="AM70" i="1"/>
  <c r="AL70" i="1"/>
  <c r="AK70" i="1"/>
  <c r="AJ70" i="1"/>
  <c r="AM69" i="1"/>
  <c r="AL69" i="1"/>
  <c r="AK69" i="1"/>
  <c r="AJ69" i="1"/>
  <c r="AM68" i="1"/>
  <c r="AL68" i="1"/>
  <c r="AK68" i="1"/>
  <c r="AJ68" i="1"/>
  <c r="AM67" i="1"/>
  <c r="AL67" i="1"/>
  <c r="AK67" i="1"/>
  <c r="AJ67" i="1"/>
  <c r="AM65" i="1"/>
  <c r="AL65" i="1"/>
  <c r="AK65" i="1"/>
  <c r="AJ65" i="1"/>
  <c r="AM64" i="1"/>
  <c r="AL64" i="1"/>
  <c r="AK64" i="1"/>
  <c r="AJ64" i="1"/>
  <c r="AM75" i="1"/>
  <c r="AL75" i="1"/>
  <c r="AK75" i="1"/>
  <c r="AJ75" i="1"/>
  <c r="AM61" i="1"/>
  <c r="AL61" i="1"/>
  <c r="AK61" i="1"/>
  <c r="AJ61" i="1"/>
  <c r="AM60" i="1"/>
  <c r="AL60" i="1"/>
  <c r="AK60" i="1"/>
  <c r="AJ60" i="1"/>
  <c r="AM4" i="1"/>
  <c r="AL4" i="1"/>
  <c r="AK4" i="1"/>
  <c r="AJ4" i="1"/>
  <c r="AM58" i="1"/>
  <c r="AL58" i="1"/>
  <c r="AK58" i="1"/>
  <c r="AJ58" i="1"/>
  <c r="AM57" i="1"/>
  <c r="AL57" i="1"/>
  <c r="AK57" i="1"/>
  <c r="AJ57" i="1"/>
  <c r="AM56" i="1"/>
  <c r="AL56" i="1"/>
  <c r="AK56" i="1"/>
  <c r="AJ56" i="1"/>
  <c r="AM55" i="1"/>
  <c r="AL55" i="1"/>
  <c r="AK55" i="1"/>
  <c r="AJ55" i="1"/>
  <c r="AM54" i="1"/>
  <c r="AL54" i="1"/>
  <c r="AK54" i="1"/>
  <c r="AJ54" i="1"/>
  <c r="AM53" i="1"/>
  <c r="AL53" i="1"/>
  <c r="AK53" i="1"/>
  <c r="AJ53" i="1"/>
  <c r="AM52" i="1"/>
  <c r="AL52" i="1"/>
  <c r="AK52" i="1"/>
  <c r="AJ52" i="1"/>
  <c r="AM51" i="1"/>
  <c r="AL51" i="1"/>
  <c r="AK51" i="1"/>
  <c r="AJ51" i="1"/>
  <c r="AM50" i="1"/>
  <c r="AL50" i="1"/>
  <c r="AK50" i="1"/>
  <c r="AJ50" i="1"/>
  <c r="AM214" i="1"/>
  <c r="AL214" i="1"/>
  <c r="AK214" i="1"/>
  <c r="AJ214" i="1"/>
  <c r="AM49" i="1"/>
  <c r="AL49" i="1"/>
  <c r="AK49" i="1"/>
  <c r="AJ49" i="1"/>
  <c r="AM48" i="1"/>
  <c r="AL48" i="1"/>
  <c r="AK48" i="1"/>
  <c r="AJ48" i="1"/>
  <c r="AM47" i="1"/>
  <c r="AL47" i="1"/>
  <c r="AK47" i="1"/>
  <c r="AJ47" i="1"/>
  <c r="AM46" i="1"/>
  <c r="AL46" i="1"/>
  <c r="AK46" i="1"/>
  <c r="AJ46" i="1"/>
  <c r="AM45" i="1"/>
  <c r="AL45" i="1"/>
  <c r="AK45" i="1"/>
  <c r="AJ45" i="1"/>
  <c r="AM44" i="1"/>
  <c r="AL44" i="1"/>
  <c r="AK44" i="1"/>
  <c r="AJ44" i="1"/>
  <c r="AM43" i="1"/>
  <c r="AL43" i="1"/>
  <c r="AK43" i="1"/>
  <c r="AJ43" i="1"/>
  <c r="AM41" i="1"/>
  <c r="AL41" i="1"/>
  <c r="AK41" i="1"/>
  <c r="AJ41" i="1"/>
  <c r="AM40" i="1"/>
  <c r="AL40" i="1"/>
  <c r="AK40" i="1"/>
  <c r="AJ40" i="1"/>
  <c r="AM39" i="1"/>
  <c r="AL39" i="1"/>
  <c r="AK39" i="1"/>
  <c r="AJ39" i="1"/>
  <c r="AM38" i="1"/>
  <c r="AL38" i="1"/>
  <c r="AK38" i="1"/>
  <c r="AJ38" i="1"/>
  <c r="AM37" i="1"/>
  <c r="AL37" i="1"/>
  <c r="AK37" i="1"/>
  <c r="AJ37" i="1"/>
  <c r="AM36" i="1"/>
  <c r="AL36" i="1"/>
  <c r="AK36" i="1"/>
  <c r="AJ36" i="1"/>
  <c r="AM35" i="1"/>
  <c r="AL35" i="1"/>
  <c r="AK35" i="1"/>
  <c r="AJ35" i="1"/>
  <c r="AM34" i="1"/>
  <c r="AL34" i="1"/>
  <c r="AK34" i="1"/>
  <c r="AJ34" i="1"/>
  <c r="AM33" i="1"/>
  <c r="AL33" i="1"/>
  <c r="AK33" i="1"/>
  <c r="AJ33" i="1"/>
  <c r="AM32" i="1"/>
  <c r="AL32" i="1"/>
  <c r="AK32" i="1"/>
  <c r="AJ32" i="1"/>
  <c r="AM31" i="1"/>
  <c r="AL31" i="1"/>
  <c r="AK31" i="1"/>
  <c r="AJ31" i="1"/>
  <c r="AM30" i="1"/>
  <c r="AL30" i="1"/>
  <c r="AK30" i="1"/>
  <c r="AJ30" i="1"/>
  <c r="AM86" i="1"/>
  <c r="AL86" i="1"/>
  <c r="AK86" i="1"/>
  <c r="AJ86" i="1"/>
  <c r="AM29" i="1"/>
  <c r="AL29" i="1"/>
  <c r="AK29" i="1"/>
  <c r="AJ29" i="1"/>
  <c r="AM42" i="1"/>
  <c r="AL42" i="1"/>
  <c r="AK42" i="1"/>
  <c r="AJ42" i="1"/>
  <c r="AM28" i="1"/>
  <c r="AL28" i="1"/>
  <c r="AK28" i="1"/>
  <c r="AJ28" i="1"/>
  <c r="AM27" i="1"/>
  <c r="AL27" i="1"/>
  <c r="AK27" i="1"/>
  <c r="AJ27" i="1"/>
  <c r="AM26" i="1"/>
  <c r="AL26" i="1"/>
  <c r="AK26" i="1"/>
  <c r="AJ26" i="1"/>
  <c r="AM25" i="1"/>
  <c r="AL25" i="1"/>
  <c r="AK25" i="1"/>
  <c r="AJ25" i="1"/>
  <c r="AM24" i="1"/>
  <c r="AL24" i="1"/>
  <c r="AK24" i="1"/>
  <c r="AJ24" i="1"/>
  <c r="AM23" i="1"/>
  <c r="AL23" i="1"/>
  <c r="AK23" i="1"/>
  <c r="AJ23" i="1"/>
  <c r="AM22" i="1"/>
  <c r="AL22" i="1"/>
  <c r="AK22" i="1"/>
  <c r="AJ22" i="1"/>
  <c r="AM7" i="1"/>
  <c r="AL7" i="1"/>
  <c r="AK7" i="1"/>
  <c r="AJ7" i="1"/>
  <c r="AM21" i="1"/>
  <c r="AL21" i="1"/>
  <c r="AK21" i="1"/>
  <c r="AJ21" i="1"/>
  <c r="AM20" i="1"/>
  <c r="AL20" i="1"/>
  <c r="AK20" i="1"/>
  <c r="AJ20" i="1"/>
  <c r="AM19" i="1"/>
  <c r="AL19" i="1"/>
  <c r="AK19" i="1"/>
  <c r="AJ19" i="1"/>
  <c r="AM18" i="1"/>
  <c r="AL18" i="1"/>
  <c r="AK18" i="1"/>
  <c r="AJ18" i="1"/>
  <c r="AM17" i="1"/>
  <c r="AL17" i="1"/>
  <c r="AK17" i="1"/>
  <c r="AJ17" i="1"/>
  <c r="AM71" i="1"/>
  <c r="AL71" i="1"/>
  <c r="AK71" i="1"/>
  <c r="AJ71" i="1"/>
  <c r="AM16" i="1"/>
  <c r="AL16" i="1"/>
  <c r="AK16" i="1"/>
  <c r="AJ16" i="1"/>
  <c r="AM15" i="1"/>
  <c r="AL15" i="1"/>
  <c r="AK15" i="1"/>
  <c r="AJ15" i="1"/>
  <c r="AM14" i="1"/>
  <c r="AL14" i="1"/>
  <c r="AK14" i="1"/>
  <c r="AJ14" i="1"/>
  <c r="AM13" i="1"/>
  <c r="AL13" i="1"/>
  <c r="AK13" i="1"/>
  <c r="AJ13" i="1"/>
  <c r="AM12" i="1"/>
  <c r="AL12" i="1"/>
  <c r="AK12" i="1"/>
  <c r="AJ12" i="1"/>
  <c r="AM11" i="1"/>
  <c r="AL11" i="1"/>
  <c r="AK11" i="1"/>
  <c r="AJ11" i="1"/>
  <c r="AM6" i="1"/>
  <c r="AL6" i="1"/>
  <c r="AK6" i="1"/>
  <c r="AJ6" i="1"/>
  <c r="AM10" i="1"/>
  <c r="AL10" i="1"/>
  <c r="AK10" i="1"/>
  <c r="AJ10" i="1"/>
  <c r="AM9" i="1"/>
  <c r="AL9" i="1"/>
  <c r="AK9" i="1"/>
  <c r="AJ9" i="1"/>
  <c r="AM8" i="1"/>
  <c r="AL8" i="1"/>
  <c r="AK8" i="1"/>
  <c r="AJ8" i="1"/>
  <c r="AM59" i="1"/>
  <c r="AL59" i="1"/>
  <c r="AK59" i="1"/>
  <c r="AJ59" i="1"/>
  <c r="AM252" i="1"/>
  <c r="AL252" i="1"/>
  <c r="AK252" i="1"/>
  <c r="AJ252" i="1"/>
  <c r="U180" i="1"/>
  <c r="T180" i="1"/>
  <c r="S180" i="1"/>
  <c r="R180" i="1"/>
  <c r="U179" i="1"/>
  <c r="T179" i="1"/>
  <c r="S179" i="1"/>
  <c r="R179" i="1"/>
  <c r="U178" i="1"/>
  <c r="T178" i="1"/>
  <c r="S178" i="1"/>
  <c r="R178" i="1"/>
  <c r="U160" i="1"/>
  <c r="T160" i="1"/>
  <c r="S160" i="1"/>
  <c r="R160" i="1"/>
  <c r="U176" i="1"/>
  <c r="T176" i="1"/>
  <c r="S176" i="1"/>
  <c r="R176" i="1"/>
  <c r="U138" i="1"/>
  <c r="T138" i="1"/>
  <c r="S138" i="1"/>
  <c r="R138" i="1"/>
  <c r="U173" i="1"/>
  <c r="T173" i="1"/>
  <c r="S173" i="1"/>
  <c r="R173" i="1"/>
  <c r="U172" i="1"/>
  <c r="T172" i="1"/>
  <c r="S172" i="1"/>
  <c r="R172" i="1"/>
  <c r="U171" i="1"/>
  <c r="T171" i="1"/>
  <c r="S171" i="1"/>
  <c r="R171" i="1"/>
  <c r="U170" i="1"/>
  <c r="T170" i="1"/>
  <c r="S170" i="1"/>
  <c r="R170" i="1"/>
  <c r="U169" i="1"/>
  <c r="T169" i="1"/>
  <c r="S169" i="1"/>
  <c r="R169" i="1"/>
  <c r="U168" i="1"/>
  <c r="T168" i="1"/>
  <c r="S168" i="1"/>
  <c r="R168" i="1"/>
  <c r="U166" i="1"/>
  <c r="T166" i="1"/>
  <c r="S166" i="1"/>
  <c r="R166" i="1"/>
  <c r="U164" i="1"/>
  <c r="T164" i="1"/>
  <c r="S164" i="1"/>
  <c r="R164" i="1"/>
  <c r="U163" i="1"/>
  <c r="T163" i="1"/>
  <c r="S163" i="1"/>
  <c r="R163" i="1"/>
  <c r="U162" i="1"/>
  <c r="T162" i="1"/>
  <c r="S162" i="1"/>
  <c r="R162" i="1"/>
  <c r="U161" i="1"/>
  <c r="T161" i="1"/>
  <c r="S161" i="1"/>
  <c r="R161" i="1"/>
  <c r="U151" i="1"/>
  <c r="T151" i="1"/>
  <c r="S151" i="1"/>
  <c r="R151" i="1"/>
  <c r="U143" i="1"/>
  <c r="T143" i="1"/>
  <c r="S143" i="1"/>
  <c r="R143" i="1"/>
  <c r="U158" i="1"/>
  <c r="T158" i="1"/>
  <c r="S158" i="1"/>
  <c r="R158" i="1"/>
  <c r="U157" i="1"/>
  <c r="T157" i="1"/>
  <c r="S157" i="1"/>
  <c r="R157" i="1"/>
  <c r="U156" i="1"/>
  <c r="T156" i="1"/>
  <c r="S156" i="1"/>
  <c r="R156" i="1"/>
  <c r="U154" i="1"/>
  <c r="T154" i="1"/>
  <c r="S154" i="1"/>
  <c r="R154" i="1"/>
  <c r="U153" i="1"/>
  <c r="T153" i="1"/>
  <c r="S153" i="1"/>
  <c r="R153" i="1"/>
  <c r="U152" i="1"/>
  <c r="T152" i="1"/>
  <c r="S152" i="1"/>
  <c r="R152" i="1"/>
  <c r="U150" i="1"/>
  <c r="T150" i="1"/>
  <c r="S150" i="1"/>
  <c r="R150" i="1"/>
  <c r="U149" i="1"/>
  <c r="T149" i="1"/>
  <c r="S149" i="1"/>
  <c r="R149" i="1"/>
  <c r="U148" i="1"/>
  <c r="T148" i="1"/>
  <c r="S148" i="1"/>
  <c r="R148" i="1"/>
  <c r="U147" i="1"/>
  <c r="T147" i="1"/>
  <c r="S147" i="1"/>
  <c r="R147" i="1"/>
  <c r="U146" i="1"/>
  <c r="T146" i="1"/>
  <c r="S146" i="1"/>
  <c r="R146" i="1"/>
  <c r="U145" i="1"/>
  <c r="T145" i="1"/>
  <c r="S145" i="1"/>
  <c r="R145" i="1"/>
  <c r="U243" i="1"/>
  <c r="T243" i="1"/>
  <c r="S243" i="1"/>
  <c r="R243" i="1"/>
  <c r="U208" i="1"/>
  <c r="T208" i="1"/>
  <c r="S208" i="1"/>
  <c r="R208" i="1"/>
  <c r="U142" i="1"/>
  <c r="T142" i="1"/>
  <c r="S142" i="1"/>
  <c r="R142" i="1"/>
  <c r="U155" i="1"/>
  <c r="T155" i="1"/>
  <c r="S155" i="1"/>
  <c r="R155" i="1"/>
  <c r="U141" i="1"/>
  <c r="T141" i="1"/>
  <c r="S141" i="1"/>
  <c r="R141" i="1"/>
  <c r="U140" i="1"/>
  <c r="T140" i="1"/>
  <c r="S140" i="1"/>
  <c r="R140" i="1"/>
  <c r="U139" i="1"/>
  <c r="T139" i="1"/>
  <c r="S139" i="1"/>
  <c r="R139" i="1"/>
  <c r="U137" i="1"/>
  <c r="T137" i="1"/>
  <c r="S137" i="1"/>
  <c r="R137" i="1"/>
  <c r="U136" i="1"/>
  <c r="T136" i="1"/>
  <c r="S136" i="1"/>
  <c r="R136" i="1"/>
  <c r="U135" i="1"/>
  <c r="T135" i="1"/>
  <c r="S135" i="1"/>
  <c r="R135" i="1"/>
  <c r="U134" i="1"/>
  <c r="T134" i="1"/>
  <c r="S134" i="1"/>
  <c r="R134" i="1"/>
  <c r="U133" i="1"/>
  <c r="T133" i="1"/>
  <c r="S133" i="1"/>
  <c r="R133" i="1"/>
  <c r="U132" i="1"/>
  <c r="T132" i="1"/>
  <c r="S132" i="1"/>
  <c r="R132" i="1"/>
  <c r="U131" i="1"/>
  <c r="T131" i="1"/>
  <c r="S131" i="1"/>
  <c r="R131" i="1"/>
  <c r="U130" i="1"/>
  <c r="T130" i="1"/>
  <c r="S130" i="1"/>
  <c r="R130" i="1"/>
  <c r="U129" i="1"/>
  <c r="T129" i="1"/>
  <c r="S129" i="1"/>
  <c r="R129" i="1"/>
  <c r="U128" i="1"/>
  <c r="T128" i="1"/>
  <c r="S128" i="1"/>
  <c r="R128" i="1"/>
  <c r="U127" i="1"/>
  <c r="T127" i="1"/>
  <c r="S127" i="1"/>
  <c r="R127" i="1"/>
  <c r="U126" i="1"/>
  <c r="T126" i="1"/>
  <c r="S126" i="1"/>
  <c r="R126" i="1"/>
  <c r="U125" i="1"/>
  <c r="T125" i="1"/>
  <c r="S125" i="1"/>
  <c r="R125" i="1"/>
  <c r="U124" i="1"/>
  <c r="T124" i="1"/>
  <c r="S124" i="1"/>
  <c r="R124" i="1"/>
  <c r="U118" i="1"/>
  <c r="T118" i="1"/>
  <c r="S118" i="1"/>
  <c r="R118" i="1"/>
  <c r="U123" i="1"/>
  <c r="T123" i="1"/>
  <c r="S123" i="1"/>
  <c r="R123" i="1"/>
  <c r="U122" i="1"/>
  <c r="T122" i="1"/>
  <c r="S122" i="1"/>
  <c r="R122" i="1"/>
  <c r="U219" i="1"/>
  <c r="T219" i="1"/>
  <c r="S219" i="1"/>
  <c r="R219" i="1"/>
  <c r="U174" i="1"/>
  <c r="T174" i="1"/>
  <c r="S174" i="1"/>
  <c r="R174" i="1"/>
  <c r="U121" i="1"/>
  <c r="T121" i="1"/>
  <c r="S121" i="1"/>
  <c r="R121" i="1"/>
  <c r="U120" i="1"/>
  <c r="T120" i="1"/>
  <c r="S120" i="1"/>
  <c r="R120" i="1"/>
  <c r="U119" i="1"/>
  <c r="T119" i="1"/>
  <c r="S119" i="1"/>
  <c r="R119" i="1"/>
  <c r="U117" i="1"/>
  <c r="T117" i="1"/>
  <c r="S117" i="1"/>
  <c r="R117" i="1"/>
  <c r="U116" i="1"/>
  <c r="T116" i="1"/>
  <c r="S116" i="1"/>
  <c r="R116" i="1"/>
  <c r="U115" i="1"/>
  <c r="T115" i="1"/>
  <c r="S115" i="1"/>
  <c r="R115" i="1"/>
  <c r="U5" i="1"/>
  <c r="T5" i="1"/>
  <c r="S5" i="1"/>
  <c r="R5" i="1"/>
  <c r="U232" i="1"/>
  <c r="T232" i="1"/>
  <c r="S232" i="1"/>
  <c r="R232" i="1"/>
  <c r="U229" i="1"/>
  <c r="T229" i="1"/>
  <c r="S229" i="1"/>
  <c r="R229" i="1"/>
  <c r="U189" i="1"/>
  <c r="T189" i="1"/>
  <c r="S189" i="1"/>
  <c r="R189" i="1"/>
  <c r="U114" i="1"/>
  <c r="T114" i="1"/>
  <c r="S114" i="1"/>
  <c r="R114" i="1"/>
  <c r="U113" i="1"/>
  <c r="T113" i="1"/>
  <c r="S113" i="1"/>
  <c r="R113" i="1"/>
  <c r="U165" i="1"/>
  <c r="T165" i="1"/>
  <c r="S165" i="1"/>
  <c r="R165" i="1"/>
  <c r="U112" i="1"/>
  <c r="T112" i="1"/>
  <c r="S112" i="1"/>
  <c r="R112" i="1"/>
  <c r="U111" i="1"/>
  <c r="T111" i="1"/>
  <c r="S111" i="1"/>
  <c r="R111" i="1"/>
  <c r="U110" i="1"/>
  <c r="T110" i="1"/>
  <c r="S110" i="1"/>
  <c r="R110" i="1"/>
  <c r="U109" i="1"/>
  <c r="T109" i="1"/>
  <c r="S109" i="1"/>
  <c r="R109" i="1"/>
  <c r="U108" i="1"/>
  <c r="T108" i="1"/>
  <c r="S108" i="1"/>
  <c r="R108" i="1"/>
  <c r="U107" i="1"/>
  <c r="T107" i="1"/>
  <c r="S107" i="1"/>
  <c r="R107" i="1"/>
  <c r="U106" i="1"/>
  <c r="T106" i="1"/>
  <c r="S106" i="1"/>
  <c r="R106" i="1"/>
  <c r="U105" i="1"/>
  <c r="T105" i="1"/>
  <c r="S105" i="1"/>
  <c r="R105" i="1"/>
  <c r="U104" i="1"/>
  <c r="T104" i="1"/>
  <c r="S104" i="1"/>
  <c r="R104" i="1"/>
  <c r="U103" i="1"/>
  <c r="T103" i="1"/>
  <c r="S103" i="1"/>
  <c r="R103" i="1"/>
  <c r="U167" i="1"/>
  <c r="T167" i="1"/>
  <c r="S167" i="1"/>
  <c r="R167" i="1"/>
  <c r="U159" i="1"/>
  <c r="T159" i="1"/>
  <c r="S159" i="1"/>
  <c r="R159" i="1"/>
  <c r="U101" i="1"/>
  <c r="T101" i="1"/>
  <c r="S101" i="1"/>
  <c r="R101" i="1"/>
  <c r="U100" i="1"/>
  <c r="T100" i="1"/>
  <c r="S100" i="1"/>
  <c r="R100" i="1"/>
  <c r="U99" i="1"/>
  <c r="T99" i="1"/>
  <c r="S99" i="1"/>
  <c r="R99" i="1"/>
  <c r="U98" i="1"/>
  <c r="T98" i="1"/>
  <c r="S98" i="1"/>
  <c r="R98" i="1"/>
  <c r="U97" i="1"/>
  <c r="T97" i="1"/>
  <c r="S97" i="1"/>
  <c r="R97" i="1"/>
  <c r="U96" i="1"/>
  <c r="T96" i="1"/>
  <c r="S96" i="1"/>
  <c r="R96" i="1"/>
  <c r="U95" i="1"/>
  <c r="T95" i="1"/>
  <c r="S95" i="1"/>
  <c r="R95" i="1"/>
  <c r="U94" i="1"/>
  <c r="T94" i="1"/>
  <c r="S94" i="1"/>
  <c r="R94" i="1"/>
  <c r="U93" i="1"/>
  <c r="T93" i="1"/>
  <c r="S93" i="1"/>
  <c r="R93" i="1"/>
  <c r="U92" i="1"/>
  <c r="T92" i="1"/>
  <c r="S92" i="1"/>
  <c r="R92" i="1"/>
  <c r="U91" i="1"/>
  <c r="T91" i="1"/>
  <c r="S91" i="1"/>
  <c r="R91" i="1"/>
  <c r="U90" i="1"/>
  <c r="T90" i="1"/>
  <c r="S90" i="1"/>
  <c r="R90" i="1"/>
  <c r="U89" i="1"/>
  <c r="T89" i="1"/>
  <c r="S89" i="1"/>
  <c r="R89" i="1"/>
  <c r="U88" i="1"/>
  <c r="T88" i="1"/>
  <c r="S88" i="1"/>
  <c r="R88" i="1"/>
  <c r="U87" i="1"/>
  <c r="T87" i="1"/>
  <c r="S87" i="1"/>
  <c r="R87" i="1"/>
  <c r="U85" i="1"/>
  <c r="T85" i="1"/>
  <c r="S85" i="1"/>
  <c r="R85" i="1"/>
  <c r="U84" i="1"/>
  <c r="T84" i="1"/>
  <c r="S84" i="1"/>
  <c r="R84" i="1"/>
  <c r="U177" i="1"/>
  <c r="T177" i="1"/>
  <c r="S177" i="1"/>
  <c r="R177" i="1"/>
  <c r="U83" i="1"/>
  <c r="T83" i="1"/>
  <c r="S83" i="1"/>
  <c r="R83" i="1"/>
  <c r="U82" i="1"/>
  <c r="T82" i="1"/>
  <c r="S82" i="1"/>
  <c r="R82" i="1"/>
  <c r="U81" i="1"/>
  <c r="T81" i="1"/>
  <c r="S81" i="1"/>
  <c r="R81" i="1"/>
  <c r="U80" i="1"/>
  <c r="T80" i="1"/>
  <c r="S80" i="1"/>
  <c r="R80" i="1"/>
  <c r="U79" i="1"/>
  <c r="T79" i="1"/>
  <c r="S79" i="1"/>
  <c r="R79" i="1"/>
  <c r="U63" i="1"/>
  <c r="T63" i="1"/>
  <c r="S63" i="1"/>
  <c r="R63" i="1"/>
  <c r="U78" i="1"/>
  <c r="T78" i="1"/>
  <c r="S78" i="1"/>
  <c r="R78" i="1"/>
  <c r="U77" i="1"/>
  <c r="T77" i="1"/>
  <c r="S77" i="1"/>
  <c r="R77" i="1"/>
  <c r="U76" i="1"/>
  <c r="T76" i="1"/>
  <c r="S76" i="1"/>
  <c r="R76" i="1"/>
  <c r="T3" i="1"/>
  <c r="S3" i="1"/>
  <c r="R3" i="1"/>
  <c r="U74" i="1"/>
  <c r="T74" i="1"/>
  <c r="S74" i="1"/>
  <c r="R74" i="1"/>
  <c r="U73" i="1"/>
  <c r="T73" i="1"/>
  <c r="S73" i="1"/>
  <c r="R73" i="1"/>
  <c r="U72" i="1"/>
  <c r="T72" i="1"/>
  <c r="S72" i="1"/>
  <c r="R72" i="1"/>
  <c r="U70" i="1"/>
  <c r="T70" i="1"/>
  <c r="S70" i="1"/>
  <c r="R70" i="1"/>
  <c r="U69" i="1"/>
  <c r="T69" i="1"/>
  <c r="S69" i="1"/>
  <c r="R69" i="1"/>
  <c r="U68" i="1"/>
  <c r="T68" i="1"/>
  <c r="S68" i="1"/>
  <c r="R68" i="1"/>
  <c r="U67" i="1"/>
  <c r="T67" i="1"/>
  <c r="S67" i="1"/>
  <c r="R67" i="1"/>
  <c r="U65" i="1"/>
  <c r="T65" i="1"/>
  <c r="S65" i="1"/>
  <c r="R65" i="1"/>
  <c r="U64" i="1"/>
  <c r="T64" i="1"/>
  <c r="S64" i="1"/>
  <c r="R64" i="1"/>
  <c r="U75" i="1"/>
  <c r="T75" i="1"/>
  <c r="S75" i="1"/>
  <c r="R75" i="1"/>
  <c r="U61" i="1"/>
  <c r="T61" i="1"/>
  <c r="S61" i="1"/>
  <c r="R61" i="1"/>
  <c r="U60" i="1"/>
  <c r="T60" i="1"/>
  <c r="S60" i="1"/>
  <c r="R60" i="1"/>
  <c r="U4" i="1"/>
  <c r="T4" i="1"/>
  <c r="S4" i="1"/>
  <c r="R4" i="1"/>
  <c r="U58" i="1"/>
  <c r="T58" i="1"/>
  <c r="S58" i="1"/>
  <c r="R58" i="1"/>
  <c r="U57" i="1"/>
  <c r="T57" i="1"/>
  <c r="S57" i="1"/>
  <c r="R57" i="1"/>
  <c r="U56" i="1"/>
  <c r="T56" i="1"/>
  <c r="S56" i="1"/>
  <c r="R56" i="1"/>
  <c r="U55" i="1"/>
  <c r="T55" i="1"/>
  <c r="S55" i="1"/>
  <c r="R55" i="1"/>
  <c r="U54" i="1"/>
  <c r="T54" i="1"/>
  <c r="S54" i="1"/>
  <c r="R54" i="1"/>
  <c r="U53" i="1"/>
  <c r="T53" i="1"/>
  <c r="S53" i="1"/>
  <c r="R53" i="1"/>
  <c r="U52" i="1"/>
  <c r="T52" i="1"/>
  <c r="S52" i="1"/>
  <c r="R52" i="1"/>
  <c r="U51" i="1"/>
  <c r="T51" i="1"/>
  <c r="S51" i="1"/>
  <c r="R51" i="1"/>
  <c r="U50" i="1"/>
  <c r="T50" i="1"/>
  <c r="S50" i="1"/>
  <c r="R50" i="1"/>
  <c r="U214" i="1"/>
  <c r="T214" i="1"/>
  <c r="S214" i="1"/>
  <c r="R214" i="1"/>
  <c r="U49" i="1"/>
  <c r="T49" i="1"/>
  <c r="S49" i="1"/>
  <c r="R49" i="1"/>
  <c r="U48" i="1"/>
  <c r="T48" i="1"/>
  <c r="S48" i="1"/>
  <c r="R48" i="1"/>
  <c r="U47" i="1"/>
  <c r="T47" i="1"/>
  <c r="S47" i="1"/>
  <c r="R47" i="1"/>
  <c r="U46" i="1"/>
  <c r="T46" i="1"/>
  <c r="S46" i="1"/>
  <c r="R46" i="1"/>
  <c r="U45" i="1"/>
  <c r="T45" i="1"/>
  <c r="S45" i="1"/>
  <c r="R45" i="1"/>
  <c r="U44" i="1"/>
  <c r="T44" i="1"/>
  <c r="S44" i="1"/>
  <c r="R44" i="1"/>
  <c r="U43" i="1"/>
  <c r="T43" i="1"/>
  <c r="S43" i="1"/>
  <c r="R43" i="1"/>
  <c r="U41" i="1"/>
  <c r="T41" i="1"/>
  <c r="S41" i="1"/>
  <c r="R41" i="1"/>
  <c r="U40" i="1"/>
  <c r="T40" i="1"/>
  <c r="S40" i="1"/>
  <c r="R40" i="1"/>
  <c r="U39" i="1"/>
  <c r="T39" i="1"/>
  <c r="S39" i="1"/>
  <c r="R39" i="1"/>
  <c r="U38" i="1"/>
  <c r="T38" i="1"/>
  <c r="S38" i="1"/>
  <c r="R38" i="1"/>
  <c r="U37" i="1"/>
  <c r="T37" i="1"/>
  <c r="S37" i="1"/>
  <c r="R37" i="1"/>
  <c r="U36" i="1"/>
  <c r="T36" i="1"/>
  <c r="S36" i="1"/>
  <c r="R36" i="1"/>
  <c r="U35" i="1"/>
  <c r="T35" i="1"/>
  <c r="S35" i="1"/>
  <c r="R35" i="1"/>
  <c r="U34" i="1"/>
  <c r="T34" i="1"/>
  <c r="S34" i="1"/>
  <c r="R34" i="1"/>
  <c r="U33" i="1"/>
  <c r="T33" i="1"/>
  <c r="S33" i="1"/>
  <c r="R33" i="1"/>
  <c r="U32" i="1"/>
  <c r="T32" i="1"/>
  <c r="S32" i="1"/>
  <c r="R32" i="1"/>
  <c r="U31" i="1"/>
  <c r="T31" i="1"/>
  <c r="S31" i="1"/>
  <c r="R31" i="1"/>
  <c r="U30" i="1"/>
  <c r="T30" i="1"/>
  <c r="S30" i="1"/>
  <c r="R30" i="1"/>
  <c r="U86" i="1"/>
  <c r="T86" i="1"/>
  <c r="S86" i="1"/>
  <c r="R86" i="1"/>
  <c r="U29" i="1"/>
  <c r="T29" i="1"/>
  <c r="S29" i="1"/>
  <c r="R29" i="1"/>
  <c r="U42" i="1"/>
  <c r="T42" i="1"/>
  <c r="S42" i="1"/>
  <c r="R42" i="1"/>
  <c r="U28" i="1"/>
  <c r="T28" i="1"/>
  <c r="S28" i="1"/>
  <c r="R28" i="1"/>
  <c r="U27" i="1"/>
  <c r="T27" i="1"/>
  <c r="S27" i="1"/>
  <c r="R27" i="1"/>
  <c r="U26" i="1"/>
  <c r="T26" i="1"/>
  <c r="S26" i="1"/>
  <c r="R26" i="1"/>
  <c r="U25" i="1"/>
  <c r="T25" i="1"/>
  <c r="S25" i="1"/>
  <c r="R25" i="1"/>
  <c r="U24" i="1"/>
  <c r="T24" i="1"/>
  <c r="S24" i="1"/>
  <c r="R24" i="1"/>
  <c r="U23" i="1"/>
  <c r="T23" i="1"/>
  <c r="S23" i="1"/>
  <c r="R23" i="1"/>
  <c r="U22" i="1"/>
  <c r="T22" i="1"/>
  <c r="S22" i="1"/>
  <c r="R22" i="1"/>
  <c r="U7" i="1"/>
  <c r="T7" i="1"/>
  <c r="S7" i="1"/>
  <c r="R7" i="1"/>
  <c r="U21" i="1"/>
  <c r="T21" i="1"/>
  <c r="S21" i="1"/>
  <c r="R21" i="1"/>
  <c r="U20" i="1"/>
  <c r="T20" i="1"/>
  <c r="S20" i="1"/>
  <c r="R20" i="1"/>
  <c r="U19" i="1"/>
  <c r="T19" i="1"/>
  <c r="S19" i="1"/>
  <c r="R19" i="1"/>
  <c r="U18" i="1"/>
  <c r="T18" i="1"/>
  <c r="S18" i="1"/>
  <c r="R18" i="1"/>
  <c r="U17" i="1"/>
  <c r="T17" i="1"/>
  <c r="S17" i="1"/>
  <c r="R17" i="1"/>
  <c r="U71" i="1"/>
  <c r="T71" i="1"/>
  <c r="S71" i="1"/>
  <c r="R71" i="1"/>
  <c r="U16" i="1"/>
  <c r="T16" i="1"/>
  <c r="S16" i="1"/>
  <c r="R16" i="1"/>
  <c r="U15" i="1"/>
  <c r="T15" i="1"/>
  <c r="S15" i="1"/>
  <c r="R15" i="1"/>
  <c r="U14" i="1"/>
  <c r="T14" i="1"/>
  <c r="S14" i="1"/>
  <c r="R14" i="1"/>
  <c r="U13" i="1"/>
  <c r="T13" i="1"/>
  <c r="S13" i="1"/>
  <c r="R13" i="1"/>
  <c r="U12" i="1"/>
  <c r="T12" i="1"/>
  <c r="S12" i="1"/>
  <c r="R12" i="1"/>
  <c r="U11" i="1"/>
  <c r="T11" i="1"/>
  <c r="S11" i="1"/>
  <c r="R11" i="1"/>
  <c r="U6" i="1"/>
  <c r="T6" i="1"/>
  <c r="S6" i="1"/>
  <c r="R6" i="1"/>
  <c r="U10" i="1"/>
  <c r="T10" i="1"/>
  <c r="S10" i="1"/>
  <c r="R10" i="1"/>
  <c r="U9" i="1"/>
  <c r="T9" i="1"/>
  <c r="S9" i="1"/>
  <c r="R9" i="1"/>
  <c r="U8" i="1"/>
  <c r="T8" i="1"/>
  <c r="S8" i="1"/>
  <c r="R8" i="1"/>
  <c r="U59" i="1"/>
  <c r="T59" i="1"/>
  <c r="S59" i="1"/>
  <c r="R59" i="1"/>
  <c r="U252" i="1"/>
  <c r="T252" i="1"/>
  <c r="S252" i="1"/>
  <c r="R252" i="1"/>
</calcChain>
</file>

<file path=xl/sharedStrings.xml><?xml version="1.0" encoding="utf-8"?>
<sst xmlns="http://schemas.openxmlformats.org/spreadsheetml/2006/main" count="1175" uniqueCount="298">
  <si>
    <t>CONTRACT NAME</t>
  </si>
  <si>
    <t>SERVICE GROUP</t>
  </si>
  <si>
    <t>SEP - REVENUE</t>
  </si>
  <si>
    <t>OCT - REVENUE</t>
  </si>
  <si>
    <t>NOV - REVENUE</t>
  </si>
  <si>
    <t>DEC - REVENUE</t>
  </si>
  <si>
    <t>JAN - REVENUE</t>
  </si>
  <si>
    <t>FEB - REVENUE</t>
  </si>
  <si>
    <t>MAR - REVENUE</t>
  </si>
  <si>
    <t>APR - REVENUE</t>
  </si>
  <si>
    <t>MAY - REVENUE</t>
  </si>
  <si>
    <t>JUN - REVENUE</t>
  </si>
  <si>
    <t>JUL - REVENUE</t>
  </si>
  <si>
    <t>AUG - REVENUE</t>
  </si>
  <si>
    <t>SEP CCI</t>
  </si>
  <si>
    <t>OCT CCI</t>
  </si>
  <si>
    <t>NOV CCI</t>
  </si>
  <si>
    <t>DEC CCI</t>
  </si>
  <si>
    <t>JAN CCI</t>
  </si>
  <si>
    <t>FEB CCI</t>
  </si>
  <si>
    <t>MAR CCI</t>
  </si>
  <si>
    <t>APR CCI</t>
  </si>
  <si>
    <t>MAY CCI</t>
  </si>
  <si>
    <t>JUN CCI</t>
  </si>
  <si>
    <t>JUL CCI</t>
  </si>
  <si>
    <t>AUG CCI</t>
  </si>
  <si>
    <t>SI</t>
  </si>
  <si>
    <t>FY</t>
  </si>
  <si>
    <t>Rev - Q1</t>
  </si>
  <si>
    <t>Rev - Q2</t>
  </si>
  <si>
    <t>Rev - Q3</t>
  </si>
  <si>
    <t>Rev - Q4</t>
  </si>
  <si>
    <t>FY26</t>
  </si>
  <si>
    <t>CCI - Q1</t>
  </si>
  <si>
    <t>CCI - Q2</t>
  </si>
  <si>
    <t>CCI - Q3</t>
  </si>
  <si>
    <t>CCI - Q4</t>
  </si>
  <si>
    <t>NOT ASSIGN</t>
  </si>
  <si>
    <t>ED</t>
  </si>
  <si>
    <t>ADF Ricolino</t>
  </si>
  <si>
    <t>D@F - PenTest</t>
  </si>
  <si>
    <t>Opella_ERP_NR</t>
  </si>
  <si>
    <t>Plan Director</t>
  </si>
  <si>
    <t>Banamex USA PMO</t>
  </si>
  <si>
    <t>Data Governance</t>
  </si>
  <si>
    <t>MDLZ SAP S4 HANA</t>
  </si>
  <si>
    <t>HdM - AFE system</t>
  </si>
  <si>
    <t>Triumph Programme</t>
  </si>
  <si>
    <t>ABI - o9 DD - MAZ</t>
  </si>
  <si>
    <t>ASWHCM Femsa 25-1</t>
  </si>
  <si>
    <t>ADF Middleware SI</t>
  </si>
  <si>
    <t>LOGIC_DG_RELEX FR</t>
  </si>
  <si>
    <t>Citrus and Orange</t>
  </si>
  <si>
    <t>ASWHCM Femsa 21-PR</t>
  </si>
  <si>
    <t>MX SAB - NGWP O365</t>
  </si>
  <si>
    <t>MX-BK-SI-DF Atenea</t>
  </si>
  <si>
    <t>PEPSI myBuy Project</t>
  </si>
  <si>
    <t>MX SAN - SWF SANTEC</t>
  </si>
  <si>
    <t>Identity management</t>
  </si>
  <si>
    <t>MX SAN - MACBROBASE</t>
  </si>
  <si>
    <t>Posadas AO IO 263644</t>
  </si>
  <si>
    <t>SAP_Axial_Ph 1_SOW 1</t>
  </si>
  <si>
    <t>KOF Procurement BPMS</t>
  </si>
  <si>
    <t>MDLZ - ADF MSA MASTER</t>
  </si>
  <si>
    <t>KOF - S/4HANA FINANCE</t>
  </si>
  <si>
    <t>Gro DI OG Enhancement</t>
  </si>
  <si>
    <t>KOF Ciberseguridad OT</t>
  </si>
  <si>
    <t>UP Transformación SAP</t>
  </si>
  <si>
    <t>SAP_Axial_Phase 1_MSA</t>
  </si>
  <si>
    <t>KOF Procurement Nexus</t>
  </si>
  <si>
    <t>DC - Umbrella Contract</t>
  </si>
  <si>
    <t>ASWHCM Estafeta 21-HCM</t>
  </si>
  <si>
    <t>OXXO - API Marketplace</t>
  </si>
  <si>
    <t>CITI -MX - IT Strategy</t>
  </si>
  <si>
    <t>MX SAN - TEC_BET Movil</t>
  </si>
  <si>
    <t>MX SAN - TEC Shadow IT</t>
  </si>
  <si>
    <t>Logic_Kiosko_IPOCS_POD</t>
  </si>
  <si>
    <t>FUSION 2.0 EAM Support</t>
  </si>
  <si>
    <t>AWS_Pegasus Mexico GTM</t>
  </si>
  <si>
    <t>MDLZ S4 Hana MEU Swiss</t>
  </si>
  <si>
    <t>Saas Secure_remediation</t>
  </si>
  <si>
    <t>Mapfre-MX-IT Assessment</t>
  </si>
  <si>
    <t>Mining Technical Writer</t>
  </si>
  <si>
    <t>CITI MX_Cloud Readiness</t>
  </si>
  <si>
    <t>ASWHCM VW Mexico 21-HCM</t>
  </si>
  <si>
    <t>FUSION 2.0 SSFF SUPPORT</t>
  </si>
  <si>
    <t>MX-CM-TC_SI-DPP_SFTS_Q2</t>
  </si>
  <si>
    <t>Microsoft Claro DLP MVP</t>
  </si>
  <si>
    <t>ASWHCM La Costeña 21-HCM</t>
  </si>
  <si>
    <t>ABI - O9 DD PE/EC &amp; Arq.</t>
  </si>
  <si>
    <t>LOGIC_Super Aki_Relex FR</t>
  </si>
  <si>
    <t>Cyber resilience program</t>
  </si>
  <si>
    <t>Chubb- MX-Data Assessment</t>
  </si>
  <si>
    <t>BMX - SaaS Payroll System</t>
  </si>
  <si>
    <t>Backoffice Trans: Ingresos</t>
  </si>
  <si>
    <t>Data &amp; Analytics Framework</t>
  </si>
  <si>
    <t>DESC Ciberinteligencia GPM</t>
  </si>
  <si>
    <t>Scotiabank Internet Banking</t>
  </si>
  <si>
    <t>Paquete de Servicios SAP SI</t>
  </si>
  <si>
    <t>ORBIA S4 KAV Phoenix US&amp;MXN</t>
  </si>
  <si>
    <t>KOF - S/4HANA Wave 4 - PAPM</t>
  </si>
  <si>
    <t>Data Governance Imp_Phase 2</t>
  </si>
  <si>
    <t>MX_Request_for_Intelligence</t>
  </si>
  <si>
    <t>AC - Implementación OTM Perú</t>
  </si>
  <si>
    <t>Fusion Data Services Support</t>
  </si>
  <si>
    <t>MX-CM-AMS-JT ADOPCION IA MEX</t>
  </si>
  <si>
    <t>ASWHCM Centro de Servicios 53</t>
  </si>
  <si>
    <t>MNEMO_ AXA_Programa de puntos</t>
  </si>
  <si>
    <t>LOGIC_7E_Regiones de impuesto</t>
  </si>
  <si>
    <t>MX-CM-TC-DPP_perfil_riesgo_MX</t>
  </si>
  <si>
    <t>Banamex Managers Body Shopping</t>
  </si>
  <si>
    <t>MX SAN - Nomina Dig onboarding</t>
  </si>
  <si>
    <t>Sanofi - SCCore Global Program</t>
  </si>
  <si>
    <t>MX SAN – SAP Looking Ahead USA</t>
  </si>
  <si>
    <t>Mondelez ADF Cliff Integration</t>
  </si>
  <si>
    <t>KOF S4H FIT &amp; GAP Supply Chain</t>
  </si>
  <si>
    <t>AU RESALE Coppel, S.A. de C.V.</t>
  </si>
  <si>
    <t>Volaris Procurement MM - Ariba</t>
  </si>
  <si>
    <t>LOGIC_Petromax_REFFA Extension</t>
  </si>
  <si>
    <t>CITI GRU Transformation US 80%</t>
  </si>
  <si>
    <t>MX SAN - TEC Shadow IT26 $215k</t>
  </si>
  <si>
    <t>Gravity Mainframe Modernization</t>
  </si>
  <si>
    <t>OXXO - Arquitectura Empresarial</t>
  </si>
  <si>
    <t>Logic Mexico Affiliate Contract</t>
  </si>
  <si>
    <t>MX BanCoppel - PM Extensión 12M</t>
  </si>
  <si>
    <t>MX SAN - TEC MLOps Modelo 1 evo</t>
  </si>
  <si>
    <t>Logic_Kiosko_Report_extractions</t>
  </si>
  <si>
    <t>MX-BK-TC-JRJMR PMO Migracion APX</t>
  </si>
  <si>
    <t>KOF Digital Procurement S/4 HANA</t>
  </si>
  <si>
    <t>Mnemo Crowdstrike implementation</t>
  </si>
  <si>
    <t>MX Actinver - Funcionalidad core</t>
  </si>
  <si>
    <t>AU - Resale Coppel, S.A. de C.V.</t>
  </si>
  <si>
    <t>2026 IPADE Fabrica de Desarrollo</t>
  </si>
  <si>
    <t>BBVA SP-BK-JV Core Cloud Payments</t>
  </si>
  <si>
    <t>CUPRUM APOLO PROJECT SAP S/4 HANA</t>
  </si>
  <si>
    <t>CITI -MX# Payments Transformation</t>
  </si>
  <si>
    <t>MX SAN - Nomina Digital (Intern.)</t>
  </si>
  <si>
    <t>Proximidad - Finance Processes L4</t>
  </si>
  <si>
    <t>MX SAN -Recursos Data CIB -$76.3K</t>
  </si>
  <si>
    <t>MX SAN - EXT Célula Backend-$9.8K</t>
  </si>
  <si>
    <t>Logic_Garcia_ Implementación IEPS</t>
  </si>
  <si>
    <t>AU - RESALE Banco de Sabadell S.A</t>
  </si>
  <si>
    <t>MX-IS-SI-AVJMR DLP Assessment Apps</t>
  </si>
  <si>
    <t>MX SAB - Implementación Adobe Mayo</t>
  </si>
  <si>
    <t>AU RESALE Iberdrola Servicios Corp</t>
  </si>
  <si>
    <t>AMIS-MX-Capacity Services Ext 2024</t>
  </si>
  <si>
    <t>LOGIC_Kiosko_SOW000(MOM)_2024-0729</t>
  </si>
  <si>
    <t>MX Mizuho - Functional Design core</t>
  </si>
  <si>
    <t>AP26_MX Actinver - QE core banking</t>
  </si>
  <si>
    <t>MX SAN - TEC Vulnerabilidades Sail</t>
  </si>
  <si>
    <t>MX SAN - TEC Bet JAVA ext-01/26-21</t>
  </si>
  <si>
    <t>LOGIC_7E Assessment Alta Articulos</t>
  </si>
  <si>
    <t>MX Wealth Mgmt Transformation - DD</t>
  </si>
  <si>
    <t>MX SAN - Bet Movil mar-abr 26-$27K</t>
  </si>
  <si>
    <t>CDA Cybersecurity Due Dilligence 2</t>
  </si>
  <si>
    <t>CDA Cybersecurity Due Dilligence 1</t>
  </si>
  <si>
    <t>Scotiabank-Paq 1 Tarjeta de Credito</t>
  </si>
  <si>
    <t>Mexichem - Microsoft Office 365 Mig</t>
  </si>
  <si>
    <t>L'Oréal Neo Roll-Out - Central Team</t>
  </si>
  <si>
    <t>Servicios SI implementacion SAP S/4</t>
  </si>
  <si>
    <t>SP-BK-JV Smart Assistant Dev Q224MX</t>
  </si>
  <si>
    <t>MX SAN - TEC DEV Celula Backend Ext</t>
  </si>
  <si>
    <t>Logic_Kiosko_New_Totals_Sales_Audit</t>
  </si>
  <si>
    <t>MX SAN - Asistentes Virt REG $27.5k</t>
  </si>
  <si>
    <t>MX Gentera - RISE SAP S4HANA Fase 1</t>
  </si>
  <si>
    <t>Mabe Way - SAP Transformation 325395</t>
  </si>
  <si>
    <t>G500 SAP BOand FO Implemnt and Cloud</t>
  </si>
  <si>
    <t>BanCoppel I Mobile app AWS migration</t>
  </si>
  <si>
    <t>MNEMO_Keyence_DLP Endpoint y soporte</t>
  </si>
  <si>
    <t>LOGIC_Kiosko_Oracle IPO-RDF and Impl</t>
  </si>
  <si>
    <t>LOGIC_MAUI_Recibo por Bultos (XStore</t>
  </si>
  <si>
    <t>AXA-MX-J2C- Migration Managed Office</t>
  </si>
  <si>
    <t>LOGIC_Farmacias del AHORRO_INVOICING</t>
  </si>
  <si>
    <t>MX-BK-SI-LMG  K2-View Implementation</t>
  </si>
  <si>
    <t>LOGIC_CYA Nuevo Setup ReSA Nuevo POS</t>
  </si>
  <si>
    <t>AU - Resale CADENA COMERCIAL OXXO SA</t>
  </si>
  <si>
    <t>MX AFIRME - Migración de Información</t>
  </si>
  <si>
    <t>MX Gentera - North Star Core. Fase 1</t>
  </si>
  <si>
    <t>Ariba Sigma Campofrio Revenue Sharing</t>
  </si>
  <si>
    <t>MNEMO_Resale_GNP_Falcon Prevent - 300</t>
  </si>
  <si>
    <t>Digital&amp;Data Managed Services RFP 50%</t>
  </si>
  <si>
    <t>MX SAN - Data Snowflake Migración BOR</t>
  </si>
  <si>
    <t>IPADE Fabrica de desarrollo Ejecución</t>
  </si>
  <si>
    <t>MX SAN - Asistentes virtuales Digital</t>
  </si>
  <si>
    <t>MX Actinver - Assessment core banking</t>
  </si>
  <si>
    <t>MX SAN - TEC Bet JAVA - EXT Oct-25.4K</t>
  </si>
  <si>
    <t>MX SAN - Migración Tableau a Power BI</t>
  </si>
  <si>
    <t>MX SAN -Intern Plataforma Nom-$3.6MDD</t>
  </si>
  <si>
    <t>MX SAN - Tarjeta de Credito en Nom Dig</t>
  </si>
  <si>
    <t>Volaris ERP as a Service (Impl. - AMS)</t>
  </si>
  <si>
    <t>MX SAN - Gestion Identidades Sailpoint</t>
  </si>
  <si>
    <t>LOGIC_SIMAN_XStore ORCE Implementation</t>
  </si>
  <si>
    <t>IPADE Implementación de DXP. Discovery</t>
  </si>
  <si>
    <t>MX Gentera - Arquitectura People datos</t>
  </si>
  <si>
    <t>Ariba S4 &amp; ECC Countries Implementation</t>
  </si>
  <si>
    <t>Lanzamiento cuenta azul. Célula urgente</t>
  </si>
  <si>
    <t>MNEMO_GNP_Resale_McAfee Endpoint - 2100</t>
  </si>
  <si>
    <t>AP25 ABI MX Supply Chain Command Center</t>
  </si>
  <si>
    <t>AU RESALE COMERCIALIZADORA FARMACEUTICA</t>
  </si>
  <si>
    <t>LOGIC_Lindcorp RELEX F&amp;R Implementation</t>
  </si>
  <si>
    <t>MX SAN - DEV Backlog Nomina FASE 1 401k</t>
  </si>
  <si>
    <t>MX SAN - TEC Nomina Vulne - EXT- $70.6k</t>
  </si>
  <si>
    <t>BNMX - SAP Basis Netweavear/BTP-Payroll</t>
  </si>
  <si>
    <t>KOF S4 Planning 2026 Jan_Jun Fast track</t>
  </si>
  <si>
    <t>ASWHCM Cemex Central 21-PR 25-DCM_master</t>
  </si>
  <si>
    <t>MX-BK-SI-AW- SPEI Always On Transitorias</t>
  </si>
  <si>
    <t>AU Santander Global Technology and Opera</t>
  </si>
  <si>
    <t>MNEMO_Resale_GNP_Crowdstrike Servers - 6</t>
  </si>
  <si>
    <t>MNEMO_Resale_CECOBAN_McAfee+Soporte 2año</t>
  </si>
  <si>
    <t>MNEMO_Resale_Mont Aut_Trellix Protect En</t>
  </si>
  <si>
    <t>LOGIC_FA_2024/022 Mapeo contable Insumos</t>
  </si>
  <si>
    <t>LOGIC_C&amp;A_Mexico_CR006(SOW000)(Cambio Es</t>
  </si>
  <si>
    <t>MX SAN - Asistentes Virtuales Continuida</t>
  </si>
  <si>
    <t>AU Resale Coca Cola Femsa de Buenos Aire</t>
  </si>
  <si>
    <t>MX SAN - TEC Dev Integraciones Sailpoint</t>
  </si>
  <si>
    <t>MX SAN - Technical BP MigraciónNom-$172k</t>
  </si>
  <si>
    <t>LOGIC_ICONN Activación Flujos XItens RIB</t>
  </si>
  <si>
    <t>MX Sabadell - Informe de deterioros 2026</t>
  </si>
  <si>
    <t>MX-BK-SI-VZ OpenControl Modernization F1</t>
  </si>
  <si>
    <t>CONTRACT NUMBER</t>
  </si>
  <si>
    <t>CLIENT</t>
  </si>
  <si>
    <t>FEMSA</t>
  </si>
  <si>
    <t>SANOFI</t>
  </si>
  <si>
    <t>COPPEL S.A</t>
  </si>
  <si>
    <t>GRUPO BIMBO SAB DE CV.</t>
  </si>
  <si>
    <t>MONDELEZ INTERNATIONAL INC.</t>
  </si>
  <si>
    <t>HONDA</t>
  </si>
  <si>
    <t>AB INBEV</t>
  </si>
  <si>
    <t>DOLLAR GENERAL CORPORATION</t>
  </si>
  <si>
    <t>INTEL CORPORATION</t>
  </si>
  <si>
    <t>BANCO DE SABADELL S.A.</t>
  </si>
  <si>
    <t>BBVA</t>
  </si>
  <si>
    <t>SANTANDER</t>
  </si>
  <si>
    <t>GRUPO POSADAS</t>
  </si>
  <si>
    <t>ASTRAZENECA PLC</t>
  </si>
  <si>
    <t>COCA COLA</t>
  </si>
  <si>
    <t>UNILEVER</t>
  </si>
  <si>
    <t>UNIVERSIDAD PANAMERICANA</t>
  </si>
  <si>
    <t>ROCHE</t>
  </si>
  <si>
    <t>ESTAFETA MEXICANA</t>
  </si>
  <si>
    <t>CITIGROUP</t>
  </si>
  <si>
    <t>SUPER KIOSKO, S.A. DE C.V.</t>
  </si>
  <si>
    <t>NEWMONT</t>
  </si>
  <si>
    <t>AMAZON.COM INC.</t>
  </si>
  <si>
    <t>MAPFRE</t>
  </si>
  <si>
    <t>VOLKSWAGEN</t>
  </si>
  <si>
    <t>CONSERVAS LA COSTEÑA S.A. DE C.V.</t>
  </si>
  <si>
    <t>SUPER SAN FRANCISCO DE ASIS</t>
  </si>
  <si>
    <t>BANCO INVEX SA</t>
  </si>
  <si>
    <t>CHUBB LTD.</t>
  </si>
  <si>
    <t>WALMART INC.</t>
  </si>
  <si>
    <t>GRUPO DESC</t>
  </si>
  <si>
    <t>GRUPO GASOLINERO G500</t>
  </si>
  <si>
    <t>KALUZ</t>
  </si>
  <si>
    <t>PRODUCTOS VERDE VALLE SA DE CV</t>
  </si>
  <si>
    <t>AXA</t>
  </si>
  <si>
    <t>CS ICONN</t>
  </si>
  <si>
    <t>VOLARIS</t>
  </si>
  <si>
    <t>V&amp;A-LOGIC INFORMATION SYSTEM INC</t>
  </si>
  <si>
    <t>ACTINVER S.A. DE C.V. SOCIEDADOPERA</t>
  </si>
  <si>
    <t>SERVICIOS CUPRUM</t>
  </si>
  <si>
    <t>COMERCIALIZADORA ALMACENES GARCIA</t>
  </si>
  <si>
    <t>IBERDROLA</t>
  </si>
  <si>
    <t>AMIS</t>
  </si>
  <si>
    <t>MIZUHO FINANCIAL GROUP</t>
  </si>
  <si>
    <t>SCOTIABANK</t>
  </si>
  <si>
    <t>L'OREAL</t>
  </si>
  <si>
    <t>FERMACA NEW PROJECTS</t>
  </si>
  <si>
    <t>CONTROLADORA MABE S.A. DE C.V.</t>
  </si>
  <si>
    <t>MAUI AND SONS</t>
  </si>
  <si>
    <t>COMERCIALIZADORA FARMACEUTICA</t>
  </si>
  <si>
    <t>COFRA HOLDING AG</t>
  </si>
  <si>
    <t>BANCA AFIRME</t>
  </si>
  <si>
    <t>FINANCIERA COMPARTAMOS S.A. DE C.V</t>
  </si>
  <si>
    <t>ALFA SAB DE CV</t>
  </si>
  <si>
    <t>GRUPO NACIONAL PROVINCIAL</t>
  </si>
  <si>
    <t>ALMACENES SIMAN</t>
  </si>
  <si>
    <t>LINDCORP</t>
  </si>
  <si>
    <t>GRUPO CEMEX</t>
  </si>
  <si>
    <t>CECOBAN, S.A. DE C.V.</t>
  </si>
  <si>
    <t>MONTAJE AUTOMATIZACION Y CONTROL</t>
  </si>
  <si>
    <t>FY27</t>
  </si>
  <si>
    <t>PEPSICO</t>
  </si>
  <si>
    <t>COPPEL S.A -FS</t>
  </si>
  <si>
    <t>KEYENCE CORPORATION</t>
  </si>
  <si>
    <t>MICROSOFT CORPORATION</t>
  </si>
  <si>
    <t>CDA PENÍNSULA</t>
  </si>
  <si>
    <t>CDA AUTOMOTRIZ</t>
  </si>
  <si>
    <t>Grand Total</t>
  </si>
  <si>
    <t>Backlog FY26</t>
  </si>
  <si>
    <t>CCI-FY26 backlog</t>
  </si>
  <si>
    <t>Backlog FY27</t>
  </si>
  <si>
    <t>CCI-FY27 backlog</t>
  </si>
  <si>
    <t>Sum of Backlog FY26</t>
  </si>
  <si>
    <t>Sum of CCI-FY26 backlog</t>
  </si>
  <si>
    <t>(blank)</t>
  </si>
  <si>
    <t>Sum of Backlog FY27</t>
  </si>
  <si>
    <t>Sum of CCI-FY27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</si>
</sst>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 applyAlignment="1">
      <alignment horizontal="center"/>
    </xf>
    <xf numFmtId="1" fontId="0" fillId="0" borderId="0" xfId="0" applyNumberFormat="1"/>
    <xf numFmtId="0" fontId="0" fillId="0" borderId="0" xfId="0" pivotButton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spar, Liz" refreshedDate="46210.616056828701" createdVersion="8" refreshedVersion="8" minRefreshableVersion="3" recordCount="255" xr:uid="{3E5DA29D-9793-41EA-946D-017FC3895ACC}">
  <cacheSource type="worksheet">
    <worksheetSource ref="A2:AO257" sheet="Sheet1"/>
  </cacheSource>
  <cacheFields count="41">
    <cacheField name="FY" numFmtId="0">
      <sharedItems count="2">
        <s v="FY26"/>
        <s v="FY27"/>
      </sharedItems>
    </cacheField>
    <cacheField name="CONTRACT NUMBER" numFmtId="0">
      <sharedItems containsMixedTypes="1" containsNumber="1" containsInteger="1" minValue="9940061001" maxValue="9966436247"/>
    </cacheField>
    <cacheField name="CONTRACT NAME" numFmtId="0">
      <sharedItems/>
    </cacheField>
    <cacheField name="CLIENT" numFmtId="0">
      <sharedItems containsBlank="1" count="67">
        <s v="CITIGROUP"/>
        <s v="SCOTIABANK"/>
        <s v="PEPSICO"/>
        <s v="FEMSA"/>
        <s v="SANOFI"/>
        <s v="COPPEL S.A"/>
        <s v="GRUPO BIMBO SAB DE CV."/>
        <s v="MONDELEZ INTERNATIONAL INC."/>
        <s v="HONDA"/>
        <s v="AB INBEV"/>
        <s v="DOLLAR GENERAL CORPORATION"/>
        <s v="INTEL CORPORATION"/>
        <s v="BANCO DE SABADELL S.A."/>
        <s v="BBVA"/>
        <s v="SANTANDER"/>
        <s v="GRUPO POSADAS"/>
        <s v="ASTRAZENECA PLC"/>
        <s v="COCA COLA"/>
        <s v="UNILEVER"/>
        <s v="UNIVERSIDAD PANAMERICANA"/>
        <s v="ROCHE"/>
        <s v="ESTAFETA MEXICANA"/>
        <s v="SUPER KIOSKO, S.A. DE C.V."/>
        <s v="NEWMONT"/>
        <s v="AMAZON.COM INC."/>
        <s v="MAPFRE"/>
        <s v="VOLKSWAGEN"/>
        <s v="CONSERVAS LA COSTEÑA S.A. DE C.V."/>
        <s v="SUPER SAN FRANCISCO DE ASIS"/>
        <s v="BANCO INVEX SA"/>
        <s v="CHUBB LTD."/>
        <s v="WALMART INC."/>
        <s v="GRUPO DESC"/>
        <s v="GRUPO GASOLINERO G500"/>
        <s v="KALUZ"/>
        <s v="PRODUCTOS VERDE VALLE SA DE CV"/>
        <s v="AXA"/>
        <s v="CS ICONN"/>
        <s v="VOLARIS"/>
        <s v="V&amp;A-LOGIC INFORMATION SYSTEM INC"/>
        <s v="ACTINVER S.A. DE C.V. SOCIEDADOPERA"/>
        <s v="SERVICIOS CUPRUM"/>
        <s v="COMERCIALIZADORA ALMACENES GARCIA"/>
        <s v="IBERDROLA"/>
        <s v="AMIS"/>
        <s v="MIZUHO FINANCIAL GROUP"/>
        <s v="L'OREAL"/>
        <s v="FERMACA NEW PROJECTS"/>
        <s v="COPPEL S.A -FS"/>
        <s v="CONTROLADORA MABE S.A. DE C.V."/>
        <s v="KEYENCE CORPORATION"/>
        <s v="MAUI AND SONS"/>
        <s v="COMERCIALIZADORA FARMACEUTICA"/>
        <s v="COFRA HOLDING AG"/>
        <s v="BANCA AFIRME"/>
        <s v="FINANCIERA COMPARTAMOS S.A. DE C.V"/>
        <s v="ALFA SAB DE CV"/>
        <s v="GRUPO NACIONAL PROVINCIAL"/>
        <s v="ALMACENES SIMAN"/>
        <s v="LINDCORP"/>
        <s v="GRUPO CEMEX"/>
        <s v="CECOBAN, S.A. DE C.V."/>
        <s v="MONTAJE AUTOMATIZACION Y CONTROL"/>
        <s v="MICROSOFT CORPORATION"/>
        <s v="CDA PENÍNSULA"/>
        <s v="CDA AUTOMOTRIZ"/>
        <m/>
      </sharedItems>
    </cacheField>
    <cacheField name="SERVICE GROUP" numFmtId="0">
      <sharedItems/>
    </cacheField>
    <cacheField name="SEP - REVENUE" numFmtId="164">
      <sharedItems containsString="0" containsBlank="1" containsNumber="1" minValue="-42.026530000000001" maxValue="719.88598999999999"/>
    </cacheField>
    <cacheField name="OCT - REVENUE" numFmtId="164">
      <sharedItems containsString="0" containsBlank="1" containsNumber="1" minValue="-193.27574000000001" maxValue="901.63115000000005"/>
    </cacheField>
    <cacheField name="NOV - REVENUE" numFmtId="164">
      <sharedItems containsString="0" containsBlank="1" containsNumber="1" minValue="-1655.82419" maxValue="340.64832999999999"/>
    </cacheField>
    <cacheField name="DEC - REVENUE" numFmtId="164">
      <sharedItems containsString="0" containsBlank="1" containsNumber="1" minValue="-159.85444000000001" maxValue="645.00951999999995"/>
    </cacheField>
    <cacheField name="JAN - REVENUE" numFmtId="164">
      <sharedItems containsString="0" containsBlank="1" containsNumber="1" minValue="-0.13292999999999999" maxValue="685.08897999999999"/>
    </cacheField>
    <cacheField name="FEB - REVENUE" numFmtId="164">
      <sharedItems containsString="0" containsBlank="1" containsNumber="1" minValue="-1786.4833100000001" maxValue="401.55883"/>
    </cacheField>
    <cacheField name="MAR - REVENUE" numFmtId="164">
      <sharedItems containsString="0" containsBlank="1" containsNumber="1" minValue="-31.318529999999999" maxValue="617.05614000000003"/>
    </cacheField>
    <cacheField name="APR - REVENUE" numFmtId="164">
      <sharedItems containsString="0" containsBlank="1" containsNumber="1" minValue="-0.81730000000000003" maxValue="538.92277999999999"/>
    </cacheField>
    <cacheField name="MAY - REVENUE" numFmtId="164">
      <sharedItems containsString="0" containsBlank="1" containsNumber="1" minValue="-107.34232" maxValue="431.90938"/>
    </cacheField>
    <cacheField name="JUN - REVENUE" numFmtId="164">
      <sharedItems containsString="0" containsBlank="1" containsNumber="1" minValue="-155.44368" maxValue="554.81723"/>
    </cacheField>
    <cacheField name="JUL - REVENUE" numFmtId="164">
      <sharedItems containsString="0" containsBlank="1" containsNumber="1" minValue="-113.09215279999999" maxValue="388.29757999999998"/>
    </cacheField>
    <cacheField name="AUG - REVENUE" numFmtId="164">
      <sharedItems containsString="0" containsBlank="1" containsNumber="1" minValue="0" maxValue="540.80281000000002"/>
    </cacheField>
    <cacheField name="Rev - Q1" numFmtId="164">
      <sharedItems containsSemiMixedTypes="0" containsString="0" containsNumber="1" minValue="-48.683059999999998" maxValue="1093.4630099999999"/>
    </cacheField>
    <cacheField name="Rev - Q2" numFmtId="164">
      <sharedItems containsSemiMixedTypes="0" containsString="0" containsNumber="1" minValue="-456.38481000000002" maxValue="1021.94499"/>
    </cacheField>
    <cacheField name="Rev - Q3" numFmtId="164">
      <sharedItems containsSemiMixedTypes="0" containsString="0" containsNumber="1" minValue="-11.428100000000001" maxValue="1566.69651"/>
    </cacheField>
    <cacheField name="Rev - Q4" numFmtId="164">
      <sharedItems containsSemiMixedTypes="0" containsString="0" containsNumber="1" minValue="-155.44368" maxValue="1483.9176200000002"/>
    </cacheField>
    <cacheField name="Backlog FY26" numFmtId="164">
      <sharedItems containsSemiMixedTypes="0" containsString="0" containsNumber="1" minValue="-73.603226399999997" maxValue="929.10039000000006"/>
    </cacheField>
    <cacheField name="Backlog FY27" numFmtId="164">
      <sharedItems containsSemiMixedTypes="0" containsString="0" containsNumber="1" minValue="-42.026530000000001" maxValue="4087.7799599999998"/>
    </cacheField>
    <cacheField name="SEP CCI" numFmtId="164">
      <sharedItems containsString="0" containsBlank="1" containsNumber="1" minValue="-78.450659999999999" maxValue="141.81881000000001"/>
    </cacheField>
    <cacheField name="OCT CCI" numFmtId="164">
      <sharedItems containsString="0" containsBlank="1" containsNumber="1" minValue="-443.87972000000002" maxValue="210.85422"/>
    </cacheField>
    <cacheField name="NOV CCI" numFmtId="164">
      <sharedItems containsString="0" containsBlank="1" containsNumber="1" minValue="-2283.5323800000001" maxValue="209.51434"/>
    </cacheField>
    <cacheField name="DEC CCI" numFmtId="164">
      <sharedItems containsString="0" containsBlank="1" containsNumber="1" minValue="-408.70836000000003" maxValue="399.82569999999998"/>
    </cacheField>
    <cacheField name="JAN CCI" numFmtId="164">
      <sharedItems containsString="0" containsBlank="1" containsNumber="1" minValue="-55.346800000000002" maxValue="293.27422000000001"/>
    </cacheField>
    <cacheField name="FEB CCI" numFmtId="164">
      <sharedItems containsString="0" containsBlank="1" containsNumber="1" minValue="-2372.3803600000001" maxValue="216.25564"/>
    </cacheField>
    <cacheField name="MAR CCI" numFmtId="164">
      <sharedItems containsString="0" containsBlank="1" containsNumber="1" minValue="-85.294060000000002" maxValue="266.86635000000001"/>
    </cacheField>
    <cacheField name="APR CCI" numFmtId="164">
      <sharedItems containsString="0" containsBlank="1" containsNumber="1" minValue="-103.4766" maxValue="122.97405000000001"/>
    </cacheField>
    <cacheField name="MAY CCI" numFmtId="164">
      <sharedItems containsString="0" containsBlank="1" containsNumber="1" minValue="-299.16207000000003" maxValue="314.64190000000002"/>
    </cacheField>
    <cacheField name="JUN CCI" numFmtId="164">
      <sharedItems containsString="0" containsBlank="1" containsNumber="1" minValue="-161.42206999999999" maxValue="246.24485999999999"/>
    </cacheField>
    <cacheField name="JUL CCI" numFmtId="164">
      <sharedItems containsString="0" containsBlank="1" containsNumber="1" minValue="-195.48007000000001" maxValue="170.01464480000001"/>
    </cacheField>
    <cacheField name="AUG CCI" numFmtId="164">
      <sharedItems containsString="0" containsBlank="1" containsNumber="1" minValue="-97.396630000000002" maxValue="162.8725"/>
    </cacheField>
    <cacheField name="CCI - Q1" numFmtId="164">
      <sharedItems containsSemiMixedTypes="0" containsString="0" containsNumber="1" minValue="-1977.29492" maxValue="377.60689000000002"/>
    </cacheField>
    <cacheField name="CCI - Q2" numFmtId="164">
      <sharedItems containsSemiMixedTypes="0" containsString="0" containsNumber="1" minValue="-2340.1759900000002" maxValue="431.33356000000003"/>
    </cacheField>
    <cacheField name="CCI - Q3" numFmtId="164">
      <sharedItems containsSemiMixedTypes="0" containsString="0" containsNumber="1" minValue="-399.80592000000001" maxValue="368.92214999999999"/>
    </cacheField>
    <cacheField name="CCI - Q4" numFmtId="164">
      <sharedItems containsSemiMixedTypes="0" containsString="0" containsNumber="1" minValue="-419.86569000000003" maxValue="368.92214999999999"/>
    </cacheField>
    <cacheField name="CCI-FY26 backlog" numFmtId="164">
      <sharedItems containsSemiMixedTypes="0" containsString="0" containsNumber="1" minValue="-288.49155000000002" maxValue="261.8405376"/>
    </cacheField>
    <cacheField name="CCI-FY27 backlog" numFmtId="164">
      <sharedItems containsSemiMixedTypes="0" containsString="0" containsNumber="1" minValue="-4685.6019499999993" maxValue="1475.68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x v="0"/>
    <n v="9940061001"/>
    <s v="Banamex Managers Body Shopping"/>
    <x v="0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089915"/>
    <s v="Scotiabank Internet Banking"/>
    <x v="1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104037"/>
    <s v="Scotiabank-Paq 1 Tarjeta de Credito"/>
    <x v="1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163878"/>
    <s v="Banamex USA PMO"/>
    <x v="0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177437"/>
    <s v="PEPSI myBuy Project"/>
    <x v="2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501401"/>
    <s v="D@F - PenTest"/>
    <x v="3"/>
    <s v="SI"/>
    <n v="0"/>
    <n v="0"/>
    <n v="0"/>
    <n v="0"/>
    <n v="-8.3610000000000004E-2"/>
    <n v="0"/>
    <n v="0"/>
    <n v="0"/>
    <n v="0"/>
    <n v="0"/>
    <m/>
    <m/>
    <n v="0"/>
    <n v="-8.3610000000000004E-2"/>
    <n v="0"/>
    <n v="0"/>
    <n v="0"/>
    <n v="-8.3610000000000004E-2"/>
    <n v="-0.28577000000000002"/>
    <n v="-0.28982000000000002"/>
    <n v="-0.28938999999999998"/>
    <n v="-0.28978999999999999"/>
    <n v="-8.4449999999999997E-2"/>
    <n v="0"/>
    <n v="0"/>
    <n v="0"/>
    <n v="0"/>
    <n v="0"/>
    <m/>
    <m/>
    <n v="-0.86498000000000008"/>
    <n v="-0.37424000000000002"/>
    <n v="0"/>
    <n v="0"/>
    <n v="0"/>
    <n v="-1.23922"/>
  </r>
  <r>
    <x v="0"/>
    <n v="9940558396"/>
    <s v="Opella_ERP_NR"/>
    <x v="4"/>
    <s v="SI"/>
    <m/>
    <m/>
    <m/>
    <n v="0"/>
    <n v="8.90184"/>
    <n v="15.93144"/>
    <n v="26.813559999999999"/>
    <n v="26.9635"/>
    <n v="31.95448"/>
    <n v="45.177619999999997"/>
    <n v="29.851354000000001"/>
    <n v="24.109026"/>
    <n v="0"/>
    <n v="24.833280000000002"/>
    <n v="85.731539999999995"/>
    <n v="99.138000000000005"/>
    <n v="53.960380000000001"/>
    <n v="209.70282"/>
    <m/>
    <m/>
    <m/>
    <n v="0"/>
    <n v="3.1524800000000002"/>
    <n v="5.8953600000000002"/>
    <n v="9.7100399999999993"/>
    <n v="9.8315400000000004"/>
    <n v="11.566599999999999"/>
    <n v="14.222160000000001"/>
    <n v="14.540813999999999"/>
    <n v="7.714124"/>
    <n v="0"/>
    <n v="9.0478400000000008"/>
    <n v="31.108179999999997"/>
    <n v="36.477097999999998"/>
    <n v="22.254937999999999"/>
    <n v="76.633117999999996"/>
  </r>
  <r>
    <x v="0"/>
    <n v="9940574311"/>
    <s v="Plan Director"/>
    <x v="5"/>
    <s v="SI"/>
    <m/>
    <m/>
    <m/>
    <m/>
    <m/>
    <m/>
    <n v="0"/>
    <n v="0"/>
    <n v="257.81725"/>
    <n v="0"/>
    <n v="0"/>
    <n v="0"/>
    <n v="0"/>
    <n v="0"/>
    <n v="257.81725"/>
    <n v="0"/>
    <n v="0"/>
    <n v="257.81725"/>
    <m/>
    <m/>
    <m/>
    <m/>
    <m/>
    <m/>
    <n v="-27.94595"/>
    <n v="-99.294589999999999"/>
    <n v="194.05373"/>
    <n v="-2.66493"/>
    <n v="0"/>
    <n v="0"/>
    <n v="0"/>
    <n v="0"/>
    <n v="66.813190000000006"/>
    <n v="-2.66493"/>
    <n v="0"/>
    <n v="64.148260000000008"/>
  </r>
  <r>
    <x v="0"/>
    <n v="9940456800"/>
    <s v="Data Governance"/>
    <x v="6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-0.95091999999999999"/>
    <n v="-0.96440000000000003"/>
    <n v="-0.96297999999999995"/>
    <n v="-0.96430000000000005"/>
    <n v="-0.98928000000000005"/>
    <n v="-1.0309200000000001"/>
    <n v="-1.0320199999999999"/>
    <n v="-3.032"/>
    <n v="0"/>
    <n v="0"/>
    <m/>
    <m/>
    <n v="-2.8782999999999999"/>
    <n v="-2.9845000000000002"/>
    <n v="-4.0640200000000002"/>
    <n v="0"/>
    <n v="0"/>
    <n v="-9.9268199999999993"/>
  </r>
  <r>
    <x v="0"/>
    <n v="9940488298"/>
    <s v="MDLZ SAP S4 HANA"/>
    <x v="7"/>
    <s v="SI"/>
    <n v="158.93763999999999"/>
    <n v="-193.27574000000001"/>
    <n v="163.71653000000001"/>
    <n v="-159.85444000000001"/>
    <n v="431.86982999999998"/>
    <n v="252.09229999999999"/>
    <n v="325.32078999999999"/>
    <n v="206.00842"/>
    <n v="-107.34232"/>
    <n v="274.75202000000002"/>
    <n v="154.69640340000001"/>
    <n v="202.59131199999999"/>
    <n v="129.37842999999998"/>
    <n v="524.10768999999993"/>
    <n v="423.98689000000002"/>
    <n v="632.03973540000004"/>
    <n v="357.28771540000002"/>
    <n v="1709.5127453999999"/>
    <n v="-40.863750000000003"/>
    <n v="-443.87972000000002"/>
    <n v="-58.278199999999998"/>
    <n v="-408.70836000000003"/>
    <n v="172.65828999999999"/>
    <n v="-13.78004"/>
    <n v="2.8327499999999999"/>
    <n v="-103.4766"/>
    <n v="-299.16207000000003"/>
    <n v="-89.427790000000002"/>
    <n v="-148.36115910000001"/>
    <n v="-24.735364499999999"/>
    <n v="-543.02166999999997"/>
    <n v="-249.83011000000005"/>
    <n v="-399.80592000000001"/>
    <n v="-262.52431360000003"/>
    <n v="-173.09652360000001"/>
    <n v="-1455.1820136000001"/>
  </r>
  <r>
    <x v="0"/>
    <n v="9940525581"/>
    <s v="HdM - AFE system"/>
    <x v="8"/>
    <s v="SI"/>
    <n v="-4.0000000000000003E-5"/>
    <n v="13.27065"/>
    <n v="0"/>
    <n v="0"/>
    <n v="0"/>
    <n v="0"/>
    <n v="0"/>
    <n v="0"/>
    <n v="0"/>
    <n v="0"/>
    <m/>
    <m/>
    <n v="13.27061"/>
    <n v="0"/>
    <n v="0"/>
    <n v="0"/>
    <n v="0"/>
    <n v="13.27061"/>
    <n v="-0.43476999999999999"/>
    <n v="12.32264"/>
    <n v="0"/>
    <n v="0"/>
    <n v="0"/>
    <n v="0"/>
    <n v="0"/>
    <n v="0"/>
    <n v="0"/>
    <n v="0"/>
    <m/>
    <m/>
    <n v="11.887869999999999"/>
    <n v="0"/>
    <n v="0"/>
    <n v="0"/>
    <n v="0"/>
    <n v="11.887869999999999"/>
  </r>
  <r>
    <x v="0"/>
    <n v="9940080491"/>
    <s v="Triumph Programme"/>
    <x v="9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371766"/>
    <s v="ABI - o9 DD - MAZ"/>
    <x v="9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378338"/>
    <s v="ASWHCM Femsa 25-1"/>
    <x v="3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533037"/>
    <s v="LOGIC_DG_RELEX FR"/>
    <x v="10"/>
    <s v="SI"/>
    <n v="59.711530000000003"/>
    <n v="26.447009999999999"/>
    <n v="61.536659999999998"/>
    <n v="55.06082"/>
    <n v="43.955410000000001"/>
    <n v="223.37282999999999"/>
    <n v="62.799779999999998"/>
    <n v="98.960719999999995"/>
    <n v="-2.9157899999999999"/>
    <n v="0"/>
    <n v="0"/>
    <n v="0"/>
    <n v="147.6952"/>
    <n v="322.38905999999997"/>
    <n v="158.84470999999999"/>
    <n v="0"/>
    <n v="0"/>
    <n v="628.92896999999994"/>
    <n v="17.55921"/>
    <n v="-29.41347"/>
    <n v="-2.1421199999999998"/>
    <n v="2.84822"/>
    <n v="6.9892099999999999"/>
    <n v="184.83205000000001"/>
    <n v="20.82348"/>
    <n v="18.202760000000001"/>
    <n v="-58.031509999999997"/>
    <n v="-7.7017899999999999"/>
    <n v="2.3101400000000001"/>
    <n v="-19.078379999999999"/>
    <n v="-13.99638"/>
    <n v="194.66948000000002"/>
    <n v="-19.005269999999996"/>
    <n v="-24.470030000000001"/>
    <n v="-16.768239999999999"/>
    <n v="137.19780000000003"/>
  </r>
  <r>
    <x v="0"/>
    <n v="9940533180"/>
    <s v="Citrus and Orange"/>
    <x v="11"/>
    <s v="SI"/>
    <n v="0.15071000000000001"/>
    <n v="0.18264"/>
    <n v="0.18264"/>
    <n v="0.184"/>
    <n v="0.18264"/>
    <n v="0.18265999999999999"/>
    <n v="0.14396"/>
    <n v="0.14055999999999999"/>
    <n v="0.13758999999999999"/>
    <n v="0.14810999999999999"/>
    <n v="-0.14811479999999999"/>
    <n v="0"/>
    <n v="0.51599000000000006"/>
    <n v="0.5492999999999999"/>
    <n v="0.42210999999999999"/>
    <n v="-4.7999999999992493E-6"/>
    <n v="-0.14811479999999999"/>
    <n v="1.4873952000000001"/>
    <n v="-7.2779999999999997E-2"/>
    <n v="0.30843999999999999"/>
    <n v="0.17077000000000001"/>
    <n v="7.9280000000000003E-2"/>
    <n v="6.8580000000000002E-2"/>
    <n v="8.4400000000000003E-2"/>
    <n v="7.0099999999999996E-2"/>
    <n v="2.308E-2"/>
    <n v="4.1369999999999997E-2"/>
    <n v="3.1230000000000001E-2"/>
    <n v="-3.1230000000000001E-2"/>
    <n v="0"/>
    <n v="0.40642999999999996"/>
    <n v="0.23225999999999999"/>
    <n v="0.13455"/>
    <n v="0"/>
    <n v="-3.1230000000000001E-2"/>
    <n v="0.77323999999999993"/>
  </r>
  <r>
    <x v="0"/>
    <n v="9940378308"/>
    <s v="ASWHCM Femsa 21-PR"/>
    <x v="3"/>
    <s v="SI"/>
    <n v="0"/>
    <n v="152.67247"/>
    <n v="0"/>
    <n v="0"/>
    <n v="0"/>
    <n v="0"/>
    <n v="0"/>
    <n v="0"/>
    <n v="0"/>
    <n v="0"/>
    <m/>
    <m/>
    <n v="152.67247"/>
    <n v="0"/>
    <n v="0"/>
    <n v="0"/>
    <n v="0"/>
    <n v="152.67247"/>
    <n v="0"/>
    <n v="152.67247"/>
    <n v="-1.7684"/>
    <n v="0"/>
    <n v="0"/>
    <n v="0"/>
    <n v="0"/>
    <n v="0"/>
    <n v="0"/>
    <n v="0"/>
    <m/>
    <m/>
    <n v="150.90406999999999"/>
    <n v="0"/>
    <n v="0"/>
    <n v="0"/>
    <n v="0"/>
    <n v="150.90406999999999"/>
  </r>
  <r>
    <x v="0"/>
    <n v="9940470852"/>
    <s v="MX SAB - NGWP O365"/>
    <x v="12"/>
    <s v="SI"/>
    <n v="0"/>
    <n v="0"/>
    <n v="0"/>
    <n v="0"/>
    <m/>
    <m/>
    <m/>
    <m/>
    <m/>
    <m/>
    <m/>
    <m/>
    <n v="0"/>
    <n v="0"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</r>
  <r>
    <x v="0"/>
    <n v="9940473365"/>
    <s v="MX-BK-SI-DF Atenea"/>
    <x v="13"/>
    <s v="SI"/>
    <n v="128.32123999999999"/>
    <n v="159.05203"/>
    <n v="217.86237"/>
    <n v="184.40214"/>
    <n v="181.92257000000001"/>
    <n v="67.902379999999994"/>
    <n v="92.131219999999999"/>
    <n v="14.02061"/>
    <n v="14.94689"/>
    <n v="32.778469999999999"/>
    <n v="83.993497099999999"/>
    <n v="112.72620740000001"/>
    <n v="505.23563999999999"/>
    <n v="434.22708999999998"/>
    <n v="121.09872"/>
    <n v="229.4981745"/>
    <n v="196.71970450000001"/>
    <n v="1290.0596244999999"/>
    <n v="-17.04027"/>
    <n v="-24.894939999999998"/>
    <n v="-10.77735"/>
    <n v="-12.13007"/>
    <n v="-16.906089999999999"/>
    <n v="-38.011760000000002"/>
    <n v="-28.141940000000002"/>
    <n v="-45.393590000000003"/>
    <n v="-32.016289999999998"/>
    <n v="-35.113680000000002"/>
    <n v="-26.014629299999999"/>
    <n v="-25.763191200000001"/>
    <n v="-52.712559999999996"/>
    <n v="-67.047920000000005"/>
    <n v="-105.55182000000001"/>
    <n v="-86.891500500000006"/>
    <n v="-51.777820500000004"/>
    <n v="-312.2038005"/>
  </r>
  <r>
    <x v="0"/>
    <n v="9940322165"/>
    <s v="MX SAN - SWF SANTEC"/>
    <x v="14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505464"/>
    <s v="Identity management"/>
    <x v="6"/>
    <s v="SI"/>
    <n v="0.55101999999999995"/>
    <n v="-2.2261099999999998"/>
    <n v="8.5451700000000006"/>
    <n v="36.760579999999997"/>
    <n v="15.275589999999999"/>
    <n v="0.13905999999999999"/>
    <n v="0"/>
    <n v="0"/>
    <n v="0"/>
    <n v="0"/>
    <m/>
    <m/>
    <n v="6.8700800000000006"/>
    <n v="52.175229999999999"/>
    <n v="0"/>
    <n v="0"/>
    <n v="0"/>
    <n v="59.045310000000001"/>
    <n v="-1.19604"/>
    <n v="-2.3715000000000002"/>
    <n v="4.2286999999999999"/>
    <n v="20.46857"/>
    <n v="5.2531499999999998"/>
    <n v="-0.65734000000000004"/>
    <n v="0"/>
    <n v="0"/>
    <n v="0"/>
    <n v="0"/>
    <m/>
    <m/>
    <n v="0.66115999999999975"/>
    <n v="25.064379999999996"/>
    <n v="0"/>
    <n v="0"/>
    <n v="0"/>
    <n v="25.725539999999995"/>
  </r>
  <r>
    <x v="0"/>
    <n v="9940536759"/>
    <s v="MX SAN - MACBROBASE"/>
    <x v="14"/>
    <s v="SI"/>
    <n v="27.164100000000001"/>
    <n v="0"/>
    <n v="0"/>
    <n v="0"/>
    <n v="0"/>
    <n v="0"/>
    <n v="0"/>
    <n v="0"/>
    <n v="0"/>
    <n v="0"/>
    <m/>
    <m/>
    <n v="27.164100000000001"/>
    <n v="0"/>
    <n v="0"/>
    <n v="0"/>
    <n v="0"/>
    <n v="27.164100000000001"/>
    <n v="6.9190399999999999"/>
    <n v="-19.654050000000002"/>
    <n v="-1.1853"/>
    <n v="-9.6060000000000006E-2"/>
    <n v="0"/>
    <n v="0"/>
    <n v="0"/>
    <n v="0"/>
    <n v="0"/>
    <n v="0"/>
    <m/>
    <m/>
    <n v="-13.920310000000002"/>
    <n v="-9.6060000000000006E-2"/>
    <n v="0"/>
    <n v="0"/>
    <n v="0"/>
    <n v="-14.016370000000002"/>
  </r>
  <r>
    <x v="0"/>
    <n v="9940121765"/>
    <s v="Posadas AO IO 263644"/>
    <x v="15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490800"/>
    <s v="SAP_Axial_Ph 1_SOW 1"/>
    <x v="16"/>
    <s v="SI"/>
    <n v="261.48484000000002"/>
    <n v="249.70722000000001"/>
    <n v="220.86565999999999"/>
    <n v="204.81733"/>
    <n v="219.31304"/>
    <n v="158.99930000000001"/>
    <n v="225.69368"/>
    <n v="192.62941000000001"/>
    <n v="192.16256000000001"/>
    <n v="196.17474999999999"/>
    <n v="78.857478700000001"/>
    <n v="124.27093910000001"/>
    <n v="732.05772000000002"/>
    <n v="583.12967000000003"/>
    <n v="610.48564999999996"/>
    <n v="399.30316780000004"/>
    <n v="203.12841780000002"/>
    <n v="2324.9762078000003"/>
    <n v="97.618139999999997"/>
    <n v="92.498140000000006"/>
    <n v="79.603039999999993"/>
    <n v="68.745710000000003"/>
    <n v="78.122559999999993"/>
    <n v="15.590719999999999"/>
    <n v="75.515839999999997"/>
    <n v="66.141149999999996"/>
    <n v="68.761409999999998"/>
    <n v="70.569460000000007"/>
    <n v="5.0405201000000002"/>
    <n v="42.383510399999999"/>
    <n v="269.71932000000004"/>
    <n v="162.45899"/>
    <n v="210.41840000000002"/>
    <n v="117.99349050000001"/>
    <n v="47.424030500000001"/>
    <n v="760.59020050000004"/>
  </r>
  <r>
    <x v="0"/>
    <n v="9940533933"/>
    <s v="KOF Procurement BPMS"/>
    <x v="17"/>
    <s v="SI"/>
    <n v="0"/>
    <n v="0"/>
    <n v="0"/>
    <n v="0"/>
    <n v="0"/>
    <n v="0"/>
    <n v="0"/>
    <n v="0"/>
    <m/>
    <m/>
    <m/>
    <m/>
    <n v="0"/>
    <n v="0"/>
    <n v="0"/>
    <n v="0"/>
    <n v="0"/>
    <n v="0"/>
    <n v="-2.8484099999999999"/>
    <n v="-3.1322100000000002"/>
    <n v="0.34068999999999999"/>
    <n v="0.33599000000000001"/>
    <n v="0.34105000000000002"/>
    <n v="0.34656999999999999"/>
    <n v="9.1384500000000006"/>
    <n v="0.66795000000000004"/>
    <m/>
    <m/>
    <m/>
    <m/>
    <n v="-5.6399299999999997"/>
    <n v="1.0236100000000001"/>
    <n v="9.8064"/>
    <n v="0"/>
    <n v="0"/>
    <n v="5.19008"/>
  </r>
  <r>
    <x v="0"/>
    <n v="9940277878"/>
    <s v="MDLZ - ADF MSA MASTER"/>
    <x v="7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47251"/>
    <s v="Gro DI OG Enhancement"/>
    <x v="18"/>
    <s v="SI"/>
    <n v="0"/>
    <n v="0"/>
    <n v="0"/>
    <n v="0"/>
    <n v="0"/>
    <n v="0"/>
    <n v="0"/>
    <m/>
    <m/>
    <m/>
    <m/>
    <m/>
    <n v="0"/>
    <n v="0"/>
    <n v="0"/>
    <n v="0"/>
    <n v="0"/>
    <n v="0"/>
    <n v="0"/>
    <n v="0"/>
    <n v="0"/>
    <n v="0"/>
    <n v="0"/>
    <n v="0"/>
    <n v="0"/>
    <m/>
    <m/>
    <m/>
    <m/>
    <m/>
    <n v="0"/>
    <n v="0"/>
    <n v="0"/>
    <n v="0"/>
    <n v="0"/>
    <n v="0"/>
  </r>
  <r>
    <x v="0"/>
    <n v="9940477325"/>
    <s v="UP Transformación SAP"/>
    <x v="19"/>
    <s v="SI"/>
    <n v="152.54499999999999"/>
    <n v="0"/>
    <n v="283.44042999999999"/>
    <n v="78.251140000000007"/>
    <n v="87.118840000000006"/>
    <n v="90.646140000000003"/>
    <n v="50.12632"/>
    <n v="8.3352500000000003"/>
    <n v="6.7152500000000002"/>
    <n v="22.449560000000002"/>
    <n v="0"/>
    <n v="0"/>
    <n v="435.98542999999995"/>
    <n v="256.01612"/>
    <n v="65.176820000000006"/>
    <n v="22.449560000000002"/>
    <n v="0"/>
    <n v="779.62792999999999"/>
    <n v="-71.166830000000004"/>
    <n v="-191.50910999999999"/>
    <n v="209.51434"/>
    <n v="12.66808"/>
    <n v="36.158679999999997"/>
    <n v="23.530519999999999"/>
    <n v="10.92699"/>
    <n v="6.2279299999999997"/>
    <n v="-11.76765"/>
    <n v="21.378060000000001"/>
    <n v="0"/>
    <n v="0"/>
    <n v="-53.161599999999964"/>
    <n v="72.357279999999989"/>
    <n v="5.3872700000000009"/>
    <n v="21.378060000000001"/>
    <n v="0"/>
    <n v="45.96101000000003"/>
  </r>
  <r>
    <x v="0"/>
    <n v="9940547100"/>
    <s v="KOF Procurement Nexus"/>
    <x v="17"/>
    <s v="SI"/>
    <m/>
    <m/>
    <n v="0"/>
    <n v="0"/>
    <n v="0"/>
    <n v="0"/>
    <n v="0"/>
    <n v="0"/>
    <n v="0"/>
    <n v="4.2538"/>
    <n v="4.2035299999999998"/>
    <n v="4.2035299999999998"/>
    <n v="0"/>
    <n v="0"/>
    <n v="0"/>
    <n v="12.66086"/>
    <n v="8.4070599999999995"/>
    <n v="12.66086"/>
    <m/>
    <m/>
    <n v="0"/>
    <n v="0"/>
    <n v="0"/>
    <n v="-40.4026"/>
    <n v="-40.246789999999997"/>
    <n v="-39.633450000000003"/>
    <n v="-32.287129999999998"/>
    <n v="-22.577310000000001"/>
    <n v="-8.8320799999999995"/>
    <n v="3.8833099999999998"/>
    <n v="0"/>
    <n v="-40.4026"/>
    <n v="-112.16737000000001"/>
    <n v="-27.52608"/>
    <n v="-4.9487699999999997"/>
    <n v="-180.09605000000002"/>
  </r>
  <r>
    <x v="0"/>
    <n v="9940211845"/>
    <s v="DC - Umbrella Contract"/>
    <x v="20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317872"/>
    <s v="ASWHCM Estafeta 21-HCM"/>
    <x v="21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17542"/>
    <s v="OXXO - API Marketplace"/>
    <x v="3"/>
    <s v="SI"/>
    <n v="-42.026530000000001"/>
    <n v="0"/>
    <n v="0"/>
    <n v="0"/>
    <n v="0"/>
    <n v="0"/>
    <n v="0"/>
    <n v="0"/>
    <n v="0"/>
    <n v="0"/>
    <m/>
    <m/>
    <n v="-42.026530000000001"/>
    <n v="0"/>
    <n v="0"/>
    <n v="0"/>
    <n v="0"/>
    <n v="-42.026530000000001"/>
    <n v="-42.446800000000003"/>
    <n v="0"/>
    <n v="0"/>
    <n v="0"/>
    <n v="0"/>
    <n v="0"/>
    <n v="0"/>
    <n v="0"/>
    <n v="0"/>
    <n v="0"/>
    <m/>
    <m/>
    <n v="-42.446800000000003"/>
    <n v="0"/>
    <n v="0"/>
    <n v="0"/>
    <n v="0"/>
    <n v="-42.446800000000003"/>
  </r>
  <r>
    <x v="0"/>
    <n v="9940486332"/>
    <s v="CITI -MX - IT Strategy"/>
    <x v="0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512671"/>
    <s v="MX SAN - TEC_BET Movil"/>
    <x v="14"/>
    <s v="SI"/>
    <n v="68.255250000000004"/>
    <n v="1.0468999999999999"/>
    <n v="0"/>
    <n v="0"/>
    <n v="0"/>
    <n v="3.0000000000000001E-5"/>
    <n v="0"/>
    <n v="0"/>
    <n v="0"/>
    <n v="0"/>
    <m/>
    <m/>
    <n v="69.302149999999997"/>
    <n v="3.0000000000000001E-5"/>
    <n v="0"/>
    <n v="0"/>
    <n v="0"/>
    <n v="69.302179999999993"/>
    <n v="22.622769999999999"/>
    <n v="-28.146660000000001"/>
    <n v="-3.5242499999999999"/>
    <n v="-6.7867699999999997"/>
    <n v="-0.89534000000000002"/>
    <n v="-0.44835999999999998"/>
    <n v="0"/>
    <n v="0"/>
    <n v="0"/>
    <n v="0"/>
    <m/>
    <m/>
    <n v="-9.0481400000000018"/>
    <n v="-8.130469999999999"/>
    <n v="0"/>
    <n v="0"/>
    <n v="0"/>
    <n v="-17.178609999999999"/>
  </r>
  <r>
    <x v="0"/>
    <n v="9940522275"/>
    <s v="MX SAN - TEC Shadow IT"/>
    <x v="14"/>
    <s v="SI"/>
    <n v="37.487380000000002"/>
    <n v="38.018590000000003"/>
    <n v="21.66705"/>
    <n v="0"/>
    <n v="0"/>
    <n v="0"/>
    <n v="0"/>
    <n v="0"/>
    <n v="0"/>
    <n v="0"/>
    <m/>
    <m/>
    <n v="97.173020000000008"/>
    <n v="0"/>
    <n v="0"/>
    <n v="0"/>
    <n v="0"/>
    <n v="97.173020000000008"/>
    <n v="11.82288"/>
    <n v="10.333170000000001"/>
    <n v="7.53512"/>
    <n v="-14.091519999999999"/>
    <n v="-10.20927"/>
    <n v="-10.624879999999999"/>
    <n v="-2.7656299999999998"/>
    <n v="1.0183599999999999"/>
    <n v="6.7369999999999999E-2"/>
    <n v="0"/>
    <m/>
    <m/>
    <n v="29.69117"/>
    <n v="-34.925669999999997"/>
    <n v="-1.6798999999999999"/>
    <n v="0"/>
    <n v="0"/>
    <n v="-6.914399999999997"/>
  </r>
  <r>
    <x v="0"/>
    <n v="9940554399"/>
    <s v="Logic_Kiosko_IPOCS_POD"/>
    <x v="22"/>
    <s v="SI"/>
    <m/>
    <m/>
    <n v="0"/>
    <n v="56.074579999999997"/>
    <n v="0.70340000000000003"/>
    <n v="0"/>
    <n v="0"/>
    <n v="0"/>
    <n v="0"/>
    <n v="0"/>
    <m/>
    <m/>
    <n v="0"/>
    <n v="56.777979999999999"/>
    <n v="0"/>
    <n v="0"/>
    <n v="0"/>
    <n v="56.777979999999999"/>
    <m/>
    <m/>
    <n v="0"/>
    <n v="24.992439999999998"/>
    <n v="8.77E-3"/>
    <n v="0"/>
    <n v="0"/>
    <n v="0"/>
    <n v="0"/>
    <n v="0"/>
    <m/>
    <m/>
    <n v="0"/>
    <n v="25.001209999999997"/>
    <n v="0"/>
    <n v="0"/>
    <n v="0"/>
    <n v="25.001209999999997"/>
  </r>
  <r>
    <x v="0"/>
    <n v="9940561122"/>
    <s v="FUSION 2.0 EAM Support"/>
    <x v="23"/>
    <s v="SI"/>
    <m/>
    <m/>
    <m/>
    <m/>
    <n v="0"/>
    <n v="61.050649999999997"/>
    <n v="15.082420000000001"/>
    <n v="23.532119999999999"/>
    <n v="10.82127"/>
    <n v="3.0390799999999998"/>
    <n v="15.55222"/>
    <n v="0"/>
    <n v="0"/>
    <n v="61.050649999999997"/>
    <n v="49.435809999999996"/>
    <n v="18.5913"/>
    <n v="15.55222"/>
    <n v="129.07775999999998"/>
    <m/>
    <m/>
    <m/>
    <m/>
    <n v="0"/>
    <n v="22.162690000000001"/>
    <n v="3.8505400000000001"/>
    <n v="3.7713800000000002"/>
    <n v="1.74234"/>
    <n v="0.49348999999999998"/>
    <n v="14.13402"/>
    <n v="0"/>
    <n v="0"/>
    <n v="22.162690000000001"/>
    <n v="9.3642599999999998"/>
    <n v="14.627509999999999"/>
    <n v="14.13402"/>
    <n v="46.15446"/>
  </r>
  <r>
    <x v="0"/>
    <n v="9940565208"/>
    <s v="AWS_Pegasus Mexico GTM"/>
    <x v="24"/>
    <s v="SI"/>
    <m/>
    <m/>
    <m/>
    <m/>
    <m/>
    <n v="6.8599800000000002"/>
    <n v="1.1902600000000001"/>
    <n v="106.83123000000001"/>
    <n v="174.29733999999999"/>
    <n v="275.93660999999997"/>
    <n v="191.01428000000001"/>
    <n v="174.27543"/>
    <n v="0"/>
    <n v="6.8599800000000002"/>
    <n v="282.31882999999999"/>
    <n v="641.22631999999999"/>
    <n v="365.28971000000001"/>
    <n v="930.40512999999999"/>
    <m/>
    <m/>
    <m/>
    <m/>
    <m/>
    <n v="3.25197"/>
    <n v="0.52612999999999999"/>
    <n v="57.23198"/>
    <n v="86.498320000000007"/>
    <n v="144.02152000000001"/>
    <n v="88.22072"/>
    <n v="79.413880000000006"/>
    <n v="0"/>
    <n v="3.25197"/>
    <n v="144.25643000000002"/>
    <n v="311.65611999999999"/>
    <n v="167.63460000000001"/>
    <n v="459.16452000000004"/>
  </r>
  <r>
    <x v="0"/>
    <n v="9940574084"/>
    <s v="MDLZ S4 Hana MEU Swiss"/>
    <x v="7"/>
    <s v="SI"/>
    <m/>
    <m/>
    <m/>
    <m/>
    <m/>
    <m/>
    <m/>
    <m/>
    <n v="431.90938"/>
    <n v="29.60886"/>
    <n v="19.238550100000001"/>
    <n v="25.194915900000002"/>
    <n v="0"/>
    <n v="0"/>
    <n v="431.90938"/>
    <n v="74.042326000000003"/>
    <n v="44.433466000000003"/>
    <n v="505.951706"/>
    <m/>
    <m/>
    <m/>
    <m/>
    <m/>
    <m/>
    <m/>
    <m/>
    <n v="314.64190000000002"/>
    <n v="42.274610000000003"/>
    <n v="16.544050599999998"/>
    <n v="-33.965947399999997"/>
    <n v="0"/>
    <n v="0"/>
    <n v="314.64190000000002"/>
    <n v="24.852713200000004"/>
    <n v="-17.421896799999999"/>
    <n v="339.4946132"/>
  </r>
  <r>
    <x v="0"/>
    <n v="9940378649"/>
    <s v="KOF - S/4HANA FINANCE"/>
    <x v="17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64605"/>
    <s v="Saas Secure_remediation"/>
    <x v="6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93512"/>
    <s v="Mapfre-MX-IT Assessment"/>
    <x v="25"/>
    <s v="SI"/>
    <n v="0"/>
    <n v="0"/>
    <n v="0"/>
    <n v="0"/>
    <n v="0"/>
    <n v="0"/>
    <n v="0"/>
    <m/>
    <m/>
    <m/>
    <m/>
    <m/>
    <n v="0"/>
    <n v="0"/>
    <n v="0"/>
    <n v="0"/>
    <n v="0"/>
    <n v="0"/>
    <n v="0"/>
    <n v="0"/>
    <n v="0"/>
    <n v="0"/>
    <n v="0"/>
    <n v="0"/>
    <n v="0"/>
    <m/>
    <m/>
    <m/>
    <m/>
    <m/>
    <n v="0"/>
    <n v="0"/>
    <n v="0"/>
    <n v="0"/>
    <n v="0"/>
    <n v="0"/>
  </r>
  <r>
    <x v="0"/>
    <n v="9940503547"/>
    <s v="Mining Technical Writer"/>
    <x v="23"/>
    <s v="SI"/>
    <n v="5.1970000000000002E-2"/>
    <n v="12.277089999999999"/>
    <n v="0"/>
    <n v="0"/>
    <n v="0"/>
    <n v="0"/>
    <n v="0"/>
    <n v="0"/>
    <n v="0"/>
    <n v="0"/>
    <n v="0"/>
    <n v="0"/>
    <n v="12.32906"/>
    <n v="0"/>
    <n v="0"/>
    <n v="0"/>
    <n v="0"/>
    <n v="12.32906"/>
    <n v="-0.89732000000000001"/>
    <n v="4.0953900000000001"/>
    <n v="-1.0579499999999999"/>
    <n v="-1.00895"/>
    <n v="-1.00895"/>
    <n v="-1.00895"/>
    <n v="-0.99895"/>
    <n v="-0.99895"/>
    <n v="-0.99895"/>
    <n v="-0.99895"/>
    <n v="-0.99895"/>
    <n v="-0.99895"/>
    <n v="2.14012"/>
    <n v="-3.02685"/>
    <n v="-2.9968500000000002"/>
    <n v="-2.9968500000000002"/>
    <n v="-1.9979"/>
    <n v="-6.8804300000000005"/>
  </r>
  <r>
    <x v="0"/>
    <n v="9940547135"/>
    <s v="CITI MX_Cloud Readiness"/>
    <x v="0"/>
    <s v="SI"/>
    <n v="162.78502"/>
    <n v="594.96178999999995"/>
    <n v="335.71620000000001"/>
    <n v="277.91658000000001"/>
    <n v="324.31171000000001"/>
    <n v="244.38533000000001"/>
    <n v="226.82628"/>
    <n v="215.53785999999999"/>
    <n v="52.877510000000001"/>
    <n v="0"/>
    <n v="-113.09215279999999"/>
    <n v="39.488926399999997"/>
    <n v="1093.4630099999999"/>
    <n v="846.61362000000008"/>
    <n v="495.24165000000005"/>
    <n v="-73.603226399999997"/>
    <n v="-73.603226399999997"/>
    <n v="2361.7150535999999"/>
    <n v="56.057459999999999"/>
    <n v="210.85422"/>
    <n v="110.69521"/>
    <n v="88.690860000000001"/>
    <n v="100.28735"/>
    <n v="78.687479999999994"/>
    <n v="72.3446"/>
    <n v="57.913559999999997"/>
    <n v="-45.420059999999999"/>
    <n v="-94.794820000000001"/>
    <n v="170.01464480000001"/>
    <n v="-5.7976776000000001"/>
    <n v="377.60689000000002"/>
    <n v="267.66568999999998"/>
    <n v="84.838099999999997"/>
    <n v="69.422147200000012"/>
    <n v="164.2169672"/>
    <n v="799.53282720000004"/>
  </r>
  <r>
    <x v="0"/>
    <n v="9940548081"/>
    <s v="ASWHCM VW Mexico 21-HCM"/>
    <x v="26"/>
    <s v="SI"/>
    <m/>
    <n v="1.6790499999999999"/>
    <n v="0"/>
    <n v="0"/>
    <n v="0"/>
    <n v="0"/>
    <n v="0"/>
    <n v="0"/>
    <n v="0"/>
    <n v="0"/>
    <n v="0"/>
    <n v="0"/>
    <n v="1.6790499999999999"/>
    <n v="0"/>
    <n v="0"/>
    <n v="0"/>
    <n v="0"/>
    <n v="1.6790499999999999"/>
    <m/>
    <n v="1.6790499999999999"/>
    <n v="-6.6159999999999997E-2"/>
    <n v="-6.6250000000000003E-2"/>
    <n v="-6.7970000000000003E-2"/>
    <n v="-7.0830000000000004E-2"/>
    <n v="-1.797E-2"/>
    <n v="-6.6699999999999995E-2"/>
    <n v="-6.8750000000000006E-2"/>
    <n v="-0.11817"/>
    <n v="0.52810999999999997"/>
    <n v="0"/>
    <n v="1.6128899999999999"/>
    <n v="-0.20505000000000001"/>
    <n v="-0.15342"/>
    <n v="0.40993999999999997"/>
    <n v="0.52810999999999997"/>
    <n v="1.6643600000000001"/>
  </r>
  <r>
    <x v="0"/>
    <n v="9940548132"/>
    <s v="FUSION 2.0 SSFF SUPPORT"/>
    <x v="23"/>
    <s v="SI"/>
    <m/>
    <n v="68.5501"/>
    <n v="38.186500000000002"/>
    <n v="22.1814"/>
    <n v="9.6120000000000001"/>
    <n v="3.91"/>
    <n v="-11.428100000000001"/>
    <n v="0"/>
    <n v="0"/>
    <n v="0"/>
    <n v="31.402000000000001"/>
    <n v="0"/>
    <n v="106.73660000000001"/>
    <n v="35.703400000000002"/>
    <n v="-11.428100000000001"/>
    <n v="31.402000000000001"/>
    <n v="31.402000000000001"/>
    <n v="162.41390000000001"/>
    <m/>
    <n v="60.123939999999997"/>
    <n v="25.221160000000001"/>
    <n v="14.63528"/>
    <n v="0.37635999999999997"/>
    <n v="-7.8044900000000004"/>
    <n v="-18.068110000000001"/>
    <n v="-0.85541999999999996"/>
    <n v="5.1909999999999998E-2"/>
    <n v="5.6680000000000001E-2"/>
    <n v="-8.7224000000000004"/>
    <n v="0"/>
    <n v="85.345100000000002"/>
    <n v="7.2071499999999995"/>
    <n v="-18.87162"/>
    <n v="-8.6657200000000003"/>
    <n v="-8.7224000000000004"/>
    <n v="65.014910000000015"/>
  </r>
  <r>
    <x v="0"/>
    <n v="9940575995"/>
    <s v="MX-CM-TC_SI-DPP_SFTS_Q2"/>
    <x v="13"/>
    <s v="SI"/>
    <m/>
    <m/>
    <m/>
    <m/>
    <m/>
    <m/>
    <m/>
    <m/>
    <n v="75.540090000000006"/>
    <n v="86.649289999999993"/>
    <n v="0"/>
    <n v="0"/>
    <n v="0"/>
    <n v="0"/>
    <n v="75.540090000000006"/>
    <n v="86.649289999999993"/>
    <n v="0"/>
    <n v="162.18938"/>
    <m/>
    <m/>
    <m/>
    <m/>
    <m/>
    <m/>
    <m/>
    <m/>
    <n v="75.540090000000006"/>
    <n v="-19.700769999999999"/>
    <n v="5.1870450000000003"/>
    <n v="0"/>
    <n v="0"/>
    <n v="0"/>
    <n v="75.540090000000006"/>
    <n v="-14.513724999999997"/>
    <n v="5.1870450000000003"/>
    <n v="61.026365000000013"/>
  </r>
  <r>
    <x v="0"/>
    <n v="9940275286"/>
    <s v="ASWHCM La Costeña 21-HCM"/>
    <x v="27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98656"/>
    <s v="ABI - O9 DD PE/EC &amp; Arq."/>
    <x v="9"/>
    <s v="SI"/>
    <n v="0"/>
    <n v="-0.44552999999999998"/>
    <n v="0"/>
    <n v="-27.267669999999999"/>
    <n v="0"/>
    <n v="0"/>
    <n v="0"/>
    <n v="0"/>
    <n v="0"/>
    <n v="0"/>
    <n v="0"/>
    <n v="0"/>
    <n v="-0.44552999999999998"/>
    <n v="-27.267669999999999"/>
    <n v="0"/>
    <n v="0"/>
    <n v="0"/>
    <n v="-27.713200000000001"/>
    <n v="-4.3899999999999998E-3"/>
    <n v="-0.44999"/>
    <n v="0"/>
    <n v="-27.267669999999999"/>
    <n v="0.32450000000000001"/>
    <n v="0.33816000000000002"/>
    <n v="0.33851999999999999"/>
    <n v="0.32490999999999998"/>
    <n v="0.33492"/>
    <n v="0.33576"/>
    <n v="0"/>
    <n v="0"/>
    <n v="-0.45438000000000001"/>
    <n v="-26.60501"/>
    <n v="0.99834999999999996"/>
    <n v="0.33576"/>
    <n v="0"/>
    <n v="-25.725280000000001"/>
  </r>
  <r>
    <x v="0"/>
    <n v="9940529592"/>
    <s v="LOGIC_Super Aki_Relex FR"/>
    <x v="28"/>
    <s v="SI"/>
    <n v="36.135559999999998"/>
    <n v="35.28904"/>
    <n v="27.496949999999998"/>
    <n v="26.37631"/>
    <n v="18.460799999999999"/>
    <n v="2.7593700000000001"/>
    <n v="-31.318529999999999"/>
    <n v="22.621659999999999"/>
    <n v="6.9346500000000004"/>
    <n v="0.50307999999999997"/>
    <n v="33.603479999999998"/>
    <n v="47.955030000000001"/>
    <n v="98.921549999999996"/>
    <n v="47.596479999999993"/>
    <n v="-1.7622200000000001"/>
    <n v="82.061589999999995"/>
    <n v="81.558509999999998"/>
    <n v="226.81739999999996"/>
    <n v="27.031089999999999"/>
    <n v="9.0997299999999992"/>
    <n v="7.38713"/>
    <n v="4.7357699999999996"/>
    <n v="2.4106299999999998"/>
    <n v="-3.6731400000000001"/>
    <n v="-37.132060000000003"/>
    <n v="10.228400000000001"/>
    <n v="1.5791500000000001"/>
    <n v="-5.0066199999999998"/>
    <n v="-3.6873999999999998"/>
    <n v="19.477620000000002"/>
    <n v="43.517949999999999"/>
    <n v="3.4732599999999998"/>
    <n v="-25.324510000000004"/>
    <n v="10.783600000000002"/>
    <n v="15.790220000000001"/>
    <n v="32.450299999999991"/>
  </r>
  <r>
    <x v="0"/>
    <n v="9940560429"/>
    <s v="Cyber resilience program"/>
    <x v="29"/>
    <s v="SI"/>
    <m/>
    <m/>
    <m/>
    <m/>
    <n v="31.329519999999999"/>
    <n v="2.6325599999999998"/>
    <n v="16.186309999999999"/>
    <n v="4.3917000000000002"/>
    <n v="6.9649200000000002"/>
    <n v="0"/>
    <m/>
    <m/>
    <n v="0"/>
    <n v="33.96208"/>
    <n v="27.542929999999998"/>
    <n v="0"/>
    <n v="0"/>
    <n v="61.505009999999999"/>
    <m/>
    <m/>
    <m/>
    <m/>
    <n v="17.816990000000001"/>
    <n v="-1.7940100000000001"/>
    <n v="12.638870000000001"/>
    <n v="2.2352500000000002"/>
    <n v="7.0345700000000004"/>
    <n v="0"/>
    <m/>
    <m/>
    <n v="0"/>
    <n v="16.02298"/>
    <n v="21.90869"/>
    <n v="0"/>
    <n v="0"/>
    <n v="37.931669999999997"/>
  </r>
  <r>
    <x v="0"/>
    <n v="9940457031"/>
    <s v="Chubb- MX-Data Assessment"/>
    <x v="30"/>
    <s v="SI"/>
    <n v="0"/>
    <n v="0"/>
    <n v="0"/>
    <n v="0"/>
    <m/>
    <m/>
    <m/>
    <m/>
    <m/>
    <m/>
    <m/>
    <m/>
    <n v="0"/>
    <n v="0"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</r>
  <r>
    <x v="0"/>
    <n v="9940541530"/>
    <s v="BMX - SaaS Payroll System"/>
    <x v="0"/>
    <s v="SI"/>
    <n v="115.27849000000001"/>
    <n v="146.34081"/>
    <n v="195.79291000000001"/>
    <n v="225.19905"/>
    <n v="315.32515999999998"/>
    <n v="302.92333000000002"/>
    <n v="350.76499999999999"/>
    <n v="318.39807000000002"/>
    <n v="340.75394999999997"/>
    <n v="140.99351999999999"/>
    <n v="0"/>
    <n v="0"/>
    <n v="457.41221000000002"/>
    <n v="843.44754000000012"/>
    <n v="1009.9170200000001"/>
    <n v="140.99351999999999"/>
    <n v="0"/>
    <n v="2451.7702900000004"/>
    <n v="27.245090000000001"/>
    <n v="47.100650000000002"/>
    <n v="62.742449999999998"/>
    <n v="71.439109999999999"/>
    <n v="108.4661"/>
    <n v="86.467920000000007"/>
    <n v="105.76982"/>
    <n v="99.991050000000001"/>
    <n v="96.931340000000006"/>
    <n v="-131.37414000000001"/>
    <n v="-195.48007000000001"/>
    <n v="-93.011480000000006"/>
    <n v="137.08819"/>
    <n v="266.37313"/>
    <n v="302.69221000000005"/>
    <n v="-419.86569000000003"/>
    <n v="-288.49155000000002"/>
    <n v="286.28784000000002"/>
  </r>
  <r>
    <x v="0"/>
    <n v="9940325859"/>
    <s v="Backoffice Trans: Ingresos"/>
    <x v="31"/>
    <s v="SI"/>
    <n v="107.29962"/>
    <n v="76.670770000000005"/>
    <n v="61.878439999999998"/>
    <n v="52.172420000000002"/>
    <n v="66.123819999999995"/>
    <n v="86.666210000000007"/>
    <n v="68.324939999999998"/>
    <n v="65.283389999999997"/>
    <n v="62.952779999999997"/>
    <n v="11.73183"/>
    <n v="51.017783100000003"/>
    <n v="16.709454900000001"/>
    <n v="245.84883000000002"/>
    <n v="204.96244999999999"/>
    <n v="196.56110999999999"/>
    <n v="79.459068000000002"/>
    <n v="67.727238"/>
    <n v="726.831458"/>
    <n v="58.718800000000002"/>
    <n v="17.610389999999999"/>
    <n v="13.85094"/>
    <n v="12.583019999999999"/>
    <n v="17.065100000000001"/>
    <n v="44.189109999999999"/>
    <n v="18.51709"/>
    <n v="17.27055"/>
    <n v="17.9284"/>
    <n v="-34.922139999999999"/>
    <n v="15.7130961"/>
    <n v="3.1926128999999999"/>
    <n v="90.180129999999991"/>
    <n v="73.837230000000005"/>
    <n v="53.716039999999992"/>
    <n v="-16.016430999999997"/>
    <n v="18.905708999999998"/>
    <n v="201.71696900000001"/>
  </r>
  <r>
    <x v="0"/>
    <n v="9940364931"/>
    <s v="Data &amp; Analytics Framework"/>
    <x v="7"/>
    <s v="SI"/>
    <n v="28.233129999999999"/>
    <n v="30.04222"/>
    <n v="25.0823"/>
    <n v="23.6038"/>
    <n v="30.43535"/>
    <n v="28.04617"/>
    <n v="29.432880000000001"/>
    <n v="24.910699999999999"/>
    <n v="37.684539999999998"/>
    <n v="23.486329999999999"/>
    <n v="32.080726200000001"/>
    <n v="25.8"/>
    <n v="83.357650000000007"/>
    <n v="82.085319999999996"/>
    <n v="92.028120000000001"/>
    <n v="81.367056199999993"/>
    <n v="57.880726199999998"/>
    <n v="338.83814619999998"/>
    <n v="9.0136599999999998"/>
    <n v="10.75564"/>
    <n v="6.6210800000000001"/>
    <n v="5.8319999999999999"/>
    <n v="11.88963"/>
    <n v="9.5579499999999999"/>
    <n v="9.8757000000000001"/>
    <n v="5.9637399999999996"/>
    <n v="19.984439999999999"/>
    <n v="5.5979099999999997"/>
    <n v="16.391247400000001"/>
    <n v="3.0837880000000002"/>
    <n v="26.39038"/>
    <n v="27.279580000000003"/>
    <n v="35.823880000000003"/>
    <n v="25.072945400000002"/>
    <n v="19.475035400000003"/>
    <n v="114.56678540000001"/>
  </r>
  <r>
    <x v="0"/>
    <n v="9940554861"/>
    <s v="DESC Ciberinteligencia GPM"/>
    <x v="32"/>
    <s v="SI"/>
    <m/>
    <m/>
    <m/>
    <n v="0"/>
    <n v="0"/>
    <n v="0"/>
    <n v="0"/>
    <n v="0"/>
    <n v="0"/>
    <n v="0"/>
    <n v="1.7667900000000001"/>
    <n v="0"/>
    <n v="0"/>
    <n v="0"/>
    <n v="0"/>
    <n v="1.7667900000000001"/>
    <n v="1.7667900000000001"/>
    <n v="1.7667900000000001"/>
    <m/>
    <m/>
    <m/>
    <n v="0"/>
    <n v="0"/>
    <n v="0"/>
    <n v="0"/>
    <n v="0"/>
    <n v="0"/>
    <n v="0"/>
    <n v="0.84604000000000001"/>
    <n v="0"/>
    <n v="0"/>
    <n v="0"/>
    <n v="0"/>
    <n v="0.84604000000000001"/>
    <n v="0.84604000000000001"/>
    <n v="0.84604000000000001"/>
  </r>
  <r>
    <x v="0"/>
    <n v="9940435199"/>
    <s v="ADF Ricolino"/>
    <x v="7"/>
    <s v="SI"/>
    <n v="0"/>
    <n v="0"/>
    <n v="0"/>
    <n v="0"/>
    <n v="0"/>
    <n v="-1.45431"/>
    <n v="0"/>
    <n v="0"/>
    <n v="0"/>
    <n v="0"/>
    <n v="0"/>
    <n v="0"/>
    <n v="0"/>
    <n v="-1.45431"/>
    <n v="0"/>
    <n v="0"/>
    <n v="0"/>
    <n v="-1.45431"/>
    <n v="0.33207999999999999"/>
    <n v="0.33678000000000002"/>
    <n v="0.33628000000000002"/>
    <n v="0.33673999999999998"/>
    <n v="0.34547"/>
    <n v="-1.45431"/>
    <n v="0.3604"/>
    <n v="0.34589999999999999"/>
    <n v="0.35655999999999999"/>
    <n v="0.35744999999999999"/>
    <n v="0.35324"/>
    <n v="0.35324"/>
    <n v="1.0051399999999999"/>
    <n v="-0.77210000000000001"/>
    <n v="1.0628599999999999"/>
    <n v="1.06393"/>
    <n v="0.70648"/>
    <n v="2.3598299999999997"/>
  </r>
  <r>
    <x v="0"/>
    <n v="9940327755"/>
    <s v="Paquete de Servicios SAP SI"/>
    <x v="33"/>
    <s v="SI"/>
    <n v="61.780200000000001"/>
    <n v="0"/>
    <n v="0"/>
    <n v="0"/>
    <n v="0"/>
    <n v="-92.562169999999995"/>
    <n v="0"/>
    <n v="0"/>
    <n v="0"/>
    <n v="9.7328399999999995"/>
    <n v="0"/>
    <n v="0"/>
    <n v="61.780200000000001"/>
    <n v="-92.562169999999995"/>
    <n v="0"/>
    <n v="9.7328399999999995"/>
    <n v="0"/>
    <n v="-21.049129999999995"/>
    <n v="60.947780000000002"/>
    <n v="-1.4411099999999999"/>
    <n v="-1.20956"/>
    <n v="-1.2112099999999999"/>
    <n v="-3.7582100000000001"/>
    <n v="-93.847989999999996"/>
    <n v="-0.33955999999999997"/>
    <n v="-4.5852899999999996"/>
    <n v="-0.91581999999999997"/>
    <n v="9.3753299999999999"/>
    <n v="-7.5719999999999996E-2"/>
    <n v="-9.6180000000000002E-2"/>
    <n v="58.297109999999996"/>
    <n v="-98.817409999999995"/>
    <n v="-5.8406699999999994"/>
    <n v="9.2034299999999991"/>
    <n v="-0.1719"/>
    <n v="-37.157539999999997"/>
  </r>
  <r>
    <x v="0"/>
    <n v="9940406761"/>
    <s v="ORBIA S4 KAV Phoenix US&amp;MXN"/>
    <x v="34"/>
    <s v="SI"/>
    <n v="0"/>
    <n v="0"/>
    <n v="0.50283"/>
    <n v="0"/>
    <n v="0"/>
    <n v="0"/>
    <n v="0"/>
    <n v="0"/>
    <n v="0"/>
    <n v="0"/>
    <m/>
    <m/>
    <n v="0.50283"/>
    <n v="0"/>
    <n v="0"/>
    <n v="0"/>
    <n v="0"/>
    <n v="0.50283"/>
    <n v="-0.55528"/>
    <n v="-0.53922999999999999"/>
    <n v="0.46438000000000001"/>
    <n v="0"/>
    <n v="0"/>
    <n v="0"/>
    <n v="0"/>
    <n v="0"/>
    <n v="0"/>
    <n v="0"/>
    <m/>
    <m/>
    <n v="-0.63013000000000008"/>
    <n v="0"/>
    <n v="0"/>
    <n v="0"/>
    <n v="0"/>
    <n v="-0.63013000000000008"/>
  </r>
  <r>
    <x v="1"/>
    <n v="9940435199"/>
    <s v="ADF Ricolino"/>
    <x v="7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5324"/>
    <n v="0.35324"/>
    <n v="0.35324"/>
    <n v="0.35324"/>
    <n v="0.35324"/>
    <n v="0.35324"/>
    <n v="0.35324"/>
    <n v="0.35324"/>
    <n v="0.35324"/>
    <n v="0.35324"/>
    <n v="0.35324"/>
    <n v="0.35324"/>
    <n v="1.05972"/>
    <n v="1.05972"/>
    <n v="1.05972"/>
    <n v="1.05972"/>
    <n v="0.70648"/>
    <n v="4.23888"/>
  </r>
  <r>
    <x v="0"/>
    <n v="9940435383"/>
    <s v="Mondelez ADF Cliff Integration"/>
    <x v="7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345000000000001"/>
    <n v="0.16345000000000001"/>
    <n v="0.25930999999999998"/>
    <n v="0.25930999999999998"/>
    <n v="0.17105000000000001"/>
    <n v="0.20058999999999999"/>
    <n v="0.20058999999999999"/>
    <n v="0.19084000000000001"/>
    <n v="0.20058999999999999"/>
    <n v="0.20058999999999999"/>
    <n v="-0.20532"/>
    <n v="0.1641"/>
    <n v="0.58621000000000001"/>
    <n v="0.6309499999999999"/>
    <n v="0.59201999999999999"/>
    <n v="0.15936999999999998"/>
    <n v="-4.1220000000000007E-2"/>
    <n v="1.9685499999999998"/>
  </r>
  <r>
    <x v="0"/>
    <n v="9940494556"/>
    <s v="Data Governance Imp_Phase 2"/>
    <x v="6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529552"/>
    <s v="MX_Request_for_Intelligence"/>
    <x v="35"/>
    <s v="SI"/>
    <n v="0.29376000000000002"/>
    <n v="0"/>
    <n v="0"/>
    <n v="0"/>
    <n v="0"/>
    <n v="0"/>
    <n v="0"/>
    <n v="0"/>
    <n v="0"/>
    <n v="0"/>
    <m/>
    <m/>
    <n v="0.29376000000000002"/>
    <n v="0"/>
    <n v="0"/>
    <n v="0"/>
    <n v="0"/>
    <n v="0.29376000000000002"/>
    <n v="-0.83501000000000003"/>
    <n v="-0.18346999999999999"/>
    <n v="0"/>
    <n v="0"/>
    <n v="0"/>
    <n v="0"/>
    <n v="0"/>
    <n v="0"/>
    <n v="0"/>
    <n v="0"/>
    <m/>
    <m/>
    <n v="-1.0184800000000001"/>
    <n v="0"/>
    <n v="0"/>
    <n v="0"/>
    <n v="0"/>
    <n v="-1.0184800000000001"/>
  </r>
  <r>
    <x v="1"/>
    <n v="9940435383"/>
    <s v="Mondelez ADF Cliff Integration"/>
    <x v="7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41"/>
    <n v="0.1641"/>
    <n v="0.1641"/>
    <n v="0.1641"/>
    <n v="0.1641"/>
    <n v="0.1641"/>
    <n v="0.1641"/>
    <n v="0.1641"/>
    <n v="0.1641"/>
    <n v="0.1641"/>
    <n v="0.1641"/>
    <n v="0.1641"/>
    <n v="0.49229999999999996"/>
    <n v="0.49229999999999996"/>
    <n v="0.49229999999999996"/>
    <n v="0.49229999999999996"/>
    <n v="0.32819999999999999"/>
    <n v="1.9691999999999998"/>
  </r>
  <r>
    <x v="0"/>
    <n v="9940534372"/>
    <s v="AC - Implementación OTM Perú"/>
    <x v="17"/>
    <s v="SI"/>
    <n v="29.667110000000001"/>
    <n v="35.406610000000001"/>
    <n v="30.910450000000001"/>
    <n v="10.4795"/>
    <n v="0"/>
    <n v="0"/>
    <n v="29.752739999999999"/>
    <n v="0"/>
    <n v="0"/>
    <n v="0"/>
    <n v="0"/>
    <n v="0"/>
    <n v="95.984170000000006"/>
    <n v="10.4795"/>
    <n v="29.752739999999999"/>
    <n v="0"/>
    <n v="0"/>
    <n v="136.21641"/>
    <n v="8.2257300000000004"/>
    <n v="10.77159"/>
    <n v="8.5102899999999995"/>
    <n v="-12.42957"/>
    <n v="-6.11029"/>
    <n v="-1.3584400000000001"/>
    <n v="27.096699999999998"/>
    <n v="-1.5288900000000001"/>
    <n v="-0.58208000000000004"/>
    <n v="-0.58353999999999995"/>
    <n v="-0.24088999999999999"/>
    <n v="0"/>
    <n v="27.50761"/>
    <n v="-19.898300000000003"/>
    <n v="24.985729999999997"/>
    <n v="-0.82443"/>
    <n v="-0.24088999999999999"/>
    <n v="31.770609999999998"/>
  </r>
  <r>
    <x v="0"/>
    <n v="9940536891"/>
    <s v="Fusion Data Services Support"/>
    <x v="23"/>
    <s v="SI"/>
    <n v="21.712399999999999"/>
    <n v="19.879000000000001"/>
    <n v="29.588999999999999"/>
    <n v="39.261000000000003"/>
    <n v="24.733000000000001"/>
    <n v="27.010750000000002"/>
    <n v="50.523479999999999"/>
    <n v="31.203510000000001"/>
    <n v="29.54139"/>
    <n v="-0.43443999999999999"/>
    <n v="0"/>
    <n v="0"/>
    <n v="71.180399999999992"/>
    <n v="91.004750000000001"/>
    <n v="111.26838000000001"/>
    <n v="-0.43443999999999999"/>
    <n v="0"/>
    <n v="273.01909000000001"/>
    <n v="-4.8884299999999996"/>
    <n v="12.442909999999999"/>
    <n v="18.48019"/>
    <n v="16.397290000000002"/>
    <n v="5.4910699999999997"/>
    <n v="4.2213700000000003"/>
    <n v="24.89423"/>
    <n v="13.471310000000001"/>
    <n v="38.944459999999999"/>
    <n v="-16.317209999999999"/>
    <n v="-20.015219999999999"/>
    <n v="0"/>
    <n v="26.034669999999998"/>
    <n v="26.109730000000003"/>
    <n v="77.31"/>
    <n v="-36.332430000000002"/>
    <n v="-20.015219999999999"/>
    <n v="93.121970000000019"/>
  </r>
  <r>
    <x v="0"/>
    <n v="9940575842"/>
    <s v="MX-CM-AMS-JT ADOPCION IA MEX"/>
    <x v="13"/>
    <s v="SI"/>
    <m/>
    <m/>
    <m/>
    <m/>
    <m/>
    <m/>
    <m/>
    <m/>
    <n v="16.05555"/>
    <n v="20.319240000000001"/>
    <n v="32.856319999999997"/>
    <n v="13.391372499999999"/>
    <n v="0"/>
    <n v="0"/>
    <n v="16.05555"/>
    <n v="66.566932499999993"/>
    <n v="46.247692499999999"/>
    <n v="82.62248249999999"/>
    <m/>
    <m/>
    <m/>
    <m/>
    <m/>
    <m/>
    <m/>
    <m/>
    <n v="8.5294899999999991"/>
    <n v="-3.67849"/>
    <n v="25.89264"/>
    <n v="-1.1529575000000001"/>
    <n v="0"/>
    <n v="0"/>
    <n v="8.5294899999999991"/>
    <n v="21.061192500000001"/>
    <n v="24.739682500000001"/>
    <n v="29.5906825"/>
  </r>
  <r>
    <x v="0"/>
    <n v="9940151900"/>
    <s v="ASWHCM Centro de Servicios 53"/>
    <x v="3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41209"/>
    <s v="ADF Middleware SI"/>
    <x v="7"/>
    <s v="SI"/>
    <n v="4.5555399999999997"/>
    <n v="0"/>
    <n v="0"/>
    <n v="0"/>
    <n v="0"/>
    <n v="0"/>
    <n v="0"/>
    <n v="0"/>
    <n v="0"/>
    <n v="0"/>
    <m/>
    <m/>
    <n v="4.5555399999999997"/>
    <n v="0"/>
    <n v="0"/>
    <n v="0"/>
    <n v="0"/>
    <n v="4.5555399999999997"/>
    <n v="4.5962500000000004"/>
    <n v="-4.8500000000000001E-3"/>
    <n v="-4.8500000000000001E-3"/>
    <n v="0"/>
    <n v="0"/>
    <n v="0"/>
    <n v="0"/>
    <n v="0"/>
    <n v="0"/>
    <n v="0"/>
    <m/>
    <m/>
    <n v="4.5865499999999999"/>
    <n v="0"/>
    <n v="0"/>
    <n v="0"/>
    <n v="0"/>
    <n v="4.5865499999999999"/>
  </r>
  <r>
    <x v="0"/>
    <n v="9940490968"/>
    <s v="MNEMO_ AXA_Programa de puntos"/>
    <x v="36"/>
    <s v="SI"/>
    <n v="139.24074999999999"/>
    <n v="115.19512"/>
    <n v="26.315429999999999"/>
    <n v="147.08656999999999"/>
    <n v="169.30789999999999"/>
    <n v="35.573740000000001"/>
    <n v="77.768000000000001"/>
    <n v="57.660359999999997"/>
    <n v="55.782440000000001"/>
    <n v="12.883050000000001"/>
    <n v="0"/>
    <n v="0"/>
    <n v="280.75130000000001"/>
    <n v="351.96820999999994"/>
    <n v="191.21080000000001"/>
    <n v="12.883050000000001"/>
    <n v="0"/>
    <n v="836.81335999999999"/>
    <n v="45.635680000000001"/>
    <n v="24.668279999999999"/>
    <n v="-53.416969999999999"/>
    <n v="98.680660000000003"/>
    <n v="118.40522"/>
    <n v="-0.81862000000000001"/>
    <n v="32.249879999999997"/>
    <n v="6.7230299999999996"/>
    <n v="9.2890599999999992"/>
    <n v="-21.87556"/>
    <n v="25.318670000000001"/>
    <n v="-0.74666999999999994"/>
    <n v="16.886990000000004"/>
    <n v="216.26725999999999"/>
    <n v="48.261969999999998"/>
    <n v="2.6964400000000008"/>
    <n v="24.572000000000003"/>
    <n v="284.11266000000001"/>
  </r>
  <r>
    <x v="0"/>
    <n v="9940529079"/>
    <s v="LOGIC_7E_Regiones de impuesto"/>
    <x v="37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-0.18278"/>
    <n v="-0.43641000000000002"/>
    <n v="-0.36796000000000001"/>
    <n v="-1.274E-2"/>
    <n v="0"/>
    <n v="0"/>
    <n v="0"/>
    <n v="0"/>
    <m/>
    <m/>
    <n v="-0.18278"/>
    <n v="-0.81711"/>
    <n v="0"/>
    <n v="0"/>
    <n v="0"/>
    <n v="-0.99988999999999995"/>
  </r>
  <r>
    <x v="0"/>
    <n v="9940567562"/>
    <s v="MX-CM-TC-DPP_perfil_riesgo_MX"/>
    <x v="13"/>
    <s v="SI"/>
    <m/>
    <m/>
    <m/>
    <m/>
    <m/>
    <m/>
    <n v="20.778680000000001"/>
    <n v="-0.81730000000000003"/>
    <n v="4.1277699999999999"/>
    <n v="15.129659999999999"/>
    <n v="11.313190000000001"/>
    <n v="0"/>
    <n v="0"/>
    <n v="0"/>
    <n v="24.089150000000004"/>
    <n v="26.44285"/>
    <n v="11.313190000000001"/>
    <n v="50.532000000000004"/>
    <m/>
    <m/>
    <m/>
    <m/>
    <m/>
    <m/>
    <n v="4.4030500000000004"/>
    <n v="-0.63802999999999999"/>
    <n v="0.66249999999999998"/>
    <n v="5.9575500000000003"/>
    <n v="8.2136300000000002"/>
    <n v="-0.13531000000000001"/>
    <n v="0"/>
    <n v="0"/>
    <n v="4.4275200000000003"/>
    <n v="14.035869999999999"/>
    <n v="8.0783199999999997"/>
    <n v="18.46339"/>
  </r>
  <r>
    <x v="0"/>
    <n v="9940457933"/>
    <s v="KOF - S/4HANA Wave 4 - PAPM"/>
    <x v="17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250928"/>
    <s v="MX SAN - Nomina Dig onboarding"/>
    <x v="14"/>
    <s v="SI"/>
    <n v="73.252799999999993"/>
    <n v="75.671760000000006"/>
    <n v="67.881410000000002"/>
    <n v="58.784930000000003"/>
    <n v="69.743729999999999"/>
    <n v="71.722620000000006"/>
    <n v="73.728470000000002"/>
    <n v="70.262370000000004"/>
    <n v="74.890870000000007"/>
    <n v="77.01952"/>
    <n v="79.660200000000003"/>
    <n v="80.167019999999994"/>
    <n v="216.80597"/>
    <n v="200.25128000000001"/>
    <n v="218.88171"/>
    <n v="236.84674000000001"/>
    <n v="159.82722000000001"/>
    <n v="872.78569999999991"/>
    <n v="37.709589999999999"/>
    <n v="40.020780000000002"/>
    <n v="32.318199999999997"/>
    <n v="23.727049999999998"/>
    <n v="42.924039999999998"/>
    <n v="43.228859999999997"/>
    <n v="36.905430000000003"/>
    <n v="35.333480000000002"/>
    <n v="38.948880000000003"/>
    <n v="40.00394"/>
    <n v="53.291179999999997"/>
    <n v="53.90016"/>
    <n v="110.04856999999998"/>
    <n v="109.87994999999999"/>
    <n v="111.18779000000001"/>
    <n v="147.19528"/>
    <n v="107.19134"/>
    <n v="478.31159000000002"/>
  </r>
  <r>
    <x v="0"/>
    <n v="9940274183"/>
    <s v="Sanofi - SCCore Global Program"/>
    <x v="4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29153"/>
    <s v="MX SAN – SAP Looking Ahead USA"/>
    <x v="14"/>
    <s v="SI"/>
    <n v="79.251360000000005"/>
    <n v="0"/>
    <n v="116.45726000000001"/>
    <n v="53.798209999999997"/>
    <n v="60.425400000000003"/>
    <n v="144.97264999999999"/>
    <n v="0"/>
    <n v="0"/>
    <n v="0"/>
    <n v="0"/>
    <m/>
    <m/>
    <n v="195.70862"/>
    <n v="259.19626"/>
    <n v="0"/>
    <n v="0"/>
    <n v="0"/>
    <n v="454.90487999999999"/>
    <n v="25.09845"/>
    <n v="-35.269570000000002"/>
    <n v="81.687029999999993"/>
    <n v="18.713560000000001"/>
    <n v="22.668949999999999"/>
    <n v="52.324599999999997"/>
    <n v="-1.6758299999999999"/>
    <n v="0"/>
    <n v="0"/>
    <n v="0"/>
    <m/>
    <m/>
    <n v="71.515909999999991"/>
    <n v="93.70711"/>
    <n v="-1.6758299999999999"/>
    <n v="0"/>
    <n v="0"/>
    <n v="163.54719"/>
  </r>
  <r>
    <x v="0"/>
    <n v="9940465445"/>
    <s v="KOF S4H FIT &amp; GAP Supply Chain"/>
    <x v="17"/>
    <s v="SI"/>
    <n v="202.95823999999999"/>
    <n v="184.59683000000001"/>
    <n v="237.67"/>
    <n v="134.28832"/>
    <n v="186.31899999999999"/>
    <n v="227.75013000000001"/>
    <n v="1.0000000000000001E-5"/>
    <n v="-4.4639999999999999E-2"/>
    <n v="4.6399999999999997E-2"/>
    <n v="0"/>
    <n v="0"/>
    <n v="0"/>
    <n v="625.22506999999996"/>
    <n v="548.35744999999997"/>
    <n v="1.7700000000000007E-3"/>
    <n v="0"/>
    <n v="0"/>
    <n v="1173.58429"/>
    <n v="3.9379499999999998"/>
    <n v="-2.6117300000000001"/>
    <n v="105.26621"/>
    <n v="-5.1639900000000001"/>
    <n v="56.023150000000001"/>
    <n v="119.5715"/>
    <n v="-27.223610000000001"/>
    <n v="-30.316230000000001"/>
    <n v="-31.185359999999999"/>
    <n v="-31.310680000000001"/>
    <n v="2.4539259000000002"/>
    <n v="0"/>
    <n v="106.59243000000001"/>
    <n v="170.43065999999999"/>
    <n v="-88.725200000000001"/>
    <n v="-28.8567541"/>
    <n v="2.4539259000000002"/>
    <n v="159.44113590000003"/>
  </r>
  <r>
    <x v="0"/>
    <n v="9940505266"/>
    <s v="AU RESALE Coppel, S.A. de C.V."/>
    <x v="5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.0698600000000003"/>
    <n v="-1.08501"/>
    <n v="-1.0834299999999999"/>
    <n v="10.20078"/>
    <n v="10.464969999999999"/>
    <n v="10.90551"/>
    <n v="2.7268500000000002"/>
    <n v="0.12103"/>
    <n v="0.12476"/>
    <n v="0.12506999999999999"/>
    <n v="10.403230000000001"/>
    <n v="0"/>
    <n v="-6.2383000000000006"/>
    <n v="31.571259999999999"/>
    <n v="2.9726400000000006"/>
    <n v="10.5283"/>
    <n v="10.403230000000001"/>
    <n v="38.8339"/>
  </r>
  <r>
    <x v="0"/>
    <n v="9940523865"/>
    <s v="Volaris Procurement MM - Ariba"/>
    <x v="38"/>
    <s v="SI"/>
    <n v="165.45702"/>
    <n v="159.67408"/>
    <n v="118.07844"/>
    <n v="104.72163"/>
    <n v="91.705349999999996"/>
    <n v="52.377220000000001"/>
    <n v="13.37893"/>
    <n v="1.06467"/>
    <n v="0"/>
    <n v="0"/>
    <n v="0"/>
    <n v="0"/>
    <n v="443.20954"/>
    <n v="248.80420000000001"/>
    <n v="14.4436"/>
    <n v="0"/>
    <n v="0"/>
    <n v="706.45733999999993"/>
    <n v="55.378259999999997"/>
    <n v="51.996609999999997"/>
    <n v="44.058399999999999"/>
    <n v="41.575130000000001"/>
    <n v="38.506120000000003"/>
    <n v="22.007580000000001"/>
    <n v="-1.76735"/>
    <n v="-10.715479999999999"/>
    <n v="-0.28350999999999998"/>
    <n v="-0.65639999999999998"/>
    <n v="2.7088199999999998"/>
    <n v="0"/>
    <n v="151.43326999999999"/>
    <n v="102.08883000000002"/>
    <n v="-12.76634"/>
    <n v="2.0524199999999997"/>
    <n v="2.7088199999999998"/>
    <n v="242.80818000000002"/>
  </r>
  <r>
    <x v="0"/>
    <n v="9940529235"/>
    <s v="LOGIC_Petromax_REFFA Extension"/>
    <x v="37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-0.18278"/>
    <n v="-0.43641000000000002"/>
    <n v="-0.39390999999999998"/>
    <n v="-1.274E-2"/>
    <n v="0"/>
    <n v="0"/>
    <n v="0"/>
    <n v="0"/>
    <m/>
    <m/>
    <n v="-0.18278"/>
    <n v="-0.84305999999999992"/>
    <n v="0"/>
    <n v="0"/>
    <n v="0"/>
    <n v="-1.0258399999999999"/>
  </r>
  <r>
    <x v="0"/>
    <n v="9940537104"/>
    <s v="CITI GRU Transformation US 80%"/>
    <x v="0"/>
    <s v="SI"/>
    <m/>
    <m/>
    <m/>
    <m/>
    <m/>
    <n v="44.28"/>
    <n v="44.28"/>
    <n v="44.28"/>
    <n v="44.28"/>
    <n v="44.28"/>
    <n v="44.28"/>
    <n v="44.28"/>
    <n v="0"/>
    <n v="44.28"/>
    <n v="132.84"/>
    <n v="132.84"/>
    <n v="88.56"/>
    <n v="309.96000000000004"/>
    <m/>
    <m/>
    <m/>
    <m/>
    <m/>
    <n v="44.28"/>
    <n v="43.69614"/>
    <n v="2.5396999999999998"/>
    <n v="-8.6853099999999994"/>
    <n v="-15.6701"/>
    <n v="23.124434600000001"/>
    <n v="12.8472311"/>
    <n v="0"/>
    <n v="44.28"/>
    <n v="37.550529999999995"/>
    <n v="20.301565700000001"/>
    <n v="35.971665700000003"/>
    <n v="102.13209569999999"/>
  </r>
  <r>
    <x v="0"/>
    <n v="9940328991"/>
    <s v="Gravity Mainframe Modernization"/>
    <x v="14"/>
    <s v="SI"/>
    <n v="36.695569999999996"/>
    <n v="38.256439999999998"/>
    <n v="30.07808"/>
    <n v="24.972490000000001"/>
    <n v="27.700060000000001"/>
    <n v="29.302299999999999"/>
    <n v="23.388089999999998"/>
    <n v="22.46923"/>
    <n v="31.65128"/>
    <n v="24.354189999999999"/>
    <n v="19.3211592"/>
    <n v="13.4641308"/>
    <n v="105.03009"/>
    <n v="81.974850000000004"/>
    <n v="77.508600000000001"/>
    <n v="57.139479999999999"/>
    <n v="32.785290000000003"/>
    <n v="321.65302000000003"/>
    <n v="14.85314"/>
    <n v="10.532439999999999"/>
    <n v="10.52614"/>
    <n v="6.5091299999999999"/>
    <n v="8.7371300000000005"/>
    <n v="8.2142199999999992"/>
    <n v="4.5025700000000004"/>
    <n v="8.9661899999999992"/>
    <n v="16.253160000000001"/>
    <n v="7.2938099999999997"/>
    <n v="5.7763352000000001"/>
    <n v="5.2510415999999998"/>
    <n v="35.911719999999995"/>
    <n v="23.460479999999997"/>
    <n v="29.721920000000001"/>
    <n v="18.3211868"/>
    <n v="11.027376799999999"/>
    <n v="107.4153068"/>
  </r>
  <r>
    <x v="0"/>
    <n v="9940486103"/>
    <s v="OXXO - Arquitectura Empresarial"/>
    <x v="3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68282"/>
    <s v="KOF Ciberseguridad OT"/>
    <x v="17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501370"/>
    <s v="Logic Mexico Affiliate Contract"/>
    <x v="39"/>
    <s v="SI"/>
    <n v="0"/>
    <n v="0"/>
    <n v="-6.2071899999999998"/>
    <n v="0"/>
    <n v="0"/>
    <n v="0"/>
    <n v="0"/>
    <n v="0"/>
    <n v="0"/>
    <n v="0"/>
    <m/>
    <m/>
    <n v="-6.2071899999999998"/>
    <n v="0"/>
    <n v="0"/>
    <n v="0"/>
    <n v="0"/>
    <n v="-6.2071899999999998"/>
    <n v="1.7410000000000001"/>
    <n v="-25.694030000000001"/>
    <n v="-8.0571400000000004"/>
    <n v="-3.9336000000000002"/>
    <n v="0.96747000000000005"/>
    <n v="-4.3356599999999998"/>
    <n v="1.43205"/>
    <n v="-81.978340000000003"/>
    <n v="95.535300000000007"/>
    <n v="0.69049000000000005"/>
    <m/>
    <m/>
    <n v="-32.010170000000002"/>
    <n v="-7.3017900000000004"/>
    <n v="14.989010000000007"/>
    <n v="0.69049000000000005"/>
    <n v="0"/>
    <n v="-23.632459999999991"/>
  </r>
  <r>
    <x v="0"/>
    <n v="9940522145"/>
    <s v="MX BanCoppel - PM Extensión 12M"/>
    <x v="5"/>
    <s v="SI"/>
    <n v="8.6506600000000002"/>
    <n v="7.2261199999999999"/>
    <n v="9.5437899999999996"/>
    <n v="9.3824299999999994"/>
    <n v="0"/>
    <n v="0"/>
    <n v="0"/>
    <n v="0"/>
    <n v="0"/>
    <n v="0"/>
    <m/>
    <m/>
    <n v="25.420569999999998"/>
    <n v="9.3824299999999994"/>
    <n v="0"/>
    <n v="0"/>
    <n v="0"/>
    <n v="34.802999999999997"/>
    <n v="3.7255699999999998"/>
    <n v="1.4722900000000001"/>
    <n v="3.82606"/>
    <n v="3.69611"/>
    <n v="-0.18479999999999999"/>
    <n v="0"/>
    <n v="0"/>
    <n v="0"/>
    <n v="0"/>
    <n v="0"/>
    <m/>
    <m/>
    <n v="9.0239200000000004"/>
    <n v="3.5113099999999999"/>
    <n v="0"/>
    <n v="0"/>
    <n v="0"/>
    <n v="12.53523"/>
  </r>
  <r>
    <x v="0"/>
    <n v="9940523454"/>
    <s v="MX SAN - TEC MLOps Modelo 1 evo"/>
    <x v="14"/>
    <s v="SI"/>
    <n v="1.3806499999999999"/>
    <n v="0"/>
    <n v="0"/>
    <n v="0"/>
    <n v="0"/>
    <n v="0"/>
    <n v="0"/>
    <n v="0"/>
    <n v="0"/>
    <n v="0"/>
    <m/>
    <m/>
    <n v="1.3806499999999999"/>
    <n v="0"/>
    <n v="0"/>
    <n v="0"/>
    <n v="0"/>
    <n v="1.3806499999999999"/>
    <n v="1.3869499999999999"/>
    <n v="-4.8039999999999999E-2"/>
    <n v="0"/>
    <n v="0"/>
    <n v="0"/>
    <n v="0"/>
    <n v="0"/>
    <n v="0"/>
    <n v="0"/>
    <n v="0"/>
    <m/>
    <m/>
    <n v="1.3389099999999998"/>
    <n v="0"/>
    <n v="0"/>
    <n v="0"/>
    <n v="0"/>
    <n v="1.3389099999999998"/>
  </r>
  <r>
    <x v="0"/>
    <n v="9940554229"/>
    <s v="Logic_Kiosko_Report_extractions"/>
    <x v="22"/>
    <s v="SI"/>
    <m/>
    <m/>
    <n v="0"/>
    <n v="0.92400000000000004"/>
    <n v="3.0079999999999999E-2"/>
    <n v="0.13258"/>
    <n v="0"/>
    <n v="0"/>
    <n v="0"/>
    <n v="0"/>
    <m/>
    <m/>
    <n v="0"/>
    <n v="1.08666"/>
    <n v="0"/>
    <n v="0"/>
    <n v="0"/>
    <n v="1.08666"/>
    <m/>
    <m/>
    <n v="0"/>
    <n v="0.34036"/>
    <n v="-1.357E-2"/>
    <n v="0.13400999999999999"/>
    <n v="0"/>
    <n v="0"/>
    <n v="0"/>
    <n v="0"/>
    <m/>
    <m/>
    <n v="0"/>
    <n v="0.46079999999999999"/>
    <n v="0"/>
    <n v="0"/>
    <n v="0"/>
    <n v="0.46079999999999999"/>
  </r>
  <r>
    <x v="0"/>
    <n v="9940288969"/>
    <s v="MX-BK-TC-JRJMR PMO Migracion APX"/>
    <x v="13"/>
    <s v="SI"/>
    <n v="58.582549999999998"/>
    <n v="76.524600000000007"/>
    <n v="116.69571000000001"/>
    <n v="84.440470000000005"/>
    <n v="84.387680000000003"/>
    <n v="113.0658"/>
    <n v="137.61651000000001"/>
    <n v="139.1317"/>
    <n v="146.74222"/>
    <n v="141.84047000000001"/>
    <n v="10.7896041"/>
    <n v="0"/>
    <n v="251.80286000000001"/>
    <n v="281.89395000000002"/>
    <n v="423.49042999999995"/>
    <n v="152.6300741"/>
    <n v="10.7896041"/>
    <n v="1109.8173141"/>
    <n v="19.698029999999999"/>
    <n v="26.599910000000001"/>
    <n v="56.384520000000002"/>
    <n v="29.74945"/>
    <n v="38.42154"/>
    <n v="41.358089999999997"/>
    <n v="50.511029999999998"/>
    <n v="53.82302"/>
    <n v="58.10042"/>
    <n v="50.492730000000002"/>
    <n v="-2.2801086000000002"/>
    <n v="-4.2706026000000001"/>
    <n v="102.68245999999999"/>
    <n v="109.52907999999999"/>
    <n v="162.43446999999998"/>
    <n v="43.9420188"/>
    <n v="-6.5507112000000003"/>
    <n v="418.58802879999996"/>
  </r>
  <r>
    <x v="0"/>
    <n v="9940465210"/>
    <s v="KOF Digital Procurement S/4 HANA"/>
    <x v="17"/>
    <s v="SI"/>
    <n v="156.93573000000001"/>
    <n v="181.93142"/>
    <n v="66.968050000000005"/>
    <n v="42.71705"/>
    <n v="249.13535999999999"/>
    <n v="194.21406999999999"/>
    <n v="92.308189999999996"/>
    <n v="21.558759999999999"/>
    <n v="57.453569999999999"/>
    <n v="218.60775000000001"/>
    <n v="153.74955"/>
    <n v="157.08435"/>
    <n v="405.83520000000004"/>
    <n v="486.06647999999996"/>
    <n v="171.32051999999999"/>
    <n v="529.44164999999998"/>
    <n v="310.83389999999997"/>
    <n v="1592.6638499999999"/>
    <n v="42.998919999999998"/>
    <n v="39.536540000000002"/>
    <n v="2.4518200000000001"/>
    <n v="-0.88392000000000004"/>
    <n v="126.62519"/>
    <n v="50.953279999999999"/>
    <n v="18.999479999999998"/>
    <n v="-11.649279999999999"/>
    <n v="19.12219"/>
    <n v="70.887190000000004"/>
    <n v="52.829430000000002"/>
    <n v="49.846179999999997"/>
    <n v="84.987279999999998"/>
    <n v="176.69454999999999"/>
    <n v="26.472389999999997"/>
    <n v="173.56280000000001"/>
    <n v="102.67561000000001"/>
    <n v="461.71702000000005"/>
  </r>
  <r>
    <x v="0"/>
    <n v="9940505235"/>
    <s v="Mnemo Crowdstrike implementation"/>
    <x v="5"/>
    <s v="SI"/>
    <n v="6.1311600000000004"/>
    <n v="1.9123399999999999"/>
    <n v="0.96569000000000005"/>
    <n v="8.43445"/>
    <n v="0.24922"/>
    <n v="0.26155"/>
    <n v="32.3643"/>
    <n v="0.28946"/>
    <n v="0.30367"/>
    <n v="12.44528"/>
    <n v="19.1096"/>
    <n v="6.9843099999999998"/>
    <n v="9.0091900000000003"/>
    <n v="8.9452199999999991"/>
    <n v="32.957429999999995"/>
    <n v="38.539189999999998"/>
    <n v="26.093910000000001"/>
    <n v="89.451030000000003"/>
    <n v="-13.300050000000001"/>
    <n v="0.25979000000000002"/>
    <n v="-7.4720399999999998"/>
    <n v="0.24365999999999999"/>
    <n v="-8.1499600000000001"/>
    <n v="-8.4897399999999994"/>
    <n v="27.8796"/>
    <n v="-0.99461999999999995"/>
    <n v="-1.01993"/>
    <n v="6.1977099999999998"/>
    <n v="5.77712"/>
    <n v="1.91185"/>
    <n v="-20.5123"/>
    <n v="-16.396039999999999"/>
    <n v="25.86505"/>
    <n v="13.88668"/>
    <n v="7.6889700000000003"/>
    <n v="2.8433900000000047"/>
  </r>
  <r>
    <x v="0"/>
    <n v="9940523857"/>
    <s v="MX Actinver - Funcionalidad core"/>
    <x v="40"/>
    <s v="SI"/>
    <n v="119.24433999999999"/>
    <n v="151.83270999999999"/>
    <n v="105.72150999999999"/>
    <n v="86.110919999999993"/>
    <n v="102.54836"/>
    <n v="80.321820000000002"/>
    <n v="97.582819999999998"/>
    <n v="69.583309999999997"/>
    <n v="38.137149999999998"/>
    <n v="8.9643700000000006"/>
    <n v="8.8274299999999997"/>
    <n v="0"/>
    <n v="376.79855999999995"/>
    <n v="268.98109999999997"/>
    <n v="205.30328"/>
    <n v="17.791800000000002"/>
    <n v="8.8274299999999997"/>
    <n v="868.87473999999986"/>
    <n v="51.390169999999998"/>
    <n v="61.690980000000003"/>
    <n v="42.193930000000002"/>
    <n v="30.963239999999999"/>
    <n v="40.535089999999997"/>
    <n v="36.001249999999999"/>
    <n v="50.284059999999997"/>
    <n v="27.015409999999999"/>
    <n v="9.7409400000000002"/>
    <n v="2.33432"/>
    <n v="2.2137699999999998"/>
    <n v="-0.83218000000000003"/>
    <n v="155.27508"/>
    <n v="107.49957999999999"/>
    <n v="87.040409999999994"/>
    <n v="3.71591"/>
    <n v="1.3815899999999997"/>
    <n v="353.53098"/>
  </r>
  <r>
    <x v="0"/>
    <n v="9940556382"/>
    <s v="AU - Resale Coppel, S.A. de C.V."/>
    <x v="5"/>
    <s v="SI"/>
    <m/>
    <m/>
    <m/>
    <n v="439.3689"/>
    <n v="0"/>
    <n v="1.0499999999999999E-3"/>
    <n v="0"/>
    <n v="0"/>
    <n v="0"/>
    <n v="0"/>
    <n v="0"/>
    <n v="0"/>
    <n v="0"/>
    <n v="439.36995000000002"/>
    <n v="0"/>
    <n v="0"/>
    <n v="0"/>
    <n v="439.36995000000002"/>
    <m/>
    <m/>
    <m/>
    <n v="399.82569999999998"/>
    <n v="-4.3626199999999997"/>
    <n v="10.556229999999999"/>
    <n v="-7.5639900000000004"/>
    <n v="-9.5663499999999999"/>
    <n v="-7.54908"/>
    <n v="-12.79968"/>
    <n v="-27.67379"/>
    <n v="0"/>
    <n v="0"/>
    <n v="406.01931000000002"/>
    <n v="-24.67942"/>
    <n v="-40.473469999999999"/>
    <n v="-27.67379"/>
    <n v="340.86642000000001"/>
  </r>
  <r>
    <x v="0"/>
    <n v="9940572525"/>
    <s v="2026 IPADE Fabrica de Desarrollo"/>
    <x v="19"/>
    <s v="SI"/>
    <m/>
    <m/>
    <m/>
    <m/>
    <m/>
    <m/>
    <m/>
    <n v="0"/>
    <n v="0"/>
    <n v="95.474649999999997"/>
    <n v="3.7496599999999998E-2"/>
    <n v="52.791236599999998"/>
    <n v="0"/>
    <n v="0"/>
    <n v="0"/>
    <n v="148.30338319999998"/>
    <n v="52.828733199999995"/>
    <n v="148.30338319999998"/>
    <m/>
    <m/>
    <m/>
    <m/>
    <m/>
    <m/>
    <m/>
    <n v="0"/>
    <n v="0"/>
    <n v="45.960949999999997"/>
    <n v="4.9874049999999999"/>
    <n v="28.485308799999999"/>
    <n v="0"/>
    <n v="0"/>
    <n v="0"/>
    <n v="79.433663800000005"/>
    <n v="33.472713800000001"/>
    <n v="79.433663800000005"/>
  </r>
  <r>
    <x v="0"/>
    <n v="9940457475"/>
    <s v="BBVA SP-BK-JV Core Cloud Payments"/>
    <x v="13"/>
    <s v="SI"/>
    <n v="95.262500000000003"/>
    <n v="125.67034"/>
    <n v="118.87345999999999"/>
    <n v="117.03373000000001"/>
    <n v="80.885990000000007"/>
    <n v="0"/>
    <n v="0"/>
    <n v="0.70043999999999995"/>
    <n v="0"/>
    <n v="0"/>
    <m/>
    <m/>
    <n v="339.80629999999996"/>
    <n v="197.91972000000001"/>
    <n v="0.70043999999999995"/>
    <n v="0"/>
    <n v="0"/>
    <n v="538.42645999999991"/>
    <n v="35.881219999999999"/>
    <n v="43.351390000000002"/>
    <n v="45.171669999999999"/>
    <n v="46.884459999999997"/>
    <n v="29.640229999999999"/>
    <n v="-5.1171100000000003"/>
    <n v="-0.29842000000000002"/>
    <n v="0.98929"/>
    <n v="0"/>
    <n v="0"/>
    <m/>
    <m/>
    <n v="124.40428"/>
    <n v="71.407579999999996"/>
    <n v="0.69086999999999998"/>
    <n v="0"/>
    <n v="0"/>
    <n v="196.50272999999999"/>
  </r>
  <r>
    <x v="0"/>
    <n v="9940467325"/>
    <s v="CUPRUM APOLO PROJECT SAP S/4 HANA"/>
    <x v="41"/>
    <s v="SI"/>
    <n v="719.88598999999999"/>
    <n v="901.63115000000005"/>
    <n v="-1655.82419"/>
    <n v="645.00951999999995"/>
    <n v="685.08897999999999"/>
    <n v="-1786.4833100000001"/>
    <n v="617.05614000000003"/>
    <n v="538.92277999999999"/>
    <n v="410.71758999999997"/>
    <n v="554.81723"/>
    <n v="388.29757999999998"/>
    <n v="540.80281000000002"/>
    <n v="-34.307050000000118"/>
    <n v="-456.38481000000002"/>
    <n v="1566.69651"/>
    <n v="1483.9176200000002"/>
    <n v="929.10039000000006"/>
    <n v="2559.92227"/>
    <n v="141.81881000000001"/>
    <n v="164.41865000000001"/>
    <n v="-2283.5323800000001"/>
    <n v="4.2869000000000002"/>
    <n v="27.917470000000002"/>
    <n v="-2372.3803600000001"/>
    <n v="-66.918499999999995"/>
    <n v="-56.479559999999999"/>
    <n v="-64.982429999999994"/>
    <n v="-75.693619999999996"/>
    <n v="-6.6603000000000003"/>
    <n v="-97.396630000000002"/>
    <n v="-1977.29492"/>
    <n v="-2340.1759900000002"/>
    <n v="-188.38048999999998"/>
    <n v="-179.75055"/>
    <n v="-104.05693000000001"/>
    <n v="-4685.6019499999993"/>
  </r>
  <r>
    <x v="0"/>
    <n v="9940531641"/>
    <s v="CITI -MX# Payments Transformation"/>
    <x v="0"/>
    <s v="SI"/>
    <n v="115.48007"/>
    <n v="126.31485000000001"/>
    <n v="109.95325"/>
    <n v="50.808210000000003"/>
    <n v="87.79083"/>
    <n v="105.20335"/>
    <n v="90.105459999999994"/>
    <n v="93.798310000000001"/>
    <n v="97.860789999999994"/>
    <n v="107.39528"/>
    <n v="109.40452000000001"/>
    <n v="103.08793"/>
    <n v="351.74816999999996"/>
    <n v="243.80239"/>
    <n v="281.76456000000002"/>
    <n v="319.88773000000003"/>
    <n v="212.49245000000002"/>
    <n v="1197.2028500000001"/>
    <n v="35.092370000000003"/>
    <n v="42.162140000000001"/>
    <n v="34.301389999999998"/>
    <n v="12.763999999999999"/>
    <n v="25.8658"/>
    <n v="36.390009999999997"/>
    <n v="25.430160000000001"/>
    <n v="27.345580000000002"/>
    <n v="29.475390000000001"/>
    <n v="24.079560000000001"/>
    <n v="37.440330000000003"/>
    <n v="28.13045"/>
    <n v="111.55590000000001"/>
    <n v="75.019810000000007"/>
    <n v="82.251130000000003"/>
    <n v="89.65034"/>
    <n v="65.570779999999999"/>
    <n v="358.47717999999998"/>
  </r>
  <r>
    <x v="0"/>
    <n v="9940547078"/>
    <s v="MX SAN - Nomina Digital (Intern.)"/>
    <x v="14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548855"/>
    <s v="Proximidad - Finance Processes L4"/>
    <x v="3"/>
    <s v="SI"/>
    <m/>
    <n v="11.21231"/>
    <n v="19.278870000000001"/>
    <n v="15.008839999999999"/>
    <n v="23.890989999999999"/>
    <n v="21.257180000000002"/>
    <n v="11.962820000000001"/>
    <n v="16.578810000000001"/>
    <n v="10.670970000000001"/>
    <n v="2.50379"/>
    <n v="0"/>
    <n v="0"/>
    <n v="30.49118"/>
    <n v="60.15701"/>
    <n v="39.212600000000002"/>
    <n v="2.50379"/>
    <n v="0"/>
    <n v="132.36458000000002"/>
    <m/>
    <n v="4.7921500000000004"/>
    <n v="9.3500200000000007"/>
    <n v="6.2062999999999997"/>
    <n v="13.27591"/>
    <n v="10.7933"/>
    <n v="-0.52025999999999994"/>
    <n v="10.845359999999999"/>
    <n v="5.6711200000000002"/>
    <n v="-0.65100000000000002"/>
    <n v="-2.2612751000000002"/>
    <n v="-0.46414759999999999"/>
    <n v="14.14217"/>
    <n v="30.275509999999997"/>
    <n v="15.996219999999999"/>
    <n v="-3.3764227000000004"/>
    <n v="-2.7254227000000002"/>
    <n v="57.037477299999999"/>
  </r>
  <r>
    <x v="1"/>
    <n v="9940486464"/>
    <s v="SAP_Axial_Phase 1_MSA"/>
    <x v="16"/>
    <s v="SI"/>
    <n v="4.8600000000000002E-5"/>
    <n v="0"/>
    <n v="0"/>
    <n v="0"/>
    <n v="0"/>
    <n v="0"/>
    <n v="0"/>
    <n v="0"/>
    <n v="0"/>
    <n v="0"/>
    <n v="0"/>
    <n v="0"/>
    <n v="4.8600000000000002E-5"/>
    <n v="0"/>
    <n v="0"/>
    <n v="0"/>
    <n v="0"/>
    <n v="4.8600000000000002E-5"/>
    <n v="-21.3726114"/>
    <n v="0"/>
    <n v="0"/>
    <n v="0"/>
    <n v="0"/>
    <n v="0"/>
    <n v="0"/>
    <n v="0"/>
    <n v="0"/>
    <n v="0"/>
    <n v="0"/>
    <n v="0"/>
    <n v="-21.3726114"/>
    <n v="0"/>
    <n v="0"/>
    <n v="0"/>
    <n v="0"/>
    <n v="-21.3726114"/>
  </r>
  <r>
    <x v="0"/>
    <n v="9940572613"/>
    <s v="Logic_Garcia_ Implementación IEPS"/>
    <x v="42"/>
    <s v="SI"/>
    <m/>
    <m/>
    <m/>
    <m/>
    <m/>
    <m/>
    <m/>
    <n v="36.286149999999999"/>
    <n v="51.943860000000001"/>
    <n v="7.8978299999999999"/>
    <n v="0"/>
    <n v="0"/>
    <n v="0"/>
    <n v="0"/>
    <n v="88.230009999999993"/>
    <n v="7.8978299999999999"/>
    <n v="0"/>
    <n v="96.127839999999992"/>
    <m/>
    <m/>
    <m/>
    <m/>
    <m/>
    <m/>
    <m/>
    <n v="15.78558"/>
    <n v="27.954270000000001"/>
    <n v="5.4421999999999997"/>
    <n v="1.3642799999999999"/>
    <n v="0"/>
    <n v="0"/>
    <n v="0"/>
    <n v="43.739850000000004"/>
    <n v="6.8064799999999996"/>
    <n v="1.3642799999999999"/>
    <n v="50.546330000000005"/>
  </r>
  <r>
    <x v="0"/>
    <n v="9940574640"/>
    <s v="AU - RESALE Banco de Sabadell S.A"/>
    <x v="12"/>
    <s v="SI"/>
    <m/>
    <m/>
    <m/>
    <m/>
    <m/>
    <m/>
    <m/>
    <m/>
    <n v="36.502299999999998"/>
    <n v="0"/>
    <n v="0"/>
    <n v="0"/>
    <n v="0"/>
    <n v="0"/>
    <n v="36.502299999999998"/>
    <n v="0"/>
    <n v="0"/>
    <n v="36.502299999999998"/>
    <m/>
    <m/>
    <m/>
    <m/>
    <m/>
    <m/>
    <m/>
    <m/>
    <n v="33.197740000000003"/>
    <n v="-2.01708"/>
    <n v="-5.5899599999999996"/>
    <n v="0"/>
    <n v="0"/>
    <n v="0"/>
    <n v="33.197740000000003"/>
    <n v="-7.6070399999999996"/>
    <n v="-5.5899599999999996"/>
    <n v="25.590700000000005"/>
  </r>
  <r>
    <x v="0"/>
    <n v="9940451484"/>
    <s v="MX-IS-SI-AVJMR DLP Assessment Apps"/>
    <x v="13"/>
    <s v="SI"/>
    <n v="0"/>
    <n v="10.592610000000001"/>
    <n v="0"/>
    <n v="-15.065200000000001"/>
    <n v="0"/>
    <n v="0"/>
    <n v="0"/>
    <n v="0"/>
    <n v="0"/>
    <n v="0"/>
    <m/>
    <m/>
    <n v="10.592610000000001"/>
    <n v="-15.065200000000001"/>
    <n v="0"/>
    <n v="0"/>
    <n v="0"/>
    <n v="-4.4725900000000003"/>
    <n v="-8.0152699999999992"/>
    <n v="2.0785200000000001"/>
    <n v="-5.2257199999999999"/>
    <n v="-21.928989999999999"/>
    <n v="-0.34789999999999999"/>
    <n v="0"/>
    <n v="0"/>
    <n v="0"/>
    <n v="0"/>
    <n v="0"/>
    <m/>
    <m/>
    <n v="-11.162469999999999"/>
    <n v="-22.276889999999998"/>
    <n v="0"/>
    <n v="0"/>
    <n v="0"/>
    <n v="-33.439359999999994"/>
  </r>
  <r>
    <x v="0"/>
    <n v="9940457514"/>
    <s v="MX SAB - Implementación Adobe Mayo"/>
    <x v="12"/>
    <s v="SI"/>
    <n v="50.596550000000001"/>
    <n v="42.877110000000002"/>
    <n v="18.352630000000001"/>
    <n v="6.0000000000000002E-5"/>
    <n v="0"/>
    <n v="0"/>
    <n v="0"/>
    <n v="0"/>
    <n v="0"/>
    <n v="0"/>
    <m/>
    <m/>
    <n v="111.82629"/>
    <n v="6.0000000000000002E-5"/>
    <n v="0"/>
    <n v="0"/>
    <n v="0"/>
    <n v="111.82635000000001"/>
    <n v="24.42568"/>
    <n v="20.915929999999999"/>
    <n v="6.3490700000000002"/>
    <n v="2.7546300000000001"/>
    <n v="0"/>
    <n v="0"/>
    <n v="0"/>
    <n v="0"/>
    <n v="0"/>
    <n v="0"/>
    <m/>
    <m/>
    <n v="51.69068"/>
    <n v="2.7546300000000001"/>
    <n v="0"/>
    <n v="0"/>
    <n v="0"/>
    <n v="54.445309999999999"/>
  </r>
  <r>
    <x v="0"/>
    <n v="9940471929"/>
    <s v="AU RESALE Iberdrola Servicios Corp"/>
    <x v="43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75060000000000004"/>
    <n v="-0.45551999999999998"/>
    <n v="-0.45484999999999998"/>
    <n v="-0.45548"/>
    <n v="1.3457300000000001"/>
    <n v="-0.17380999999999999"/>
    <n v="-0.17399000000000001"/>
    <n v="-0.16700000000000001"/>
    <n v="-0.17213999999999999"/>
    <n v="-0.17258000000000001"/>
    <n v="9.6992999999999991"/>
    <n v="0"/>
    <n v="-1.6609700000000001"/>
    <n v="0.71644000000000008"/>
    <n v="-0.51312999999999998"/>
    <n v="9.5267199999999992"/>
    <n v="9.6992999999999991"/>
    <n v="8.0690599999999986"/>
  </r>
  <r>
    <x v="0"/>
    <n v="9940479947"/>
    <s v="AMIS-MX-Capacity Services Ext 2024"/>
    <x v="44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528274"/>
    <s v="LOGIC_Kiosko_SOW000(MOM)_2024-0729"/>
    <x v="22"/>
    <s v="SI"/>
    <n v="8.7489699999999999"/>
    <n v="74.095050000000001"/>
    <n v="0.70228999999999997"/>
    <n v="0.31669000000000003"/>
    <n v="0.32435000000000003"/>
    <n v="34.820169999999997"/>
    <n v="6.3710000000000003E-2"/>
    <n v="-3.9629999999999999E-2"/>
    <n v="-3.29E-3"/>
    <n v="-31.75892"/>
    <n v="56.802639999999997"/>
    <n v="83.056790000000007"/>
    <n v="83.546310000000005"/>
    <n v="35.461209999999994"/>
    <n v="2.0790000000000003E-2"/>
    <n v="108.10051"/>
    <n v="139.85943"/>
    <n v="227.12882000000002"/>
    <n v="-78.450659999999999"/>
    <n v="61.113880000000002"/>
    <n v="-3.3469699999999998"/>
    <n v="-0.77244999999999997"/>
    <n v="-0.60814999999999997"/>
    <n v="34.300609999999999"/>
    <n v="-0.79962999999999995"/>
    <n v="-0.87672000000000005"/>
    <n v="-0.86667000000000005"/>
    <n v="-32.624470000000002"/>
    <n v="3.2721499999999999"/>
    <n v="3.3416299999999999"/>
    <n v="-20.683749999999996"/>
    <n v="32.920009999999998"/>
    <n v="-2.5430200000000003"/>
    <n v="-26.010690000000004"/>
    <n v="6.6137800000000002"/>
    <n v="-16.317450000000001"/>
  </r>
  <r>
    <x v="0"/>
    <n v="9940531034"/>
    <s v="MX Mizuho - Functional Design core"/>
    <x v="45"/>
    <s v="SI"/>
    <n v="14.51468"/>
    <n v="11.934850000000001"/>
    <n v="12.888769999999999"/>
    <n v="10.99896"/>
    <n v="11.98141"/>
    <n v="13.46115"/>
    <n v="5.1932400000000003"/>
    <n v="5.0457999999999998"/>
    <n v="6.7580600000000004"/>
    <n v="1.0000000000000001E-5"/>
    <n v="0"/>
    <n v="0"/>
    <n v="39.338300000000004"/>
    <n v="36.441519999999997"/>
    <n v="16.9971"/>
    <n v="1.0000000000000001E-5"/>
    <n v="0"/>
    <n v="92.776930000000007"/>
    <n v="5.6318400000000004"/>
    <n v="4.3777999999999997"/>
    <n v="4.8872499999999999"/>
    <n v="3.8897699999999999"/>
    <n v="4.7010699999999996"/>
    <n v="4.7653299999999996"/>
    <n v="1.79809"/>
    <n v="1.82813"/>
    <n v="1.0494699999999999"/>
    <n v="-3.9465300000000001"/>
    <n v="3.7253699999999998"/>
    <n v="0"/>
    <n v="14.896890000000001"/>
    <n v="13.356169999999999"/>
    <n v="4.6756899999999995"/>
    <n v="-0.22116000000000025"/>
    <n v="3.7253699999999998"/>
    <n v="32.707589999999996"/>
  </r>
  <r>
    <x v="0"/>
    <n v="9940542499"/>
    <s v="AP26_MX Actinver - QE core banking"/>
    <x v="40"/>
    <s v="SI"/>
    <n v="115.25709000000001"/>
    <n v="34.511360000000003"/>
    <n v="84.626850000000005"/>
    <n v="53.169600000000003"/>
    <n v="48.443539999999999"/>
    <n v="60.132539999999999"/>
    <n v="28.552790000000002"/>
    <n v="0.22431999999999999"/>
    <n v="8.8400000000000006E-3"/>
    <n v="8.4600000000000005E-3"/>
    <n v="9.5696999999999992"/>
    <n v="0"/>
    <n v="234.39530000000002"/>
    <n v="161.74567999999999"/>
    <n v="28.78595"/>
    <n v="9.5781599999999987"/>
    <n v="9.5696999999999992"/>
    <n v="434.50509000000005"/>
    <n v="46.975940000000001"/>
    <n v="9.5434000000000001"/>
    <n v="33.908479999999997"/>
    <n v="20.8858"/>
    <n v="15.683120000000001"/>
    <n v="27.3765"/>
    <n v="11.428269999999999"/>
    <n v="-1.1228100000000001"/>
    <n v="-1.40299"/>
    <n v="0.28322999999999998"/>
    <n v="3.5943299999999998"/>
    <n v="0"/>
    <n v="90.427819999999997"/>
    <n v="63.945419999999999"/>
    <n v="8.902470000000001"/>
    <n v="3.8775599999999999"/>
    <n v="3.5943299999999998"/>
    <n v="167.15326999999999"/>
  </r>
  <r>
    <x v="0"/>
    <n v="9940542830"/>
    <s v="MX SAN - TEC Vulnerabilidades Sail"/>
    <x v="14"/>
    <s v="SI"/>
    <n v="18.363330000000001"/>
    <n v="39.075510000000001"/>
    <n v="24.359590000000001"/>
    <n v="0.48674000000000001"/>
    <n v="0"/>
    <n v="0"/>
    <n v="0"/>
    <n v="0"/>
    <n v="0"/>
    <n v="0"/>
    <m/>
    <m/>
    <n v="81.798429999999996"/>
    <n v="0.48674000000000001"/>
    <n v="0"/>
    <n v="0"/>
    <n v="0"/>
    <n v="82.285169999999994"/>
    <n v="6.5617099999999997"/>
    <n v="12.64358"/>
    <n v="-3.3704000000000001"/>
    <n v="14.79298"/>
    <n v="0.54252"/>
    <n v="0.47907"/>
    <n v="0"/>
    <n v="0"/>
    <n v="0"/>
    <n v="0"/>
    <m/>
    <m/>
    <n v="15.834889999999998"/>
    <n v="15.81457"/>
    <n v="0"/>
    <n v="0"/>
    <n v="0"/>
    <n v="31.649459999999998"/>
  </r>
  <r>
    <x v="0"/>
    <n v="9940554313"/>
    <s v="LOGIC_7E Assessment Alta Articulos"/>
    <x v="37"/>
    <s v="SI"/>
    <m/>
    <m/>
    <n v="0"/>
    <n v="18.180240000000001"/>
    <n v="0.62675999999999998"/>
    <n v="1.0000000000000001E-5"/>
    <n v="0"/>
    <n v="-1.0000000000000001E-5"/>
    <n v="0.75287999999999999"/>
    <n v="0"/>
    <m/>
    <m/>
    <n v="0"/>
    <n v="18.807010000000002"/>
    <n v="0.75287000000000004"/>
    <n v="0"/>
    <n v="0"/>
    <n v="19.559880000000003"/>
    <m/>
    <m/>
    <n v="0"/>
    <n v="8.3079300000000007"/>
    <n v="-0.39215"/>
    <n v="-0.24887000000000001"/>
    <n v="7.7999999999999996E-3"/>
    <n v="7.8799999999999999E-3"/>
    <n v="0.76102000000000003"/>
    <n v="0"/>
    <m/>
    <m/>
    <n v="0"/>
    <n v="7.6669100000000006"/>
    <n v="0.77670000000000006"/>
    <n v="0"/>
    <n v="0"/>
    <n v="8.4436100000000014"/>
  </r>
  <r>
    <x v="0"/>
    <n v="9940565199"/>
    <s v="MX Wealth Mgmt Transformation - DD"/>
    <x v="1"/>
    <s v="SI"/>
    <m/>
    <m/>
    <m/>
    <m/>
    <m/>
    <n v="39.787269999999999"/>
    <n v="104.67256999999999"/>
    <n v="29.031839999999999"/>
    <n v="7.6956499999999997"/>
    <n v="6.0000000000000002E-5"/>
    <n v="0"/>
    <n v="0"/>
    <n v="0"/>
    <n v="39.787269999999999"/>
    <n v="141.40006"/>
    <n v="6.0000000000000002E-5"/>
    <n v="0"/>
    <n v="181.18738999999999"/>
    <m/>
    <m/>
    <m/>
    <m/>
    <m/>
    <n v="10.992979999999999"/>
    <n v="33.97289"/>
    <n v="-2.3709500000000001"/>
    <n v="3.9475699999999998"/>
    <n v="-2.2113399999999999"/>
    <n v="0"/>
    <n v="0"/>
    <n v="0"/>
    <n v="10.992979999999999"/>
    <n v="35.549509999999998"/>
    <n v="-2.2113399999999999"/>
    <n v="0"/>
    <n v="44.331150000000001"/>
  </r>
  <r>
    <x v="0"/>
    <n v="9940221038"/>
    <s v="Mexichem - Microsoft Office 365 Mig"/>
    <x v="34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397792"/>
    <s v="L'Oréal Neo Roll-Out - Central Team"/>
    <x v="46"/>
    <s v="SI"/>
    <m/>
    <m/>
    <m/>
    <m/>
    <m/>
    <n v="63.756659999999997"/>
    <n v="64.356560000000002"/>
    <n v="93.360990000000001"/>
    <n v="78.748959999999997"/>
    <n v="120.67318"/>
    <n v="124.39870740000001"/>
    <n v="103.36905"/>
    <n v="0"/>
    <n v="63.756659999999997"/>
    <n v="236.46651000000003"/>
    <n v="348.4409374"/>
    <n v="227.76775739999999"/>
    <n v="648.66410740000003"/>
    <m/>
    <m/>
    <m/>
    <m/>
    <m/>
    <n v="25.412960000000002"/>
    <n v="11.378550000000001"/>
    <n v="35.50159"/>
    <n v="24.760919999999999"/>
    <n v="46.030859999999997"/>
    <n v="41.782271999999999"/>
    <n v="33.490824000000003"/>
    <n v="0"/>
    <n v="25.412960000000002"/>
    <n v="71.641059999999996"/>
    <n v="121.303956"/>
    <n v="75.27309600000001"/>
    <n v="218.35797600000001"/>
  </r>
  <r>
    <x v="0"/>
    <n v="9940435450"/>
    <s v="Servicios SI implementacion SAP S/4"/>
    <x v="47"/>
    <s v="SI"/>
    <n v="37.289119999999997"/>
    <n v="19.58568"/>
    <n v="9.1363800000000008"/>
    <n v="4.4416000000000002"/>
    <n v="5.6246900000000002"/>
    <n v="4.9099999999999998E-2"/>
    <n v="12.8477"/>
    <n v="4.2057399999999996"/>
    <n v="73.547759999999997"/>
    <n v="0"/>
    <m/>
    <m/>
    <n v="66.011179999999996"/>
    <n v="10.11539"/>
    <n v="90.601199999999992"/>
    <n v="0"/>
    <n v="0"/>
    <n v="166.72776999999999"/>
    <n v="27.811979999999998"/>
    <n v="7.1163999999999996"/>
    <n v="0.99683999999999995"/>
    <n v="2.0364499999999999"/>
    <n v="1.6294900000000001"/>
    <n v="0.26896999999999999"/>
    <n v="10.23962"/>
    <n v="0.90912999999999999"/>
    <n v="50.839550000000003"/>
    <n v="0"/>
    <m/>
    <m/>
    <n v="35.925219999999996"/>
    <n v="3.9349099999999999"/>
    <n v="61.988300000000002"/>
    <n v="0"/>
    <n v="0"/>
    <n v="101.84843000000001"/>
  </r>
  <r>
    <x v="0"/>
    <n v="9940492029"/>
    <s v="BanCoppel I Mobile app AWS migration"/>
    <x v="48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99510"/>
    <s v="SP-BK-JV Smart Assistant Dev Q224MX"/>
    <x v="13"/>
    <s v="SI"/>
    <n v="11.98413"/>
    <n v="15.35421"/>
    <n v="15.11078"/>
    <n v="10.41118"/>
    <n v="14.277329999999999"/>
    <n v="17.984290000000001"/>
    <n v="13.747719999999999"/>
    <n v="20.26577"/>
    <n v="19.280380000000001"/>
    <n v="24.223990000000001"/>
    <n v="17.479150000000001"/>
    <n v="18.117660000000001"/>
    <n v="42.449120000000001"/>
    <n v="42.672800000000002"/>
    <n v="53.293869999999998"/>
    <n v="59.820800000000006"/>
    <n v="35.596810000000005"/>
    <n v="198.23659000000004"/>
    <n v="3.9304199999999998"/>
    <n v="6.5246399999999998"/>
    <n v="5.8244499999999997"/>
    <n v="4.6267399999999999"/>
    <n v="5.5214100000000004"/>
    <n v="7.3871700000000002"/>
    <n v="2.5411700000000002"/>
    <n v="9.37195"/>
    <n v="7.6352500000000001"/>
    <n v="9.0970200000000006"/>
    <n v="6.9278199999999996"/>
    <n v="6.6655300000000004"/>
    <n v="16.279509999999998"/>
    <n v="17.535320000000002"/>
    <n v="19.548369999999998"/>
    <n v="22.690370000000001"/>
    <n v="13.593350000000001"/>
    <n v="76.053570000000008"/>
  </r>
  <r>
    <x v="0"/>
    <n v="9940515691"/>
    <s v="MX SAN - TEC DEV Celula Backend Ext"/>
    <x v="14"/>
    <s v="SI"/>
    <n v="10.868589999999999"/>
    <n v="27.74202"/>
    <n v="5.2161"/>
    <n v="2.9190999999999998"/>
    <n v="0"/>
    <n v="0"/>
    <n v="0"/>
    <n v="0"/>
    <n v="0"/>
    <n v="0"/>
    <m/>
    <m/>
    <n v="43.826709999999999"/>
    <n v="2.9190999999999998"/>
    <n v="0"/>
    <n v="0"/>
    <n v="0"/>
    <n v="46.745809999999999"/>
    <n v="3.83371"/>
    <n v="8.5970499999999994"/>
    <n v="0.98826999999999998"/>
    <n v="5.7579999999999999E-2"/>
    <n v="-3.0069900000000001"/>
    <n v="2.7970000000000002"/>
    <n v="0"/>
    <n v="0"/>
    <n v="0"/>
    <n v="0"/>
    <m/>
    <m/>
    <n v="13.419029999999999"/>
    <n v="-0.15240999999999971"/>
    <n v="0"/>
    <n v="0"/>
    <n v="0"/>
    <n v="13.26662"/>
  </r>
  <r>
    <x v="0"/>
    <n v="9940551624"/>
    <s v="Logic_Kiosko_New_Totals_Sales_Audit"/>
    <x v="22"/>
    <s v="SI"/>
    <m/>
    <m/>
    <n v="12.05289"/>
    <n v="3.2524899999999999"/>
    <n v="0"/>
    <n v="-4.45E-3"/>
    <n v="0"/>
    <n v="0"/>
    <n v="0"/>
    <n v="0"/>
    <m/>
    <m/>
    <n v="12.05289"/>
    <n v="3.24804"/>
    <n v="0"/>
    <n v="0"/>
    <n v="0"/>
    <n v="15.300929999999999"/>
    <m/>
    <m/>
    <n v="4.56548"/>
    <n v="0.51973999999999998"/>
    <n v="-0.13236999999999999"/>
    <n v="-1.8980999999999999"/>
    <n v="0"/>
    <n v="0"/>
    <n v="0"/>
    <n v="0"/>
    <m/>
    <m/>
    <n v="4.56548"/>
    <n v="-1.5107299999999999"/>
    <n v="0"/>
    <n v="0"/>
    <n v="0"/>
    <n v="3.0547500000000003"/>
  </r>
  <r>
    <x v="0"/>
    <n v="9940124187"/>
    <s v="Mabe Way - SAP Transformation 325395"/>
    <x v="49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248135"/>
    <s v="G500 SAP BOand FO Implemnt and Cloud"/>
    <x v="33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92882"/>
    <s v="MNEMO_Keyence_DLP Endpoint y soporte"/>
    <x v="5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1685700000000001"/>
    <n v="0"/>
    <n v="0"/>
    <n v="0"/>
    <n v="0"/>
    <n v="-1.1685700000000001"/>
    <n v="-1.1685700000000001"/>
    <n v="-1.1685700000000001"/>
  </r>
  <r>
    <x v="0"/>
    <n v="9940528275"/>
    <s v="LOGIC_Kiosko_Oracle IPO-RDF and Impl"/>
    <x v="22"/>
    <s v="SI"/>
    <n v="-1.0290000000000001E-2"/>
    <n v="-48.67277"/>
    <n v="0"/>
    <n v="0"/>
    <n v="80.022170000000003"/>
    <n v="0"/>
    <n v="0"/>
    <n v="0"/>
    <n v="0"/>
    <n v="0"/>
    <m/>
    <m/>
    <n v="-48.683059999999998"/>
    <n v="80.022170000000003"/>
    <n v="0"/>
    <n v="0"/>
    <n v="0"/>
    <n v="31.339110000000005"/>
    <n v="44.237490000000001"/>
    <n v="-51.701349999999998"/>
    <n v="-0.18625"/>
    <n v="0.77241000000000004"/>
    <n v="80.822389999999999"/>
    <n v="0"/>
    <n v="0"/>
    <n v="0"/>
    <n v="0"/>
    <n v="0"/>
    <m/>
    <m/>
    <n v="-7.6501099999999971"/>
    <n v="81.594799999999992"/>
    <n v="0"/>
    <n v="0"/>
    <n v="0"/>
    <n v="73.944689999999994"/>
  </r>
  <r>
    <x v="0"/>
    <n v="9940531690"/>
    <s v="LOGIC_MAUI_Recibo por Bultos (XStore"/>
    <x v="51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21658"/>
    <n v="-0.26646999999999998"/>
    <n v="-0.24890000000000001"/>
    <n v="-0.24872"/>
    <n v="-0.25514999999999999"/>
    <n v="-0.26589000000000002"/>
    <n v="-0.26618000000000003"/>
    <n v="-0.25546999999999997"/>
    <n v="-0.26334999999999997"/>
    <n v="-0.26401000000000002"/>
    <n v="8.2359799999999996"/>
    <n v="0"/>
    <n v="-1.7319499999999999"/>
    <n v="-0.76976"/>
    <n v="-0.78499999999999992"/>
    <n v="7.9719699999999998"/>
    <n v="8.2359799999999996"/>
    <n v="4.6852599999999995"/>
  </r>
  <r>
    <x v="0"/>
    <n v="9940533299"/>
    <s v="AXA-MX-J2C- Migration Managed Office"/>
    <x v="36"/>
    <s v="SI"/>
    <n v="72.995369999999994"/>
    <n v="72.419560000000004"/>
    <n v="58.497500000000002"/>
    <n v="48.974899999999998"/>
    <n v="73.659530000000004"/>
    <n v="73.613749999999996"/>
    <n v="74.770330000000001"/>
    <n v="64.137389999999996"/>
    <n v="75.69341"/>
    <n v="86.435980000000001"/>
    <n v="115.49653000000001"/>
    <n v="110.38184"/>
    <n v="203.91243"/>
    <n v="196.24817999999999"/>
    <n v="214.60112999999998"/>
    <n v="312.31434999999999"/>
    <n v="225.87837000000002"/>
    <n v="927.07609000000002"/>
    <n v="18.313020000000002"/>
    <n v="14.226710000000001"/>
    <n v="11.22283"/>
    <n v="9.7688500000000005"/>
    <n v="23.20083"/>
    <n v="14.23522"/>
    <n v="22.008669999999999"/>
    <n v="15.7235"/>
    <n v="23.240259999999999"/>
    <n v="28.005120000000002"/>
    <n v="35.900880000000001"/>
    <n v="36.947940000000003"/>
    <n v="43.762560000000008"/>
    <n v="47.204899999999995"/>
    <n v="60.972429999999996"/>
    <n v="100.85394000000001"/>
    <n v="72.848820000000003"/>
    <n v="252.79383000000001"/>
  </r>
  <r>
    <x v="0"/>
    <n v="9940543980"/>
    <s v="LOGIC_Farmacias del AHORRO_INVOICING"/>
    <x v="52"/>
    <s v="SI"/>
    <n v="9.0000000000000006E-5"/>
    <n v="0"/>
    <n v="0"/>
    <n v="0"/>
    <n v="0"/>
    <n v="0"/>
    <n v="0"/>
    <n v="-0.46443000000000001"/>
    <n v="0"/>
    <n v="0"/>
    <m/>
    <m/>
    <n v="9.0000000000000006E-5"/>
    <n v="0"/>
    <n v="-0.46443000000000001"/>
    <n v="0"/>
    <n v="0"/>
    <n v="-0.46434000000000003"/>
    <n v="9.0000000000000006E-5"/>
    <n v="-3.2190000000000003E-2"/>
    <n v="-4.5100000000000001E-3"/>
    <n v="-4.5199999999999997E-3"/>
    <n v="-4.64E-3"/>
    <n v="-4.8300000000000001E-3"/>
    <n v="-4.8399999999999997E-3"/>
    <n v="-0.46908"/>
    <n v="0"/>
    <n v="0"/>
    <m/>
    <m/>
    <n v="-3.6610000000000004E-2"/>
    <n v="-1.3989999999999999E-2"/>
    <n v="-0.47392000000000001"/>
    <n v="0"/>
    <n v="0"/>
    <n v="-0.52451999999999999"/>
  </r>
  <r>
    <x v="0"/>
    <n v="9940544470"/>
    <s v="MX-BK-SI-LMG  K2-View Implementation"/>
    <x v="13"/>
    <s v="SI"/>
    <n v="9.3955099999999998"/>
    <n v="14.352069999999999"/>
    <n v="14.66188"/>
    <n v="14.18524"/>
    <n v="12.85491"/>
    <n v="17.138529999999999"/>
    <n v="17.06446"/>
    <n v="15.937889999999999"/>
    <n v="22.194649999999999"/>
    <n v="0"/>
    <n v="0"/>
    <n v="0"/>
    <n v="38.409459999999996"/>
    <n v="44.17868"/>
    <n v="55.197000000000003"/>
    <n v="0"/>
    <n v="0"/>
    <n v="137.78514000000001"/>
    <n v="3.7585099999999998"/>
    <n v="5.5077199999999999"/>
    <n v="5.7814800000000002"/>
    <n v="5.48238"/>
    <n v="4.6529299999999996"/>
    <n v="6.7551100000000002"/>
    <n v="6.9629500000000002"/>
    <n v="5.5610499999999998"/>
    <n v="9.4725699999999993"/>
    <n v="-2.8628999999999998"/>
    <n v="0"/>
    <n v="0"/>
    <n v="15.04771"/>
    <n v="16.890419999999999"/>
    <n v="21.996569999999998"/>
    <n v="-2.8628999999999998"/>
    <n v="0"/>
    <n v="51.071799999999996"/>
  </r>
  <r>
    <x v="0"/>
    <n v="9940556048"/>
    <s v="LOGIC_CYA Nuevo Setup ReSA Nuevo POS"/>
    <x v="53"/>
    <s v="SI"/>
    <m/>
    <m/>
    <m/>
    <n v="34.858699999999999"/>
    <n v="16.072569999999999"/>
    <n v="2.3277000000000001"/>
    <n v="0"/>
    <n v="17.58023"/>
    <n v="14.957929999999999"/>
    <n v="0"/>
    <n v="0"/>
    <n v="0"/>
    <n v="0"/>
    <n v="53.258969999999998"/>
    <n v="32.538159999999998"/>
    <n v="0"/>
    <n v="0"/>
    <n v="85.797129999999996"/>
    <m/>
    <m/>
    <m/>
    <n v="15.84252"/>
    <n v="9.9183500000000002"/>
    <n v="-1.33334"/>
    <n v="-9.5205900000000003"/>
    <n v="11.578939999999999"/>
    <n v="10.15577"/>
    <n v="-2.6080700000000001"/>
    <n v="6.4229700000000003"/>
    <n v="0"/>
    <n v="0"/>
    <n v="24.427530000000001"/>
    <n v="12.214119999999999"/>
    <n v="3.8149000000000002"/>
    <n v="6.4229700000000003"/>
    <n v="40.45655"/>
  </r>
  <r>
    <x v="0"/>
    <n v="9940573416"/>
    <s v="AU - Resale CADENA COMERCIAL OXXO SA"/>
    <x v="3"/>
    <s v="SI"/>
    <m/>
    <m/>
    <m/>
    <m/>
    <m/>
    <m/>
    <m/>
    <m/>
    <n v="2.3E-3"/>
    <n v="0"/>
    <n v="0"/>
    <n v="217.01804000000001"/>
    <n v="0"/>
    <n v="0"/>
    <n v="2.3E-3"/>
    <n v="217.01804000000001"/>
    <n v="217.01804000000001"/>
    <n v="217.02034"/>
    <m/>
    <m/>
    <m/>
    <m/>
    <m/>
    <m/>
    <m/>
    <m/>
    <n v="2.0899999999999998E-3"/>
    <n v="0.7359"/>
    <n v="-2.0600000000000002E-3"/>
    <n v="162.8725"/>
    <n v="0"/>
    <n v="0"/>
    <n v="2.0899999999999998E-3"/>
    <n v="163.60633999999999"/>
    <n v="162.87044"/>
    <n v="163.60843"/>
  </r>
  <r>
    <x v="0"/>
    <n v="9940574337"/>
    <s v="MX AFIRME - Migración de Información"/>
    <x v="54"/>
    <s v="SI"/>
    <m/>
    <m/>
    <m/>
    <m/>
    <m/>
    <m/>
    <m/>
    <m/>
    <n v="0"/>
    <n v="18.771999999999998"/>
    <n v="0"/>
    <n v="0"/>
    <n v="0"/>
    <n v="0"/>
    <n v="0"/>
    <n v="18.771999999999998"/>
    <n v="0"/>
    <n v="18.771999999999998"/>
    <m/>
    <m/>
    <m/>
    <m/>
    <m/>
    <m/>
    <m/>
    <m/>
    <n v="0"/>
    <n v="14.33741"/>
    <n v="0"/>
    <n v="0"/>
    <n v="0"/>
    <n v="0"/>
    <n v="0"/>
    <n v="14.33741"/>
    <n v="0"/>
    <n v="14.33741"/>
  </r>
  <r>
    <x v="0"/>
    <n v="9940576284"/>
    <s v="MX Gentera - North Star Core. Fase 1"/>
    <x v="55"/>
    <s v="SI"/>
    <m/>
    <m/>
    <m/>
    <m/>
    <m/>
    <m/>
    <m/>
    <m/>
    <n v="0"/>
    <n v="114.35074"/>
    <n v="145.11378439999999"/>
    <n v="38.251023199999999"/>
    <n v="0"/>
    <n v="0"/>
    <n v="0"/>
    <n v="297.71554759999998"/>
    <n v="183.36480759999998"/>
    <n v="297.71554759999998"/>
    <m/>
    <m/>
    <m/>
    <m/>
    <m/>
    <m/>
    <m/>
    <m/>
    <n v="0"/>
    <n v="49.293300000000002"/>
    <n v="65.300393600000007"/>
    <n v="0.62153000000000003"/>
    <n v="0"/>
    <n v="0"/>
    <n v="0"/>
    <n v="115.21522360000002"/>
    <n v="65.921923600000014"/>
    <n v="115.21522360000002"/>
  </r>
  <r>
    <x v="0"/>
    <n v="9940394825"/>
    <s v="Ariba Sigma Campofrio Revenue Sharing"/>
    <x v="56"/>
    <s v="SI"/>
    <n v="0"/>
    <n v="0"/>
    <n v="0"/>
    <n v="0"/>
    <n v="0"/>
    <n v="-28.972580000000001"/>
    <n v="0"/>
    <n v="0"/>
    <n v="0"/>
    <n v="0"/>
    <m/>
    <m/>
    <n v="0"/>
    <n v="-28.972580000000001"/>
    <n v="0"/>
    <n v="0"/>
    <n v="0"/>
    <n v="-28.972580000000001"/>
    <n v="-1.83348"/>
    <n v="-1.4968699999999999"/>
    <n v="-0.83308000000000004"/>
    <n v="-0.27100000000000002"/>
    <n v="-0.27801999999999999"/>
    <n v="-29.262309999999999"/>
    <n v="0"/>
    <n v="0"/>
    <n v="0"/>
    <n v="0"/>
    <m/>
    <m/>
    <n v="-4.16343"/>
    <n v="-29.811329999999998"/>
    <n v="0"/>
    <n v="0"/>
    <n v="0"/>
    <n v="-33.974759999999996"/>
  </r>
  <r>
    <x v="0"/>
    <n v="9940492468"/>
    <s v="MNEMO_Resale_GNP_Falcon Prevent - 300"/>
    <x v="57"/>
    <s v="SI"/>
    <n v="0"/>
    <n v="0"/>
    <n v="-3.03783"/>
    <n v="0"/>
    <n v="0"/>
    <n v="0"/>
    <n v="0"/>
    <n v="0"/>
    <n v="0"/>
    <n v="0"/>
    <n v="0"/>
    <n v="0"/>
    <n v="-3.03783"/>
    <n v="0"/>
    <n v="0"/>
    <n v="0"/>
    <n v="0"/>
    <n v="-3.03783"/>
    <n v="-0.03"/>
    <n v="-3.0419999999999999E-2"/>
    <n v="-3.0682100000000001"/>
    <n v="0"/>
    <n v="0"/>
    <n v="0"/>
    <n v="0"/>
    <n v="0"/>
    <n v="0"/>
    <n v="0"/>
    <n v="0"/>
    <n v="0"/>
    <n v="-3.1286300000000002"/>
    <n v="0"/>
    <n v="0"/>
    <n v="0"/>
    <n v="0"/>
    <n v="-3.1286300000000002"/>
  </r>
  <r>
    <x v="0"/>
    <n v="9940505640"/>
    <s v="Digital&amp;Data Managed Services RFP 50%"/>
    <x v="23"/>
    <s v="SI"/>
    <n v="186.91127"/>
    <n v="220.66807"/>
    <n v="161.08001999999999"/>
    <n v="6.7791699999999997"/>
    <n v="0"/>
    <n v="181.55663999999999"/>
    <n v="255.07216"/>
    <n v="144.68270999999999"/>
    <n v="173.82961"/>
    <n v="207.14546000000001"/>
    <n v="286.22642789999998"/>
    <n v="251.42291069999999"/>
    <n v="568.65935999999999"/>
    <n v="188.33580999999998"/>
    <n v="573.58447999999999"/>
    <n v="744.79479859999992"/>
    <n v="537.64933859999996"/>
    <n v="2075.3744485999996"/>
    <n v="126.36109"/>
    <n v="49.335239999999999"/>
    <n v="67.450689999999994"/>
    <n v="-56.638890000000004"/>
    <n v="-48.447009999999999"/>
    <n v="132.79317"/>
    <n v="163.19299000000001"/>
    <n v="57.661360000000002"/>
    <n v="71.27664"/>
    <n v="79.805819999999997"/>
    <n v="149.6465997"/>
    <n v="112.19393789999999"/>
    <n v="243.14702"/>
    <n v="27.707269999999994"/>
    <n v="292.13099"/>
    <n v="341.64635759999999"/>
    <n v="261.8405376"/>
    <n v="904.63163759999998"/>
  </r>
  <r>
    <x v="0"/>
    <n v="9940509186"/>
    <s v="MX SAN - Data Snowflake Migración BOR"/>
    <x v="14"/>
    <s v="SI"/>
    <n v="10.76055"/>
    <n v="0"/>
    <n v="0"/>
    <n v="0"/>
    <n v="0"/>
    <n v="-1.66404"/>
    <n v="0"/>
    <n v="0"/>
    <n v="0"/>
    <n v="0"/>
    <m/>
    <m/>
    <n v="10.76055"/>
    <n v="-1.66404"/>
    <n v="0"/>
    <n v="0"/>
    <n v="0"/>
    <n v="9.0965100000000003"/>
    <n v="-14.87374"/>
    <n v="-11.455880000000001"/>
    <n v="1.45513"/>
    <n v="-9.7439999999999999E-2"/>
    <n v="-0.38363000000000003"/>
    <n v="-1.90978"/>
    <n v="0"/>
    <n v="0"/>
    <n v="0"/>
    <n v="0"/>
    <m/>
    <m/>
    <n v="-24.874489999999998"/>
    <n v="-2.3908499999999999"/>
    <n v="0"/>
    <n v="0"/>
    <n v="0"/>
    <n v="-27.265339999999998"/>
  </r>
  <r>
    <x v="0"/>
    <n v="9940543177"/>
    <s v="AU Resale Coca Cola Femsa de Buenos Aire"/>
    <x v="17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.0000000000000003E-5"/>
    <n v="9.9959699999999998"/>
    <n v="-10.7464"/>
    <n v="-2.2598400000000001"/>
    <n v="2.6144500000000002"/>
    <n v="2.1838899999999999"/>
    <n v="0.86500999999999995"/>
    <n v="0.86856999999999995"/>
    <n v="0.84979000000000005"/>
    <n v="0.84950999999999999"/>
    <n v="5.8167400000000002"/>
    <n v="0"/>
    <n v="-0.75046999999999997"/>
    <n v="2.5385"/>
    <n v="2.5833699999999999"/>
    <n v="6.6662499999999998"/>
    <n v="5.8167400000000002"/>
    <n v="11.037649999999999"/>
  </r>
  <r>
    <x v="0"/>
    <n v="9940521224"/>
    <s v="IPADE Fabrica de desarrollo Ejecución"/>
    <x v="19"/>
    <s v="SI"/>
    <n v="25.60539"/>
    <n v="29.444210000000002"/>
    <n v="23.336279999999999"/>
    <n v="0"/>
    <n v="47.126939999999998"/>
    <n v="26.019880000000001"/>
    <n v="8.1442399999999999"/>
    <n v="0"/>
    <n v="0"/>
    <n v="-27.664750000000002"/>
    <n v="27.771007999999998"/>
    <n v="0"/>
    <n v="78.38588"/>
    <n v="73.146819999999991"/>
    <n v="8.1442399999999999"/>
    <n v="0.10625799999999685"/>
    <n v="27.771007999999998"/>
    <n v="159.78319799999997"/>
    <n v="11.910500000000001"/>
    <n v="13.24292"/>
    <n v="9.4369599999999991"/>
    <n v="-10.76174"/>
    <n v="35.99109"/>
    <n v="11.25487"/>
    <n v="-7.8637699999999997"/>
    <n v="-16.023479999999999"/>
    <n v="-39.466349999999998"/>
    <n v="-8.1123100000000008"/>
    <n v="7.7903989999999999"/>
    <n v="0"/>
    <n v="34.590379999999996"/>
    <n v="36.484220000000001"/>
    <n v="-63.3536"/>
    <n v="-0.32191100000000095"/>
    <n v="7.7903989999999999"/>
    <n v="7.3990890000000027"/>
  </r>
  <r>
    <x v="0"/>
    <n v="9940525535"/>
    <s v="MX SAN - Asistentes virtuales Digital"/>
    <x v="14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3.1932499999999999"/>
    <n v="0"/>
    <n v="0"/>
    <n v="0"/>
    <n v="0"/>
    <n v="0"/>
    <n v="0"/>
    <n v="0"/>
    <n v="0"/>
    <n v="0"/>
    <m/>
    <m/>
    <n v="3.1932499999999999"/>
    <n v="0"/>
    <n v="0"/>
    <n v="0"/>
    <n v="0"/>
    <n v="3.1932499999999999"/>
  </r>
  <r>
    <x v="0"/>
    <n v="9940540296"/>
    <s v="MX Actinver - Assessment core banking"/>
    <x v="40"/>
    <s v="SI"/>
    <n v="12.04725"/>
    <n v="0"/>
    <n v="-4.6766699999999997"/>
    <n v="151.28187"/>
    <n v="89.378380000000007"/>
    <n v="202.50738999999999"/>
    <n v="235.5078"/>
    <n v="171.20092"/>
    <n v="144.71825999999999"/>
    <n v="354.08719000000002"/>
    <n v="12.5806866"/>
    <n v="0"/>
    <n v="7.3705800000000004"/>
    <n v="443.16764000000001"/>
    <n v="551.42697999999996"/>
    <n v="366.6678766"/>
    <n v="12.5806866"/>
    <n v="1368.6330766000001"/>
    <n v="9.9332999999999991"/>
    <n v="0"/>
    <n v="-5.8869600000000002"/>
    <n v="68.820449999999994"/>
    <n v="21.170339999999999"/>
    <n v="113.90608"/>
    <n v="66.100579999999994"/>
    <n v="46.952979999999997"/>
    <n v="53.695520000000002"/>
    <n v="246.24485999999999"/>
    <n v="18.561958799999999"/>
    <n v="-2.6014401"/>
    <n v="4.0463399999999989"/>
    <n v="203.89686999999998"/>
    <n v="166.74907999999999"/>
    <n v="262.20537869999998"/>
    <n v="15.9605187"/>
    <n v="636.89766869999994"/>
  </r>
  <r>
    <x v="0"/>
    <n v="9940559900"/>
    <s v="MX SAN - Migración Tableau a Power BI"/>
    <x v="14"/>
    <s v="SI"/>
    <m/>
    <m/>
    <m/>
    <m/>
    <n v="8.2942599999999995"/>
    <n v="32.905630000000002"/>
    <n v="13.960050000000001"/>
    <n v="0.78163000000000005"/>
    <n v="0"/>
    <n v="-1.0000000000000001E-5"/>
    <n v="0"/>
    <n v="0"/>
    <n v="0"/>
    <n v="41.199890000000003"/>
    <n v="14.741680000000001"/>
    <n v="-1.0000000000000001E-5"/>
    <n v="0"/>
    <n v="55.941560000000003"/>
    <m/>
    <m/>
    <m/>
    <m/>
    <n v="3.1568700000000001"/>
    <n v="12.383100000000001"/>
    <n v="-7.1753999999999998"/>
    <n v="-0.29952000000000001"/>
    <n v="-0.57552999999999999"/>
    <n v="-0.64854999999999996"/>
    <n v="0"/>
    <n v="0"/>
    <n v="0"/>
    <n v="15.53997"/>
    <n v="-8.0504499999999997"/>
    <n v="-0.64854999999999996"/>
    <n v="0"/>
    <n v="6.8409700000000004"/>
  </r>
  <r>
    <x v="0"/>
    <n v="9940549018"/>
    <s v="MX SAN - DEV Backlog Nomina FASE 1 401k"/>
    <x v="14"/>
    <s v="SI"/>
    <m/>
    <n v="129.87638000000001"/>
    <n v="118.4927"/>
    <n v="76.940070000000006"/>
    <n v="78.304990000000004"/>
    <n v="63.551290000000002"/>
    <n v="38.759340000000002"/>
    <n v="2.7877200000000002"/>
    <n v="32.206319999999998"/>
    <n v="27.430489999999999"/>
    <n v="33.679349999999999"/>
    <n v="0"/>
    <n v="248.36908"/>
    <n v="218.79635000000002"/>
    <n v="73.753379999999993"/>
    <n v="61.109839999999998"/>
    <n v="33.679349999999999"/>
    <n v="602.02864999999997"/>
    <m/>
    <n v="59.995330000000003"/>
    <n v="40.183"/>
    <n v="25.66836"/>
    <n v="26.98217"/>
    <n v="20.21443"/>
    <n v="13.682029999999999"/>
    <n v="-5.1521600000000003"/>
    <n v="10.56704"/>
    <n v="8.6807300000000005"/>
    <n v="11.957800000000001"/>
    <n v="0"/>
    <n v="100.17833"/>
    <n v="72.864959999999996"/>
    <n v="19.096910000000001"/>
    <n v="20.638530000000003"/>
    <n v="11.957800000000001"/>
    <n v="212.77873000000002"/>
  </r>
  <r>
    <x v="1"/>
    <n v="9940549018"/>
    <s v="MX SAN - DEV Backlog Nomina FASE 1 401k"/>
    <x v="14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2259699999999998"/>
    <n v="0"/>
    <n v="0"/>
    <n v="0"/>
    <n v="0"/>
    <n v="0"/>
    <n v="0"/>
    <n v="0"/>
    <n v="0"/>
    <n v="0"/>
    <n v="0"/>
    <n v="0"/>
    <n v="-2.2259699999999998"/>
    <n v="0"/>
    <n v="0"/>
    <n v="0"/>
    <n v="0"/>
    <n v="-2.2259699999999998"/>
  </r>
  <r>
    <x v="0"/>
    <n v="9940352909"/>
    <s v="MX SAN - Tarjeta de Credito en Nom Dig"/>
    <x v="14"/>
    <s v="SI"/>
    <n v="5.2683999999999997"/>
    <n v="5.8501200000000004"/>
    <n v="4.8266799999999996"/>
    <n v="5.6015699999999997"/>
    <n v="5.7898100000000001"/>
    <n v="6.0335400000000003"/>
    <n v="6.0399900000000004"/>
    <n v="5.7970899999999999"/>
    <n v="5.9757699999999998"/>
    <n v="5.9907599999999999"/>
    <n v="5.91995"/>
    <n v="3.9468399999999999"/>
    <n v="15.9452"/>
    <n v="17.42492"/>
    <n v="17.812850000000001"/>
    <n v="15.85755"/>
    <n v="9.8667899999999999"/>
    <n v="67.040520000000001"/>
    <n v="-0.26665"/>
    <n v="0.52903999999999995"/>
    <n v="-1.5074399999999999"/>
    <n v="7.7909999999999993E-2"/>
    <n v="9.4990000000000005E-2"/>
    <n v="-0.45121"/>
    <n v="-0.44130000000000003"/>
    <n v="0.27338000000000001"/>
    <n v="0.26701000000000003"/>
    <n v="0.24315999999999999"/>
    <n v="0.55608000000000002"/>
    <n v="-1.387"/>
    <n v="-1.24505"/>
    <n v="-0.27831"/>
    <n v="9.9090000000000011E-2"/>
    <n v="-0.58776000000000006"/>
    <n v="-0.83091999999999999"/>
    <n v="-2.0120300000000002"/>
  </r>
  <r>
    <x v="0"/>
    <n v="9940372230"/>
    <s v="Volaris ERP as a Service (Impl. - AMS)"/>
    <x v="38"/>
    <s v="SI"/>
    <n v="13.828150000000001"/>
    <n v="14.024100000000001"/>
    <n v="14.00353"/>
    <n v="14.022729999999999"/>
    <n v="14.385910000000001"/>
    <n v="14.99151"/>
    <n v="15.007529999999999"/>
    <n v="14.40399"/>
    <n v="14.84797"/>
    <n v="14.885199999999999"/>
    <n v="14.70927"/>
    <n v="14.70927"/>
    <n v="41.855780000000003"/>
    <n v="43.400149999999996"/>
    <n v="44.25949"/>
    <n v="44.303740000000005"/>
    <n v="29.41854"/>
    <n v="173.81916000000001"/>
    <n v="7.9126000000000003"/>
    <n v="8.0689700000000002"/>
    <n v="8.2479700000000005"/>
    <n v="8.3995099999999994"/>
    <n v="8.8312899999999992"/>
    <n v="8.9799299999999995"/>
    <n v="8.8394499999999994"/>
    <n v="8.6279299999999992"/>
    <n v="8.8939299999999992"/>
    <n v="8.9162300000000005"/>
    <n v="8.81006"/>
    <n v="8.8104600000000008"/>
    <n v="24.22954"/>
    <n v="26.210729999999998"/>
    <n v="26.361309999999996"/>
    <n v="26.536749999999998"/>
    <n v="17.620519999999999"/>
    <n v="103.33833"/>
  </r>
  <r>
    <x v="0"/>
    <n v="9940402203"/>
    <s v="MX SAN - Gestion Identidades Sailpoint"/>
    <x v="14"/>
    <s v="SI"/>
    <n v="196.94458"/>
    <n v="241.22362000000001"/>
    <n v="204.74080000000001"/>
    <n v="1.085E-2"/>
    <n v="449.87040000000002"/>
    <n v="401.55883"/>
    <n v="4.4999999999999999E-4"/>
    <n v="0"/>
    <n v="3.0000000000000001E-5"/>
    <n v="0"/>
    <n v="0"/>
    <n v="0"/>
    <n v="642.90899999999999"/>
    <n v="851.44008000000008"/>
    <n v="4.8000000000000001E-4"/>
    <n v="0"/>
    <n v="0"/>
    <n v="1494.3495599999999"/>
    <n v="64.811570000000003"/>
    <n v="70.972930000000005"/>
    <n v="68.689279999999997"/>
    <n v="-78.196299999999994"/>
    <n v="293.27422000000001"/>
    <n v="216.25564"/>
    <n v="-13.218170000000001"/>
    <n v="-7.4262100000000002"/>
    <n v="-8.6086500000000008"/>
    <n v="-0.88970000000000005"/>
    <n v="0"/>
    <n v="0"/>
    <n v="204.47378"/>
    <n v="431.33356000000003"/>
    <n v="-29.253030000000003"/>
    <n v="-0.88970000000000005"/>
    <n v="0"/>
    <n v="605.66461000000015"/>
  </r>
  <r>
    <x v="0"/>
    <n v="9940531681"/>
    <s v="LOGIC_SIMAN_XStore ORCE Implementation"/>
    <x v="58"/>
    <s v="SI"/>
    <n v="70.65446"/>
    <n v="146.16908000000001"/>
    <n v="43.617269999999998"/>
    <n v="4.4649200000000002"/>
    <n v="96.67747"/>
    <n v="4.0221600000000004"/>
    <n v="-1.0000000000000001E-5"/>
    <n v="84.010409999999993"/>
    <n v="291.14094"/>
    <n v="10.00665"/>
    <n v="14.59422"/>
    <n v="6.2605700000000004"/>
    <n v="260.44081"/>
    <n v="105.16455000000001"/>
    <n v="375.15134"/>
    <n v="30.861440000000002"/>
    <n v="20.854790000000001"/>
    <n v="771.61814000000004"/>
    <n v="-5.57836"/>
    <n v="72.216350000000006"/>
    <n v="10.92891"/>
    <n v="-12.7645"/>
    <n v="92.008619999999993"/>
    <n v="-39.967590000000001"/>
    <n v="-85.294060000000002"/>
    <n v="-11.357530000000001"/>
    <n v="206.56041999999999"/>
    <n v="-5.3156999999999996"/>
    <n v="1.86521"/>
    <n v="-5.6149999999999999E-2"/>
    <n v="77.566900000000004"/>
    <n v="39.276529999999994"/>
    <n v="109.90882999999999"/>
    <n v="-3.5066399999999995"/>
    <n v="1.8090600000000001"/>
    <n v="223.24561999999997"/>
  </r>
  <r>
    <x v="0"/>
    <n v="9940538337"/>
    <s v="IPADE Implementación de DXP. Discovery"/>
    <x v="19"/>
    <s v="SI"/>
    <n v="110.77114"/>
    <n v="22.01746"/>
    <n v="0.25252000000000002"/>
    <n v="0.21589"/>
    <n v="0.21590999999999999"/>
    <n v="0.21590999999999999"/>
    <n v="1.0000000000000001E-5"/>
    <n v="3.1225800000000001"/>
    <n v="0"/>
    <n v="0"/>
    <m/>
    <m/>
    <n v="133.04112000000001"/>
    <n v="0.64771000000000001"/>
    <n v="3.1225900000000002"/>
    <n v="0"/>
    <n v="0"/>
    <n v="136.81142"/>
    <n v="41.243189999999998"/>
    <n v="8.62087"/>
    <n v="-0.26696999999999999"/>
    <n v="0.16957"/>
    <n v="0.16833000000000001"/>
    <n v="0.16757"/>
    <n v="3.2539999999999999E-2"/>
    <n v="3.15381"/>
    <n v="0"/>
    <n v="0"/>
    <m/>
    <m/>
    <n v="49.597089999999994"/>
    <n v="0.50546999999999997"/>
    <n v="3.18635"/>
    <n v="0"/>
    <n v="0"/>
    <n v="53.288909999999994"/>
  </r>
  <r>
    <x v="0"/>
    <n v="9940572803"/>
    <s v="MX Gentera - Arquitectura People datos"/>
    <x v="55"/>
    <s v="SI"/>
    <m/>
    <m/>
    <m/>
    <m/>
    <m/>
    <m/>
    <m/>
    <n v="10.123239999999999"/>
    <n v="77.437569999999994"/>
    <n v="19.23113"/>
    <n v="30.416640000000001"/>
    <n v="0"/>
    <n v="0"/>
    <n v="0"/>
    <n v="87.560809999999989"/>
    <n v="49.647770000000001"/>
    <n v="30.416640000000001"/>
    <n v="137.20857999999998"/>
    <m/>
    <m/>
    <m/>
    <m/>
    <m/>
    <m/>
    <m/>
    <n v="4.3568199999999999"/>
    <n v="34.206110000000002"/>
    <n v="7.9812500000000002"/>
    <n v="12.93629"/>
    <n v="0"/>
    <n v="0"/>
    <n v="0"/>
    <n v="38.562930000000001"/>
    <n v="20.917539999999999"/>
    <n v="12.93629"/>
    <n v="59.480469999999997"/>
  </r>
  <r>
    <x v="0"/>
    <n v="9940550817"/>
    <s v="MX SAN - TEC Nomina Vulne - EXT- $70.6k"/>
    <x v="14"/>
    <s v="SI"/>
    <m/>
    <n v="0"/>
    <n v="0"/>
    <n v="21.906890000000001"/>
    <n v="5.17408"/>
    <n v="46.7014"/>
    <n v="-3.7908499999999998"/>
    <n v="3.6475900000000001"/>
    <n v="0"/>
    <n v="0"/>
    <m/>
    <m/>
    <n v="0"/>
    <n v="73.78237"/>
    <n v="-0.14325999999999972"/>
    <n v="0"/>
    <n v="0"/>
    <n v="73.639110000000002"/>
    <m/>
    <n v="0"/>
    <n v="0"/>
    <n v="7.4529100000000001"/>
    <n v="1.7438400000000001"/>
    <n v="12.43286"/>
    <n v="-1.62493"/>
    <n v="6.7285899999999996"/>
    <n v="0"/>
    <n v="0"/>
    <m/>
    <m/>
    <n v="0"/>
    <n v="21.62961"/>
    <n v="5.1036599999999996"/>
    <n v="0"/>
    <n v="0"/>
    <n v="26.733269999999997"/>
  </r>
  <r>
    <x v="0"/>
    <n v="9940359438"/>
    <s v="Ariba S4 &amp; ECC Countries Implementation"/>
    <x v="9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49491"/>
    <s v="Lanzamiento cuenta azul. Célula urgente"/>
    <x v="12"/>
    <s v="SI"/>
    <n v="78.855729999999994"/>
    <n v="87.017129999999995"/>
    <n v="18.327739999999999"/>
    <n v="13.26953"/>
    <n v="9.4888100000000009"/>
    <n v="26.817309999999999"/>
    <n v="11.14167"/>
    <n v="9.8742900000000002"/>
    <n v="15.665430000000001"/>
    <n v="19.39667"/>
    <n v="20.232050000000001"/>
    <n v="15.911619999999999"/>
    <n v="184.20060000000001"/>
    <n v="49.575649999999996"/>
    <n v="36.68139"/>
    <n v="55.54034"/>
    <n v="36.14367"/>
    <n v="325.99798000000004"/>
    <n v="40.854819999999997"/>
    <n v="40.6922"/>
    <n v="5.6563100000000004"/>
    <n v="5.3726500000000001"/>
    <n v="4.0638500000000004"/>
    <n v="16.749179999999999"/>
    <n v="4.15327"/>
    <n v="4.2760800000000003"/>
    <n v="6.0927600000000002"/>
    <n v="6.9573299999999998"/>
    <n v="9.0494400000000006"/>
    <n v="6.1350199999999999"/>
    <n v="87.203330000000008"/>
    <n v="26.185679999999998"/>
    <n v="14.52211"/>
    <n v="22.14179"/>
    <n v="15.184460000000001"/>
    <n v="150.05291"/>
  </r>
  <r>
    <x v="0"/>
    <n v="9940492427"/>
    <s v="MNEMO_GNP_Resale_McAfee Endpoint - 2100"/>
    <x v="57"/>
    <s v="SI"/>
    <n v="8.8130000000000006"/>
    <n v="0"/>
    <n v="0"/>
    <n v="0"/>
    <n v="0"/>
    <n v="0"/>
    <n v="0"/>
    <n v="0"/>
    <n v="0"/>
    <n v="0"/>
    <n v="0"/>
    <n v="0"/>
    <n v="8.8130000000000006"/>
    <n v="0"/>
    <n v="0"/>
    <n v="0"/>
    <n v="0"/>
    <n v="8.8130000000000006"/>
    <n v="-0.85301000000000005"/>
    <n v="-11.04584"/>
    <n v="-12.360250000000001"/>
    <n v="-95.374459999999999"/>
    <n v="74.560450000000003"/>
    <n v="-8.7409300000000005"/>
    <n v="-15.932499999999999"/>
    <n v="-24.662109999999998"/>
    <n v="-22.61382"/>
    <n v="-19.12641"/>
    <n v="157.38235"/>
    <n v="0"/>
    <n v="-24.2591"/>
    <n v="-29.554939999999995"/>
    <n v="-63.208429999999993"/>
    <n v="138.25594000000001"/>
    <n v="157.38235"/>
    <n v="21.233470000000025"/>
  </r>
  <r>
    <x v="0"/>
    <n v="9940550835"/>
    <s v="MX SAN - TEC Bet JAVA - EXT Oct-25.4K"/>
    <x v="14"/>
    <s v="SI"/>
    <m/>
    <n v="0"/>
    <n v="16.01322"/>
    <n v="9.3709500000000006"/>
    <n v="0"/>
    <n v="-1.2829999999999999E-2"/>
    <n v="0"/>
    <n v="0"/>
    <n v="0"/>
    <n v="0"/>
    <m/>
    <m/>
    <n v="16.01322"/>
    <n v="9.3581200000000013"/>
    <n v="0"/>
    <n v="0"/>
    <n v="0"/>
    <n v="25.371340000000004"/>
    <m/>
    <n v="0"/>
    <n v="-2.5779000000000001"/>
    <n v="-0.248"/>
    <n v="-12.081530000000001"/>
    <n v="10.54898"/>
    <n v="0"/>
    <n v="0"/>
    <n v="0"/>
    <n v="0"/>
    <m/>
    <m/>
    <n v="-2.5779000000000001"/>
    <n v="-1.7805499999999999"/>
    <n v="0"/>
    <n v="0"/>
    <n v="0"/>
    <n v="-4.3584499999999995"/>
  </r>
  <r>
    <x v="0"/>
    <n v="9940513403"/>
    <s v="AP25 ABI MX Supply Chain Command Center"/>
    <x v="9"/>
    <s v="SI"/>
    <n v="0"/>
    <n v="0"/>
    <n v="0"/>
    <n v="-20.374880000000001"/>
    <n v="0"/>
    <n v="0"/>
    <n v="0"/>
    <n v="0"/>
    <n v="0"/>
    <n v="0"/>
    <n v="0"/>
    <n v="0"/>
    <n v="0"/>
    <n v="-20.374880000000001"/>
    <n v="0"/>
    <n v="0"/>
    <n v="0"/>
    <n v="-20.374880000000001"/>
    <n v="0"/>
    <n v="0"/>
    <n v="0"/>
    <n v="-22.00395"/>
    <n v="0.24246999999999999"/>
    <n v="0.25268000000000002"/>
    <n v="0.25295000000000001"/>
    <n v="0.24277000000000001"/>
    <n v="0.25025999999999998"/>
    <n v="0.25089"/>
    <n v="0"/>
    <n v="0"/>
    <n v="0"/>
    <n v="-21.508799999999997"/>
    <n v="0.74598000000000009"/>
    <n v="0.25089"/>
    <n v="0"/>
    <n v="-20.51193"/>
  </r>
  <r>
    <x v="0"/>
    <n v="9940528636"/>
    <s v="AU RESALE COMERCIALIZADORA FARMACEUTICA"/>
    <x v="52"/>
    <s v="SI"/>
    <n v="12.419639999999999"/>
    <n v="0"/>
    <n v="0"/>
    <n v="0"/>
    <n v="0"/>
    <n v="0"/>
    <n v="0"/>
    <n v="0"/>
    <n v="0"/>
    <n v="0"/>
    <n v="0"/>
    <n v="0"/>
    <n v="12.419639999999999"/>
    <n v="0"/>
    <n v="0"/>
    <n v="0"/>
    <n v="0"/>
    <n v="12.419639999999999"/>
    <n v="8.4733199999999993"/>
    <n v="-3.0760399999999999"/>
    <n v="-4.3631700000000002"/>
    <n v="-0.65854999999999997"/>
    <n v="21.838640000000002"/>
    <n v="-1.3368899999999999"/>
    <n v="1.8704099999999999"/>
    <n v="-3.85398"/>
    <n v="-2.0216799999999999"/>
    <n v="-1.3386499999999999"/>
    <n v="-7.1311499999999999"/>
    <n v="0"/>
    <n v="1.0341099999999992"/>
    <n v="19.8432"/>
    <n v="-4.0052500000000002"/>
    <n v="-8.4697999999999993"/>
    <n v="-7.1311499999999999"/>
    <n v="8.4022599999999983"/>
  </r>
  <r>
    <x v="0"/>
    <n v="9940537605"/>
    <s v="LOGIC_Lindcorp RELEX F&amp;R Implementation"/>
    <x v="59"/>
    <s v="SI"/>
    <n v="24.010359999999999"/>
    <n v="25.383320000000001"/>
    <n v="40.029119999999999"/>
    <n v="34.245989999999999"/>
    <n v="29.00778"/>
    <n v="29.376619999999999"/>
    <n v="135.4907"/>
    <n v="0.46766999999999997"/>
    <n v="0"/>
    <n v="19.241"/>
    <n v="0"/>
    <n v="0"/>
    <n v="89.422799999999995"/>
    <n v="92.630390000000006"/>
    <n v="135.95837"/>
    <n v="19.241"/>
    <n v="0"/>
    <n v="337.25256000000002"/>
    <n v="1.2748999999999999"/>
    <n v="3.5369799999999998"/>
    <n v="-8.4376200000000008"/>
    <n v="3.9556499999999999"/>
    <n v="3.8866100000000001"/>
    <n v="3.8855400000000002"/>
    <n v="104.08722"/>
    <n v="-34.515070000000001"/>
    <n v="-13.816700000000001"/>
    <n v="8.3602000000000007"/>
    <n v="36.34957"/>
    <n v="5.5320000000000001E-2"/>
    <n v="-3.6257400000000013"/>
    <n v="11.7278"/>
    <n v="55.755449999999996"/>
    <n v="44.765090000000001"/>
    <n v="36.404890000000002"/>
    <n v="108.62259999999999"/>
  </r>
  <r>
    <x v="0"/>
    <n v="9940551082"/>
    <s v="MX SAN -Recursos Data CIB -$76.3K"/>
    <x v="14"/>
    <s v="SI"/>
    <m/>
    <n v="25.004110000000001"/>
    <n v="26.683689999999999"/>
    <n v="24.748860000000001"/>
    <n v="-0.13292999999999999"/>
    <n v="0"/>
    <n v="-2.3999999999999998E-3"/>
    <n v="-6.7970000000000003E-2"/>
    <n v="0"/>
    <n v="0"/>
    <m/>
    <m/>
    <n v="51.687799999999996"/>
    <n v="24.615929999999999"/>
    <n v="-7.0370000000000002E-2"/>
    <n v="0"/>
    <n v="0"/>
    <n v="76.233360000000005"/>
    <m/>
    <n v="8.6086799999999997"/>
    <n v="8.5827899999999993"/>
    <n v="6.0229600000000003"/>
    <n v="-0.65561000000000003"/>
    <n v="-0.41547000000000001"/>
    <n v="-2.3999999999999998E-3"/>
    <n v="-6.7970000000000003E-2"/>
    <n v="0"/>
    <n v="0"/>
    <m/>
    <m/>
    <n v="17.191469999999999"/>
    <n v="4.9518800000000001"/>
    <n v="-7.0370000000000002E-2"/>
    <n v="0"/>
    <n v="0"/>
    <n v="22.072979999999998"/>
  </r>
  <r>
    <x v="0"/>
    <n v="9940551831"/>
    <s v="MX SAN - Technical BP MigraciónNom-$172k"/>
    <x v="14"/>
    <s v="SI"/>
    <m/>
    <m/>
    <n v="60.402500000000003"/>
    <n v="44.771740000000001"/>
    <n v="37.806939999999997"/>
    <n v="1.04738"/>
    <n v="31.187909999999999"/>
    <n v="0"/>
    <n v="0"/>
    <n v="0"/>
    <m/>
    <m/>
    <n v="60.402500000000003"/>
    <n v="83.626059999999995"/>
    <n v="31.187909999999999"/>
    <n v="0"/>
    <n v="0"/>
    <n v="175.21646999999999"/>
    <m/>
    <m/>
    <n v="22.403569999999998"/>
    <n v="14.263350000000001"/>
    <n v="17.382380000000001"/>
    <n v="1.0695399999999999"/>
    <n v="14.51446"/>
    <n v="-0.37234"/>
    <n v="0"/>
    <n v="0"/>
    <m/>
    <m/>
    <n v="22.403569999999998"/>
    <n v="32.715270000000004"/>
    <n v="14.14212"/>
    <n v="0"/>
    <n v="0"/>
    <n v="69.260960000000011"/>
  </r>
  <r>
    <x v="0"/>
    <n v="9940554317"/>
    <s v="BNMX - SAP Basis Netweavear/BTP-Payroll"/>
    <x v="0"/>
    <s v="SI"/>
    <m/>
    <m/>
    <n v="0"/>
    <n v="2.9540600000000001"/>
    <n v="11.34585"/>
    <n v="13.288449999999999"/>
    <n v="16.245049999999999"/>
    <n v="13.232340000000001"/>
    <n v="14.869350000000001"/>
    <n v="16.37839"/>
    <n v="81.375640000000004"/>
    <n v="6.6621100000000002"/>
    <n v="0"/>
    <n v="27.588360000000002"/>
    <n v="44.346739999999997"/>
    <n v="104.41614"/>
    <n v="88.037750000000003"/>
    <n v="176.35124000000002"/>
    <m/>
    <m/>
    <n v="0"/>
    <n v="0.99268999999999996"/>
    <n v="3.6108500000000001"/>
    <n v="3.7557499999999999"/>
    <n v="4.2369000000000003"/>
    <n v="4.53925"/>
    <n v="4.3995100000000003"/>
    <n v="4.4804899999999996"/>
    <n v="29.93177"/>
    <n v="1.3479699999999999"/>
    <n v="0"/>
    <n v="8.3592899999999997"/>
    <n v="13.175660000000001"/>
    <n v="35.76023"/>
    <n v="31.27974"/>
    <n v="57.295180000000002"/>
  </r>
  <r>
    <x v="0"/>
    <n v="9940574770"/>
    <s v="KOF S4 Planning 2026 Jan_Jun Fast track"/>
    <x v="17"/>
    <s v="SI"/>
    <m/>
    <m/>
    <m/>
    <m/>
    <m/>
    <m/>
    <m/>
    <m/>
    <n v="190.20009999999999"/>
    <n v="28.481560000000002"/>
    <n v="0"/>
    <n v="0"/>
    <n v="0"/>
    <n v="0"/>
    <n v="190.20009999999999"/>
    <n v="28.481560000000002"/>
    <n v="0"/>
    <n v="218.68165999999999"/>
    <m/>
    <m/>
    <m/>
    <m/>
    <m/>
    <m/>
    <m/>
    <m/>
    <n v="78.053820000000002"/>
    <n v="-68.320440000000005"/>
    <n v="-31.423169999999999"/>
    <n v="-2.5121899999999999"/>
    <n v="0"/>
    <n v="0"/>
    <n v="78.053820000000002"/>
    <n v="-102.25580000000001"/>
    <n v="-33.935359999999996"/>
    <n v="-24.201980000000006"/>
  </r>
  <r>
    <x v="0"/>
    <n v="9940145976"/>
    <s v="ASWHCM Cemex Central 21-PR 25-DCM_master"/>
    <x v="60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402257"/>
    <s v="MX-BK-SI-AW- SPEI Always On Transitorias"/>
    <x v="13"/>
    <s v="SI"/>
    <n v="0"/>
    <n v="0"/>
    <n v="-6.6722599999999996"/>
    <n v="1.61076"/>
    <n v="0"/>
    <n v="0"/>
    <n v="0"/>
    <n v="0"/>
    <n v="0"/>
    <n v="0"/>
    <m/>
    <m/>
    <n v="-6.6722599999999996"/>
    <n v="1.61076"/>
    <n v="0"/>
    <n v="0"/>
    <n v="0"/>
    <n v="-5.0614999999999997"/>
    <n v="-12.18709"/>
    <n v="-3.6113599999999999"/>
    <n v="-4.7228300000000001"/>
    <n v="1.84592"/>
    <n v="0"/>
    <n v="0"/>
    <n v="0"/>
    <n v="0"/>
    <n v="0"/>
    <n v="0"/>
    <m/>
    <m/>
    <n v="-20.521279999999997"/>
    <n v="1.84592"/>
    <n v="0"/>
    <n v="0"/>
    <n v="0"/>
    <n v="-18.675359999999998"/>
  </r>
  <r>
    <x v="0"/>
    <n v="9940552208"/>
    <s v="MX SAN - TEC Bet JAVA ext-01/26-21"/>
    <x v="14"/>
    <s v="SI"/>
    <m/>
    <m/>
    <n v="0"/>
    <n v="0"/>
    <n v="13.996409999999999"/>
    <n v="13.08046"/>
    <n v="15.215719999999999"/>
    <n v="14.88979"/>
    <n v="16.662099999999999"/>
    <n v="18.96518"/>
    <n v="21.657720000000001"/>
    <n v="13.809419999999999"/>
    <n v="0"/>
    <n v="27.07687"/>
    <n v="46.767609999999998"/>
    <n v="54.432320000000004"/>
    <n v="35.467140000000001"/>
    <n v="128.27680000000001"/>
    <m/>
    <m/>
    <n v="0"/>
    <n v="0.21733"/>
    <n v="4.5321699999999998"/>
    <n v="3.9075700000000002"/>
    <n v="5.12934"/>
    <n v="4.6819100000000002"/>
    <n v="5.3381499999999997"/>
    <n v="6.4306000000000001"/>
    <n v="7.0046600000000003"/>
    <n v="3.9347699999999999"/>
    <n v="0"/>
    <n v="8.6570699999999992"/>
    <n v="15.1494"/>
    <n v="17.37003"/>
    <n v="10.93943"/>
    <n v="41.176499999999997"/>
  </r>
  <r>
    <x v="0"/>
    <n v="9940488908"/>
    <s v="AU Santander Global Technology and Opera"/>
    <x v="14"/>
    <s v="SI"/>
    <n v="0"/>
    <n v="0"/>
    <n v="0"/>
    <n v="0"/>
    <n v="0"/>
    <n v="0"/>
    <n v="-1.34E-3"/>
    <n v="0"/>
    <n v="0"/>
    <n v="0"/>
    <n v="0"/>
    <n v="0"/>
    <n v="0"/>
    <n v="0"/>
    <n v="-1.34E-3"/>
    <n v="0"/>
    <n v="0"/>
    <n v="-1.34E-3"/>
    <n v="1.40327"/>
    <n v="1.42316"/>
    <n v="1.4210700000000001"/>
    <n v="1.42302"/>
    <n v="1.4598800000000001"/>
    <n v="1.5213300000000001"/>
    <n v="13.371"/>
    <n v="-25.484529999999999"/>
    <n v="-26.270050000000001"/>
    <n v="0"/>
    <n v="0"/>
    <n v="0"/>
    <n v="4.2475000000000005"/>
    <n v="4.4042300000000001"/>
    <n v="-38.383580000000002"/>
    <n v="0"/>
    <n v="0"/>
    <n v="-29.731850000000001"/>
  </r>
  <r>
    <x v="0"/>
    <n v="9940562528"/>
    <s v="MX SAN - EXT Célula Backend-$9.8K"/>
    <x v="14"/>
    <s v="SI"/>
    <m/>
    <m/>
    <m/>
    <m/>
    <n v="0"/>
    <n v="9.7634399999999992"/>
    <n v="7.9525800000000002"/>
    <n v="6.3531199999999997"/>
    <n v="5.8493599999999999"/>
    <n v="6.8122100000000003"/>
    <n v="10.24044"/>
    <n v="0"/>
    <n v="0"/>
    <n v="9.7634399999999992"/>
    <n v="20.155059999999999"/>
    <n v="17.05265"/>
    <n v="10.24044"/>
    <n v="46.971149999999994"/>
    <m/>
    <m/>
    <m/>
    <m/>
    <n v="0"/>
    <n v="3.4350299999999998"/>
    <n v="3.7138300000000002"/>
    <n v="2.2868599999999999"/>
    <n v="2.0031699999999999"/>
    <n v="2.5517500000000002"/>
    <n v="1.3994200000000001"/>
    <n v="-6.8690000000000001E-2"/>
    <n v="0"/>
    <n v="3.4350299999999998"/>
    <n v="8.0038599999999995"/>
    <n v="3.8824800000000002"/>
    <n v="1.3307300000000002"/>
    <n v="15.321369999999998"/>
  </r>
  <r>
    <x v="0"/>
    <n v="9940492539"/>
    <s v="MNEMO_Resale_GNP_Crowdstrike Servers - 6"/>
    <x v="57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.7160000000000001E-2"/>
    <n v="-4.7829999999999998E-2"/>
    <n v="-4.7759999999999997E-2"/>
    <n v="-4.7829999999999998E-2"/>
    <n v="-4.9070000000000003E-2"/>
    <n v="-5.1130000000000002E-2"/>
    <n v="-5.1189999999999999E-2"/>
    <n v="-4.913E-2"/>
    <n v="-5.0639999999999998E-2"/>
    <n v="-5.0770000000000003E-2"/>
    <n v="-59.862389999999998"/>
    <n v="0"/>
    <n v="-0.14274999999999999"/>
    <n v="-0.14802999999999999"/>
    <n v="-0.15095999999999998"/>
    <n v="-59.913159999999998"/>
    <n v="-59.862389999999998"/>
    <n v="-60.354900000000001"/>
  </r>
  <r>
    <x v="0"/>
    <n v="9940492554"/>
    <s v="MNEMO_Resale_CECOBAN_McAfee+Soporte 2año"/>
    <x v="61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492885"/>
    <s v="MNEMO_Resale_Mont Aut_Trellix Protect En"/>
    <x v="62"/>
    <s v="SI"/>
    <n v="0"/>
    <n v="0"/>
    <n v="-3.3E-3"/>
    <n v="0"/>
    <n v="0"/>
    <n v="0"/>
    <n v="0"/>
    <n v="0"/>
    <n v="0"/>
    <n v="0"/>
    <n v="0"/>
    <n v="0"/>
    <n v="-3.3E-3"/>
    <n v="0"/>
    <n v="0"/>
    <n v="0"/>
    <n v="0"/>
    <n v="-3.3E-3"/>
    <n v="0"/>
    <n v="0"/>
    <n v="-3.3E-3"/>
    <n v="0"/>
    <n v="0"/>
    <n v="0"/>
    <n v="0"/>
    <n v="0"/>
    <n v="0"/>
    <n v="0"/>
    <n v="0"/>
    <n v="0"/>
    <n v="-3.3E-3"/>
    <n v="0"/>
    <n v="0"/>
    <n v="0"/>
    <n v="0"/>
    <n v="-3.3E-3"/>
  </r>
  <r>
    <x v="0"/>
    <n v="9940528940"/>
    <s v="LOGIC_FA_2024/022 Mapeo contable Insumos"/>
    <x v="52"/>
    <s v="SI"/>
    <n v="0"/>
    <n v="0"/>
    <n v="0"/>
    <n v="0"/>
    <n v="0"/>
    <n v="0"/>
    <n v="0"/>
    <n v="0"/>
    <n v="0"/>
    <n v="0"/>
    <m/>
    <m/>
    <n v="0"/>
    <n v="0"/>
    <n v="0"/>
    <n v="0"/>
    <n v="0"/>
    <n v="0"/>
    <n v="-0.18947"/>
    <n v="0"/>
    <n v="-0.21049000000000001"/>
    <n v="-0.48942999999999998"/>
    <n v="-0.42036000000000001"/>
    <n v="-1.47E-2"/>
    <n v="0"/>
    <n v="0"/>
    <n v="0"/>
    <n v="0"/>
    <m/>
    <m/>
    <n v="-0.39995999999999998"/>
    <n v="-0.92449000000000003"/>
    <n v="0"/>
    <n v="0"/>
    <n v="0"/>
    <n v="-1.3244500000000001"/>
  </r>
  <r>
    <x v="0"/>
    <n v="9940530749"/>
    <s v="LOGIC_C&amp;A_Mexico_CR006(SOW000)(Cambio Es"/>
    <x v="53"/>
    <s v="SI"/>
    <n v="-9.1500000000000001E-3"/>
    <n v="-43.30742"/>
    <n v="0.31281999999999999"/>
    <n v="0.72985"/>
    <n v="0.63092999999999999"/>
    <n v="44.292589999999997"/>
    <n v="0"/>
    <n v="0"/>
    <n v="0"/>
    <n v="0"/>
    <n v="0"/>
    <n v="0"/>
    <n v="-43.003749999999997"/>
    <n v="45.653369999999995"/>
    <n v="0"/>
    <n v="0"/>
    <n v="0"/>
    <n v="2.6496199999999988"/>
    <n v="0.41576000000000002"/>
    <n v="-42.876489999999997"/>
    <n v="0.56032999999999999"/>
    <n v="0.72119"/>
    <n v="0.66835999999999995"/>
    <n v="44.697710000000001"/>
    <n v="-6.6E-4"/>
    <n v="-2.0000000000000002E-5"/>
    <n v="0"/>
    <n v="0"/>
    <n v="0"/>
    <n v="0"/>
    <n v="-41.900399999999998"/>
    <n v="46.087260000000001"/>
    <n v="-6.8000000000000005E-4"/>
    <n v="0"/>
    <n v="0"/>
    <n v="4.1861800000000029"/>
  </r>
  <r>
    <x v="0"/>
    <n v="9940540705"/>
    <s v="MX SAN - Asistentes Virtuales Continuida"/>
    <x v="14"/>
    <s v="SI"/>
    <n v="20.362110000000001"/>
    <n v="27.22692"/>
    <n v="43.4069"/>
    <n v="45.639719999999997"/>
    <n v="7.1292799999999996"/>
    <n v="0"/>
    <n v="0"/>
    <n v="0"/>
    <n v="0"/>
    <n v="0"/>
    <m/>
    <m/>
    <n v="90.995930000000001"/>
    <n v="52.768999999999998"/>
    <n v="0"/>
    <n v="0"/>
    <n v="0"/>
    <n v="143.76492999999999"/>
    <n v="6.9966799999999996"/>
    <n v="7.96943"/>
    <n v="14.40645"/>
    <n v="14.309839999999999"/>
    <n v="-5.1763599999999999"/>
    <n v="-24.90089"/>
    <n v="10.738329999999999"/>
    <n v="2.81643"/>
    <n v="3.391"/>
    <n v="0"/>
    <m/>
    <m/>
    <n v="29.37256"/>
    <n v="-15.767410000000002"/>
    <n v="16.94576"/>
    <n v="0"/>
    <n v="0"/>
    <n v="30.550909999999998"/>
  </r>
  <r>
    <x v="0"/>
    <n v="9940564207"/>
    <s v="MX SAN - Asistentes Virt REG $27.5k"/>
    <x v="14"/>
    <s v="SI"/>
    <m/>
    <m/>
    <m/>
    <m/>
    <m/>
    <n v="0"/>
    <n v="23.733699999999999"/>
    <n v="2.06284"/>
    <n v="8.8611799999999992"/>
    <n v="2.2587000000000002"/>
    <n v="0"/>
    <n v="0"/>
    <n v="0"/>
    <n v="0"/>
    <n v="34.657719999999998"/>
    <n v="2.2587000000000002"/>
    <n v="0"/>
    <n v="36.916419999999995"/>
    <m/>
    <m/>
    <m/>
    <m/>
    <m/>
    <n v="0"/>
    <n v="7.91465"/>
    <n v="-4.4340400000000004"/>
    <n v="2.5011399999999999"/>
    <n v="1.8092900000000001"/>
    <n v="8.5029999999999994E-2"/>
    <n v="0"/>
    <n v="0"/>
    <n v="0"/>
    <n v="5.9817499999999999"/>
    <n v="1.89432"/>
    <n v="8.5029999999999994E-2"/>
    <n v="7.8760700000000003"/>
  </r>
  <r>
    <x v="1"/>
    <n v="9940564207"/>
    <s v="MX SAN - Asistentes Virt REG $27.5k"/>
    <x v="14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926399999999996"/>
    <n v="0"/>
    <n v="0"/>
    <n v="0"/>
    <n v="0"/>
    <n v="0"/>
    <n v="0"/>
    <n v="0"/>
    <n v="0"/>
    <n v="0"/>
    <n v="0"/>
    <n v="0"/>
    <n v="4.2926399999999996"/>
    <n v="0"/>
    <n v="0"/>
    <n v="0"/>
    <n v="0"/>
    <n v="4.2926399999999996"/>
  </r>
  <r>
    <x v="0"/>
    <n v="9940548842"/>
    <s v="MX SAN - TEC Dev Integraciones Sailpoint"/>
    <x v="14"/>
    <s v="SI"/>
    <m/>
    <n v="9.9618599999999997"/>
    <n v="26.018709999999999"/>
    <n v="23.75104"/>
    <n v="0"/>
    <n v="-7.28E-3"/>
    <n v="0"/>
    <n v="0"/>
    <n v="0"/>
    <n v="0"/>
    <m/>
    <m/>
    <n v="35.98057"/>
    <n v="23.743759999999998"/>
    <n v="0"/>
    <n v="0"/>
    <n v="0"/>
    <n v="59.724329999999995"/>
    <m/>
    <n v="5.22966"/>
    <n v="15.83381"/>
    <n v="13.669600000000001"/>
    <n v="-1.37096"/>
    <n v="-7.28E-3"/>
    <n v="0"/>
    <n v="0"/>
    <n v="0"/>
    <n v="0"/>
    <m/>
    <m/>
    <n v="21.063469999999999"/>
    <n v="12.291360000000001"/>
    <n v="0"/>
    <n v="0"/>
    <n v="0"/>
    <n v="33.35483"/>
  </r>
  <r>
    <x v="0"/>
    <n v="9940566814"/>
    <s v="MX SAN - TEC Shadow IT26 $215k"/>
    <x v="14"/>
    <s v="SI"/>
    <m/>
    <m/>
    <m/>
    <m/>
    <m/>
    <m/>
    <n v="19.6252"/>
    <n v="49.061729999999997"/>
    <n v="24.951509999999999"/>
    <n v="28.161010000000001"/>
    <n v="22.035270000000001"/>
    <n v="18.394110000000001"/>
    <n v="0"/>
    <n v="0"/>
    <n v="93.638439999999989"/>
    <n v="68.590389999999999"/>
    <n v="40.429380000000002"/>
    <n v="162.22882999999999"/>
    <m/>
    <m/>
    <m/>
    <m/>
    <m/>
    <m/>
    <n v="5.4893599999999996"/>
    <n v="17.167079999999999"/>
    <n v="8.1071600000000004"/>
    <n v="8.6781900000000007"/>
    <n v="7.7249999999999996"/>
    <n v="5.9596900000000002"/>
    <n v="0"/>
    <n v="0"/>
    <n v="30.763599999999997"/>
    <n v="22.362880000000004"/>
    <n v="13.68469"/>
    <n v="53.126480000000001"/>
  </r>
  <r>
    <x v="0"/>
    <n v="9940557954"/>
    <s v="LOGIC_ICONN Activación Flujos XItens RIB"/>
    <x v="37"/>
    <s v="SI"/>
    <m/>
    <m/>
    <m/>
    <n v="0"/>
    <n v="23.739239999999999"/>
    <n v="18.311769999999999"/>
    <n v="4.4835099999999999"/>
    <n v="1.7723199999999999"/>
    <n v="0"/>
    <n v="0"/>
    <n v="0"/>
    <n v="0"/>
    <n v="0"/>
    <n v="42.051009999999998"/>
    <n v="6.2558299999999996"/>
    <n v="0"/>
    <n v="0"/>
    <n v="48.306839999999994"/>
    <m/>
    <m/>
    <m/>
    <n v="0"/>
    <n v="11.54396"/>
    <n v="8.8278999999999996"/>
    <n v="2.0563199999999999"/>
    <n v="2.0670000000000001E-2"/>
    <n v="-3.116E-2"/>
    <n v="0"/>
    <n v="0"/>
    <n v="0"/>
    <n v="0"/>
    <n v="20.371859999999998"/>
    <n v="2.04583"/>
    <n v="0"/>
    <n v="0"/>
    <n v="22.417689999999997"/>
  </r>
  <r>
    <x v="0"/>
    <n v="9940560220"/>
    <s v="MX Sabadell - Informe de deterioros 2026"/>
    <x v="12"/>
    <s v="SI"/>
    <m/>
    <m/>
    <m/>
    <m/>
    <n v="0"/>
    <n v="42.594200000000001"/>
    <n v="1.5523400000000001"/>
    <n v="0"/>
    <n v="0"/>
    <n v="0"/>
    <m/>
    <m/>
    <n v="0"/>
    <n v="42.594200000000001"/>
    <n v="1.5523400000000001"/>
    <n v="0"/>
    <n v="0"/>
    <n v="44.146540000000002"/>
    <m/>
    <m/>
    <m/>
    <m/>
    <n v="0"/>
    <n v="18.62696"/>
    <n v="-1.5910000000000001E-2"/>
    <n v="0"/>
    <n v="0"/>
    <n v="0"/>
    <m/>
    <m/>
    <n v="0"/>
    <n v="18.62696"/>
    <n v="-1.5910000000000001E-2"/>
    <n v="0"/>
    <n v="0"/>
    <n v="18.611049999999999"/>
  </r>
  <r>
    <x v="0"/>
    <n v="9940569550"/>
    <s v="MX-BK-SI-VZ OpenControl Modernization F1"/>
    <x v="13"/>
    <s v="SI"/>
    <m/>
    <m/>
    <m/>
    <m/>
    <m/>
    <m/>
    <n v="0"/>
    <n v="28.878869999999999"/>
    <n v="68.907550000000001"/>
    <n v="82.534949999999995"/>
    <n v="13.219284"/>
    <n v="11.391654000000001"/>
    <n v="0"/>
    <n v="0"/>
    <n v="97.786419999999993"/>
    <n v="107.145888"/>
    <n v="24.610938000000001"/>
    <n v="204.93230799999998"/>
    <m/>
    <m/>
    <m/>
    <m/>
    <m/>
    <m/>
    <n v="0"/>
    <n v="11.209910000000001"/>
    <n v="24.547219999999999"/>
    <n v="26.846630000000001"/>
    <n v="3.5341320000000001"/>
    <n v="3.4736940000000001"/>
    <n v="0"/>
    <n v="0"/>
    <n v="35.757130000000004"/>
    <n v="33.854455999999999"/>
    <n v="7.0078259999999997"/>
    <n v="69.611586000000003"/>
  </r>
  <r>
    <x v="1"/>
    <n v="9940566814"/>
    <s v="MX SAN - TEC Shadow IT26 $215k"/>
    <x v="14"/>
    <s v="SI"/>
    <n v="18.806950000000001"/>
    <n v="18.806950000000001"/>
    <n v="6.5169600000000001"/>
    <n v="4.4527599999999996"/>
    <n v="0"/>
    <n v="0"/>
    <n v="0"/>
    <n v="0"/>
    <n v="0"/>
    <n v="0"/>
    <n v="0"/>
    <n v="0"/>
    <n v="44.130859999999998"/>
    <n v="4.4527599999999996"/>
    <n v="0"/>
    <n v="0"/>
    <n v="0"/>
    <n v="48.583619999999996"/>
    <n v="6.0934600000000003"/>
    <n v="6.0934600000000003"/>
    <n v="2.1114999999999999"/>
    <n v="2.1406999999999998"/>
    <n v="-0.73968999999999996"/>
    <n v="0"/>
    <n v="0"/>
    <n v="0"/>
    <n v="0"/>
    <n v="0"/>
    <n v="0"/>
    <n v="0"/>
    <n v="14.29842"/>
    <n v="1.4010099999999999"/>
    <n v="0"/>
    <n v="0"/>
    <n v="0"/>
    <n v="15.69943"/>
  </r>
  <r>
    <x v="1"/>
    <n v="9940558396"/>
    <s v="Opella_ERP_NR"/>
    <x v="4"/>
    <s v="SI"/>
    <n v="49.085068999999997"/>
    <n v="48.171489000000001"/>
    <n v="50.726368000000001"/>
    <n v="38.258738000000001"/>
    <n v="38.578626999999997"/>
    <n v="53.935934000000003"/>
    <n v="37.044699999999999"/>
    <n v="26.681619000000001"/>
    <n v="33.281699000000003"/>
    <n v="34.298077999999997"/>
    <n v="31.675402999999999"/>
    <n v="26.901633"/>
    <n v="147.98292599999999"/>
    <n v="130.77329900000001"/>
    <n v="97.008018000000007"/>
    <n v="92.875113999999996"/>
    <n v="58.577036"/>
    <n v="468.63935699999996"/>
    <n v="18.150100999999999"/>
    <n v="18.506029999999999"/>
    <n v="19.298808000000001"/>
    <n v="14.184834"/>
    <n v="14.82077"/>
    <n v="21.281603"/>
    <n v="15.01202"/>
    <n v="10.219244"/>
    <n v="9.2774269999999994"/>
    <n v="9.6612019999999994"/>
    <n v="11.952734"/>
    <n v="9.5112620000000003"/>
    <n v="55.954939000000003"/>
    <n v="50.287206999999995"/>
    <n v="34.508690999999999"/>
    <n v="31.125197999999997"/>
    <n v="21.463996000000002"/>
    <n v="171.876035"/>
  </r>
  <r>
    <x v="1"/>
    <n v="9940488298"/>
    <s v="MDLZ SAP S4 HANA"/>
    <x v="7"/>
    <s v="SI"/>
    <n v="201.18608510000001"/>
    <n v="144.0554808"/>
    <n v="129.62719000000001"/>
    <n v="96.280584399999995"/>
    <n v="98.245077699999996"/>
    <n v="98.269394300000002"/>
    <n v="98.298223100000001"/>
    <n v="98.449897699999994"/>
    <n v="98.682845799999996"/>
    <n v="99.261862699999995"/>
    <n v="99.5122128"/>
    <n v="99.970524499999996"/>
    <n v="474.8687559"/>
    <n v="292.79505639999996"/>
    <n v="295.43096659999998"/>
    <n v="298.74459999999999"/>
    <n v="199.4827373"/>
    <n v="1361.8393788999999"/>
    <n v="-19.272630299999999"/>
    <n v="-31.190351499999998"/>
    <n v="19.699425900000001"/>
    <n v="35.055851599999997"/>
    <n v="36.316649599999998"/>
    <n v="35.690570299999997"/>
    <n v="35.0344148"/>
    <n v="33.470637199999999"/>
    <n v="32.620310799999999"/>
    <n v="27.605878300000001"/>
    <n v="27.434599500000001"/>
    <n v="26.568973199999999"/>
    <n v="-30.763555899999993"/>
    <n v="107.06307149999998"/>
    <n v="101.1253628"/>
    <n v="81.609451000000007"/>
    <n v="54.003572699999999"/>
    <n v="259.03432939999999"/>
  </r>
  <r>
    <x v="1"/>
    <n v="9940533037"/>
    <s v="LOGIC_DG_RELEX FR"/>
    <x v="1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3180"/>
    <s v="Citrus and Orange"/>
    <x v="11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473365"/>
    <s v="MX-BK-SI-DF Atenea"/>
    <x v="13"/>
    <s v="SI"/>
    <n v="68.942895399999998"/>
    <n v="69.1464778"/>
    <n v="69.310698099999996"/>
    <n v="70.102550500000007"/>
    <n v="68.021152900000004"/>
    <n v="67.733165299999996"/>
    <n v="67.461827700000001"/>
    <n v="67.042840100000006"/>
    <n v="66.636102500000007"/>
    <n v="67.791414900000007"/>
    <n v="68.452037300000001"/>
    <n v="69.284239700000001"/>
    <n v="207.40007130000001"/>
    <n v="205.85686870000001"/>
    <n v="201.14077029999999"/>
    <n v="205.52769190000001"/>
    <n v="137.736277"/>
    <n v="819.92540220000001"/>
    <n v="-26.2042419"/>
    <n v="-25.545225599999998"/>
    <n v="-24.921336100000001"/>
    <n v="-23.6637792"/>
    <n v="-25.2811749"/>
    <n v="-25.066253199999998"/>
    <n v="-24.8498962"/>
    <n v="-24.7758018"/>
    <n v="-24.682172099999999"/>
    <n v="-23.021045000000001"/>
    <n v="-21.867160500000001"/>
    <n v="-20.530370699999999"/>
    <n v="-76.670803599999999"/>
    <n v="-74.011207299999995"/>
    <n v="-74.307870100000002"/>
    <n v="-65.41857619999999"/>
    <n v="-42.397531200000003"/>
    <n v="-290.40845719999999"/>
  </r>
  <r>
    <x v="1"/>
    <n v="9940490800"/>
    <s v="SAP_Axial_Ph 1_SOW 1"/>
    <x v="16"/>
    <s v="SI"/>
    <n v="118.5468438"/>
    <n v="108.20230960000001"/>
    <n v="102.0626992"/>
    <n v="97.630540699999997"/>
    <n v="48.653751300000003"/>
    <n v="0"/>
    <n v="0"/>
    <n v="0"/>
    <n v="0"/>
    <n v="0"/>
    <n v="0"/>
    <n v="0"/>
    <n v="328.81185260000001"/>
    <n v="146.28429199999999"/>
    <n v="0"/>
    <n v="0"/>
    <n v="0"/>
    <n v="475.0961446"/>
    <n v="44.116772699999999"/>
    <n v="33.866178499999997"/>
    <n v="37.060261699999998"/>
    <n v="34.590579099999999"/>
    <n v="-11.5618888"/>
    <n v="-47.567573899999999"/>
    <n v="-3.5993111"/>
    <n v="-2.9054025000000001"/>
    <n v="-0.25356099999999998"/>
    <n v="-0.2474857"/>
    <n v="-0.23000670000000001"/>
    <n v="0"/>
    <n v="115.0432129"/>
    <n v="-24.538883599999998"/>
    <n v="-6.7582746000000009"/>
    <n v="-0.47749240000000004"/>
    <n v="-0.23000670000000001"/>
    <n v="83.268562299999985"/>
  </r>
  <r>
    <x v="1"/>
    <n v="9940477325"/>
    <s v="UP Transformación SAP"/>
    <x v="19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567777"/>
    <s v="MX SAN - Bet Movil mar-abr 26-$27K"/>
    <x v="14"/>
    <s v="SI"/>
    <m/>
    <m/>
    <m/>
    <m/>
    <m/>
    <m/>
    <n v="25.079809999999998"/>
    <n v="15.78898"/>
    <n v="7.6873800000000001"/>
    <n v="10.168710000000001"/>
    <n v="10.83211"/>
    <n v="10.107989999999999"/>
    <n v="0"/>
    <n v="0"/>
    <n v="48.556169999999995"/>
    <n v="31.108809999999998"/>
    <n v="20.940100000000001"/>
    <n v="79.664979999999986"/>
    <m/>
    <m/>
    <m/>
    <m/>
    <m/>
    <m/>
    <n v="8.9058899999999994"/>
    <n v="5.6480300000000003"/>
    <n v="1.02352"/>
    <n v="3.2250100000000002"/>
    <n v="3.7756400000000001"/>
    <n v="3.5066600000000001"/>
    <n v="0"/>
    <n v="0"/>
    <n v="15.577439999999999"/>
    <n v="10.50731"/>
    <n v="7.2823000000000002"/>
    <n v="26.08475"/>
  </r>
  <r>
    <x v="1"/>
    <n v="9940547100"/>
    <s v="KOF Procurement Nexus"/>
    <x v="17"/>
    <s v="SI"/>
    <n v="4.2035299999999998"/>
    <n v="4.2035299999999998"/>
    <n v="4.2035299999999998"/>
    <n v="4.2035299999999998"/>
    <n v="4.2035299999999998"/>
    <n v="4.2035299999999998"/>
    <n v="4.2035299999999998"/>
    <n v="4.2035299999999998"/>
    <n v="4.2035299999999998"/>
    <n v="4.2035299999999998"/>
    <n v="4.2035299999999998"/>
    <n v="4.2035299999999998"/>
    <n v="12.610589999999998"/>
    <n v="12.610589999999998"/>
    <n v="12.610589999999998"/>
    <n v="12.610589999999998"/>
    <n v="8.4070599999999995"/>
    <n v="50.442359999999994"/>
    <n v="3.84761"/>
    <n v="3.8118699999999999"/>
    <n v="3.7761300000000002"/>
    <n v="3.7403900000000001"/>
    <n v="3.70465"/>
    <n v="3.66893"/>
    <n v="3.6331899999999999"/>
    <n v="3.5974499999999998"/>
    <n v="3.5617100000000002"/>
    <n v="3.52597"/>
    <n v="3.49024"/>
    <n v="3.4544999999999999"/>
    <n v="11.43561"/>
    <n v="11.11397"/>
    <n v="10.792349999999999"/>
    <n v="10.47071"/>
    <n v="6.9447399999999995"/>
    <n v="43.812640000000002"/>
  </r>
  <r>
    <x v="1"/>
    <n v="9940565208"/>
    <s v="AWS_Pegasus Mexico GTM"/>
    <x v="24"/>
    <s v="SI"/>
    <n v="187.14467999999999"/>
    <n v="189.06827999999999"/>
    <n v="176.99521999999999"/>
    <n v="159.49844999999999"/>
    <n v="180.07300000000001"/>
    <n v="172.11152999999999"/>
    <n v="196.38570999999999"/>
    <n v="188.42420000000001"/>
    <n v="181.24216999999999"/>
    <n v="197.15442999999999"/>
    <n v="197.42204000000001"/>
    <n v="195.28117"/>
    <n v="553.20817999999997"/>
    <n v="511.68298000000004"/>
    <n v="566.05207999999993"/>
    <n v="589.85763999999995"/>
    <n v="392.70321000000001"/>
    <n v="2220.8008799999998"/>
    <n v="91.286799999999999"/>
    <n v="94.402159999999995"/>
    <n v="83.728880000000004"/>
    <n v="76.276949999999999"/>
    <n v="89.50761"/>
    <n v="80.510059999999996"/>
    <n v="94.939750000000004"/>
    <n v="93.039349999999999"/>
    <n v="84.274039999999999"/>
    <n v="93.895759999999996"/>
    <n v="96.274720000000002"/>
    <n v="90.467759999999998"/>
    <n v="269.41784000000001"/>
    <n v="246.29462000000001"/>
    <n v="272.25314000000003"/>
    <n v="280.63824"/>
    <n v="186.74248"/>
    <n v="1068.60384"/>
  </r>
  <r>
    <x v="1"/>
    <n v="9940574084"/>
    <s v="MDLZ S4 Hana MEU Swiss"/>
    <x v="7"/>
    <s v="SI"/>
    <n v="9.5997593999999999"/>
    <n v="17.386923400000001"/>
    <n v="8.0650647000000006"/>
    <n v="7.1433285"/>
    <n v="5.2367007000000001"/>
    <n v="5.2131002000000004"/>
    <n v="5.1851260999999997"/>
    <n v="5.0379174999999998"/>
    <n v="4.8118069999999999"/>
    <n v="4.2498610000000001"/>
    <n v="4.0068720999999998"/>
    <n v="3.5620508000000002"/>
    <n v="35.051747500000005"/>
    <n v="17.593129399999999"/>
    <n v="15.0348506"/>
    <n v="11.8187839"/>
    <n v="7.5689229000000005"/>
    <n v="79.498511399999998"/>
    <n v="-49.39396"/>
    <n v="-7.4704629999999996"/>
    <n v="-19.075795200000002"/>
    <n v="-20.5171505"/>
    <n v="-21.740718999999999"/>
    <n v="-21.1334585"/>
    <n v="-20.496360500000002"/>
    <n v="-18.978590400000002"/>
    <n v="-18.153212"/>
    <n v="-13.2863962"/>
    <n v="-13.120468900000001"/>
    <n v="-12.280337299999999"/>
    <n v="-75.940218200000004"/>
    <n v="-63.391328000000001"/>
    <n v="-57.628162900000007"/>
    <n v="-38.687202400000004"/>
    <n v="-25.400806199999998"/>
    <n v="-235.64691149999999"/>
  </r>
  <r>
    <x v="1"/>
    <n v="9940503547"/>
    <s v="Mining Technical Writer"/>
    <x v="23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99895"/>
    <n v="0"/>
    <n v="0"/>
    <n v="8.0805299999999995"/>
    <n v="0"/>
    <n v="0"/>
    <n v="0"/>
    <n v="0"/>
    <n v="0"/>
    <n v="0"/>
    <n v="0"/>
    <n v="0"/>
    <n v="-0.99895"/>
    <n v="8.0805299999999995"/>
    <n v="0"/>
    <n v="0"/>
    <n v="0"/>
    <n v="7.0815799999999998"/>
  </r>
  <r>
    <x v="1"/>
    <n v="9940547135"/>
    <s v="CITI MX_Cloud Readiness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7.6147103999999999"/>
    <n v="0"/>
    <n v="0"/>
    <n v="0"/>
    <n v="0"/>
    <n v="0"/>
    <n v="0"/>
    <n v="0"/>
    <n v="0"/>
    <n v="0"/>
    <n v="0"/>
    <n v="0"/>
    <n v="-7.6147103999999999"/>
    <n v="0"/>
    <n v="0"/>
    <n v="0"/>
    <n v="0"/>
    <n v="-7.6147103999999999"/>
  </r>
  <r>
    <x v="1"/>
    <n v="9940548081"/>
    <s v="ASWHCM VW Mexico 21-HCM"/>
    <x v="26"/>
    <s v="SI"/>
    <n v="0"/>
    <n v="0"/>
    <n v="0"/>
    <n v="0"/>
    <n v="0"/>
    <n v="0"/>
    <n v="0"/>
    <n v="0"/>
    <n v="0"/>
    <n v="0"/>
    <n v="0"/>
    <n v="5.9839999999999997E-2"/>
    <n v="0"/>
    <n v="0"/>
    <n v="0"/>
    <n v="5.9839999999999997E-2"/>
    <n v="5.9839999999999997E-2"/>
    <n v="5.9839999999999997E-2"/>
    <n v="0"/>
    <n v="0"/>
    <n v="0"/>
    <n v="0"/>
    <n v="0"/>
    <n v="0"/>
    <n v="0"/>
    <n v="0"/>
    <n v="0"/>
    <n v="0"/>
    <n v="0"/>
    <n v="1.917E-2"/>
    <n v="0"/>
    <n v="0"/>
    <n v="0"/>
    <n v="1.917E-2"/>
    <n v="1.917E-2"/>
    <n v="1.917E-2"/>
  </r>
  <r>
    <x v="1"/>
    <n v="9940575995"/>
    <s v="MX-CM-TC_SI-DPP_SFTS_Q2"/>
    <x v="13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498656"/>
    <s v="ABI - O9 DD PE/EC &amp; Arq."/>
    <x v="9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29592"/>
    <s v="LOGIC_Super Aki_Relex FR"/>
    <x v="28"/>
    <s v="SI"/>
    <n v="37.410170000000001"/>
    <n v="40.825600000000001"/>
    <n v="46.054319999999997"/>
    <n v="27.877700000000001"/>
    <n v="6.0941099999999997"/>
    <n v="5.8076400000000001"/>
    <n v="6.6670800000000003"/>
    <n v="6.4603299999999999"/>
    <n v="7.5697200000000002"/>
    <n v="39.294289999999997"/>
    <n v="66.26061"/>
    <n v="70.265190000000004"/>
    <n v="124.29008999999999"/>
    <n v="39.779449999999997"/>
    <n v="20.697130000000001"/>
    <n v="175.82008999999999"/>
    <n v="136.5258"/>
    <n v="360.58675999999997"/>
    <n v="14.85787"/>
    <n v="9.3359900000000007"/>
    <n v="12.335940000000001"/>
    <n v="4.0936700000000004"/>
    <n v="2.9188399999999999"/>
    <n v="3.3180000000000001"/>
    <n v="3.7168100000000002"/>
    <n v="3.6941099999999998"/>
    <n v="4.3300299999999998"/>
    <n v="19.901340000000001"/>
    <n v="33.323430000000002"/>
    <n v="34.148829999999997"/>
    <n v="36.529800000000002"/>
    <n v="10.33051"/>
    <n v="11.74095"/>
    <n v="87.37360000000001"/>
    <n v="67.472260000000006"/>
    <n v="145.97486000000001"/>
  </r>
  <r>
    <x v="1"/>
    <n v="9940541530"/>
    <s v="BMX - SaaS Payroll System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3.22345"/>
    <n v="-1.89737"/>
    <n v="-0.82450999999999997"/>
    <n v="-0.28808"/>
    <n v="0"/>
    <n v="0"/>
    <n v="0"/>
    <n v="0"/>
    <n v="0"/>
    <n v="0"/>
    <n v="0"/>
    <n v="0"/>
    <n v="-25.945329999999998"/>
    <n v="-0.28808"/>
    <n v="0"/>
    <n v="0"/>
    <n v="0"/>
    <n v="-26.233409999999999"/>
  </r>
  <r>
    <x v="1"/>
    <n v="9940325859"/>
    <s v="Backoffice Trans: Ingresos"/>
    <x v="31"/>
    <s v="SI"/>
    <n v="15.444988199999999"/>
    <n v="0.44350859999999998"/>
    <n v="0.29025810000000002"/>
    <n v="0"/>
    <n v="0"/>
    <n v="0"/>
    <n v="0"/>
    <n v="0"/>
    <n v="0"/>
    <n v="0"/>
    <n v="0"/>
    <n v="0"/>
    <n v="16.178754899999998"/>
    <n v="0"/>
    <n v="0"/>
    <n v="0"/>
    <n v="0"/>
    <n v="16.178754899999998"/>
    <n v="3.3982112999999998"/>
    <n v="-1.3392953999999999"/>
    <n v="-0.57420870000000002"/>
    <n v="0"/>
    <n v="0"/>
    <n v="0"/>
    <n v="0"/>
    <n v="0"/>
    <n v="0"/>
    <n v="0"/>
    <n v="0"/>
    <n v="0"/>
    <n v="1.4847071999999997"/>
    <n v="0"/>
    <n v="0"/>
    <n v="0"/>
    <n v="0"/>
    <n v="1.4847071999999997"/>
  </r>
  <r>
    <x v="1"/>
    <n v="9940364931"/>
    <s v="Data &amp; Analytics Framework"/>
    <x v="7"/>
    <s v="SI"/>
    <n v="25.8"/>
    <n v="25.8"/>
    <n v="25.8"/>
    <n v="25.7999914"/>
    <n v="25.8"/>
    <n v="25.803474399999999"/>
    <n v="25.803405600000001"/>
    <n v="25.7929222"/>
    <n v="0"/>
    <n v="0"/>
    <n v="0"/>
    <n v="0"/>
    <n v="77.400000000000006"/>
    <n v="77.403465799999992"/>
    <n v="51.596327799999997"/>
    <n v="0"/>
    <n v="0"/>
    <n v="206.39979360000001"/>
    <n v="7.4046000000000003"/>
    <n v="7.4046000000000003"/>
    <n v="7.4045914000000002"/>
    <n v="7.4046000000000003"/>
    <n v="7.3996722000000004"/>
    <n v="0.46435700000000002"/>
    <n v="27.6959646"/>
    <n v="-2.9515888000000001"/>
    <n v="1.55832E-2"/>
    <n v="3.5346000000000002E-3"/>
    <n v="0"/>
    <n v="0"/>
    <n v="22.213791400000002"/>
    <n v="15.268629199999999"/>
    <n v="24.759958999999998"/>
    <n v="3.5346000000000002E-3"/>
    <n v="0"/>
    <n v="62.245914199999994"/>
  </r>
  <r>
    <x v="1"/>
    <n v="9940327755"/>
    <s v="Paquete de Servicios SAP SI"/>
    <x v="33"/>
    <s v="SI"/>
    <n v="0"/>
    <n v="0"/>
    <n v="0"/>
    <n v="0"/>
    <n v="81.201729999999998"/>
    <n v="0"/>
    <n v="0"/>
    <n v="0"/>
    <n v="0"/>
    <n v="65.716800000000006"/>
    <n v="0"/>
    <n v="0"/>
    <n v="0"/>
    <n v="81.201729999999998"/>
    <n v="0"/>
    <n v="65.716800000000006"/>
    <n v="0"/>
    <n v="146.91853"/>
    <n v="-9.6180000000000002E-2"/>
    <n v="-9.6180000000000002E-2"/>
    <n v="-9.6180000000000002E-2"/>
    <n v="-9.6180000000000002E-2"/>
    <n v="58.03078"/>
    <n v="-0.90820000000000001"/>
    <n v="-0.93769999999999998"/>
    <n v="-8.3349999999999994E-2"/>
    <n v="0.65717000000000003"/>
    <n v="38.670270000000002"/>
    <n v="0"/>
    <n v="0"/>
    <n v="-0.28854000000000002"/>
    <n v="57.026400000000002"/>
    <n v="-0.36387999999999998"/>
    <n v="38.670270000000002"/>
    <n v="0"/>
    <n v="95.044250000000005"/>
  </r>
  <r>
    <x v="1"/>
    <n v="9940567777"/>
    <s v="MX SAN - Bet Movil mar-abr 26-$27K"/>
    <x v="14"/>
    <s v="SI"/>
    <n v="8.2675800000000006"/>
    <n v="0"/>
    <n v="0"/>
    <n v="0"/>
    <n v="0"/>
    <n v="0"/>
    <n v="0"/>
    <n v="0"/>
    <n v="0"/>
    <n v="0"/>
    <n v="0"/>
    <n v="0"/>
    <n v="8.2675800000000006"/>
    <n v="0"/>
    <n v="0"/>
    <n v="0"/>
    <n v="0"/>
    <n v="8.2675800000000006"/>
    <n v="2.8747699999999998"/>
    <n v="-0.19594"/>
    <n v="-0.11756999999999999"/>
    <n v="-9.7999999999999997E-3"/>
    <n v="0"/>
    <n v="0"/>
    <n v="0"/>
    <n v="0"/>
    <n v="0"/>
    <n v="0"/>
    <n v="0"/>
    <n v="0"/>
    <n v="2.5612599999999994"/>
    <n v="-9.7999999999999997E-3"/>
    <n v="0"/>
    <n v="0"/>
    <n v="0"/>
    <n v="2.5514599999999996"/>
  </r>
  <r>
    <x v="1"/>
    <n v="9940534372"/>
    <s v="AC - Implementación OTM Perú"/>
    <x v="17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75842"/>
    <s v="MX-CM-AMS-JT ADOPCION IA MEX"/>
    <x v="13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9965249999999997"/>
    <n v="0"/>
    <n v="0"/>
    <n v="0"/>
    <n v="0"/>
    <n v="0"/>
    <n v="0"/>
    <n v="0"/>
    <n v="0"/>
    <n v="0"/>
    <n v="0"/>
    <n v="0"/>
    <n v="0.89965249999999997"/>
    <n v="0"/>
    <n v="0"/>
    <n v="0"/>
    <n v="0"/>
    <n v="0.89965249999999997"/>
  </r>
  <r>
    <x v="1"/>
    <n v="9940490968"/>
    <s v="MNEMO_ AXA_Programa de puntos"/>
    <x v="36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74666999999999994"/>
    <n v="-0.74666999999999994"/>
    <n v="-0.74666999999999994"/>
    <n v="-0.74666999999999994"/>
    <n v="-0.74666999999999994"/>
    <n v="-0.74666999999999994"/>
    <n v="-0.74666999999999994"/>
    <n v="-0.74666999999999994"/>
    <n v="-0.74666999999999994"/>
    <n v="-0.74666999999999994"/>
    <n v="-0.74666999999999994"/>
    <n v="-0.74666999999999994"/>
    <n v="-2.2400099999999998"/>
    <n v="-2.2400099999999998"/>
    <n v="-2.2400099999999998"/>
    <n v="-2.2400099999999998"/>
    <n v="-1.4933399999999999"/>
    <n v="-8.9600399999999993"/>
  </r>
  <r>
    <x v="1"/>
    <n v="9940250928"/>
    <s v="MX SAN - Nomina Dig onboarding"/>
    <x v="14"/>
    <s v="SI"/>
    <n v="3.0217700000000001"/>
    <n v="0"/>
    <n v="0"/>
    <n v="0"/>
    <n v="0"/>
    <n v="0"/>
    <n v="0"/>
    <n v="0"/>
    <n v="0"/>
    <n v="0"/>
    <n v="0"/>
    <n v="0"/>
    <n v="3.0217700000000001"/>
    <n v="0"/>
    <n v="0"/>
    <n v="0"/>
    <n v="0"/>
    <n v="3.0217700000000001"/>
    <n v="2.92117"/>
    <n v="0"/>
    <n v="0"/>
    <n v="0"/>
    <n v="0"/>
    <n v="0"/>
    <n v="0"/>
    <n v="0"/>
    <n v="0"/>
    <n v="0"/>
    <n v="0"/>
    <n v="0"/>
    <n v="2.92117"/>
    <n v="0"/>
    <n v="0"/>
    <n v="0"/>
    <n v="0"/>
    <n v="2.92117"/>
  </r>
  <r>
    <x v="0"/>
    <n v="9940568565"/>
    <s v="MX SAN -Intern Plataforma Nom-$3.6MDD"/>
    <x v="14"/>
    <s v="SI"/>
    <m/>
    <m/>
    <m/>
    <m/>
    <m/>
    <m/>
    <n v="356.72140999999999"/>
    <n v="0"/>
    <n v="0"/>
    <n v="-155.44368"/>
    <n v="0"/>
    <n v="0"/>
    <n v="0"/>
    <n v="0"/>
    <n v="356.72140999999999"/>
    <n v="-155.44368"/>
    <n v="0"/>
    <n v="201.27772999999999"/>
    <m/>
    <m/>
    <m/>
    <m/>
    <m/>
    <m/>
    <n v="266.86635000000001"/>
    <n v="-61.04365"/>
    <n v="-7.1142599999999998"/>
    <n v="-161.42206999999999"/>
    <n v="-1.9480500000000001"/>
    <n v="-1.96025"/>
    <n v="0"/>
    <n v="0"/>
    <n v="198.70844"/>
    <n v="-165.33036999999999"/>
    <n v="-3.9083000000000001"/>
    <n v="33.378070000000008"/>
  </r>
  <r>
    <x v="1"/>
    <n v="9940465445"/>
    <s v="KOF S4H FIT &amp; GAP Supply Chain"/>
    <x v="17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23865"/>
    <s v="Volaris Procurement MM - Ariba"/>
    <x v="38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7104"/>
    <s v="CITI GRU Transformation US 80%"/>
    <x v="0"/>
    <s v="SI"/>
    <n v="44.28"/>
    <n v="44.28"/>
    <n v="43.938158399999999"/>
    <n v="0"/>
    <n v="0"/>
    <n v="0"/>
    <n v="0"/>
    <n v="0"/>
    <n v="0"/>
    <n v="0"/>
    <n v="0"/>
    <n v="0"/>
    <n v="132.49815839999999"/>
    <n v="0"/>
    <n v="0"/>
    <n v="0"/>
    <n v="0"/>
    <n v="132.49815839999999"/>
    <n v="9.1341234999999994"/>
    <n v="8.8504772999999997"/>
    <n v="8.1694673000000009"/>
    <n v="-33.369034900000003"/>
    <n v="-0.64214610000000005"/>
    <n v="0"/>
    <n v="0"/>
    <n v="0"/>
    <n v="0"/>
    <n v="0"/>
    <n v="0"/>
    <n v="0"/>
    <n v="26.1540681"/>
    <n v="-34.011181000000001"/>
    <n v="0"/>
    <n v="0"/>
    <n v="0"/>
    <n v="-7.8571129000000006"/>
  </r>
  <r>
    <x v="1"/>
    <n v="9940328991"/>
    <s v="Gravity Mainframe Modernization"/>
    <x v="14"/>
    <s v="SI"/>
    <n v="14.976601"/>
    <n v="6.6740443999999997"/>
    <n v="6.4579123999999997"/>
    <n v="7.4085102000000003"/>
    <n v="6.3702240000000003"/>
    <n v="6.3702240000000003"/>
    <n v="6.3702240000000003"/>
    <n v="6.3702240000000003"/>
    <n v="6.3702240000000003"/>
    <n v="6.3702240000000003"/>
    <n v="6.3702240000000003"/>
    <n v="6.3702240000000003"/>
    <n v="28.1085578"/>
    <n v="20.148958200000003"/>
    <n v="19.110672000000001"/>
    <n v="19.110672000000001"/>
    <n v="12.740448000000001"/>
    <n v="86.478859999999997"/>
    <n v="5.9478764000000002"/>
    <n v="1.7749885999999999"/>
    <n v="2.0610317999999999"/>
    <n v="3.4099268"/>
    <n v="1.8839661999999999"/>
    <n v="2.0833148000000001"/>
    <n v="2.1658802000000001"/>
    <n v="2.1658802000000001"/>
    <n v="2.1658802000000001"/>
    <n v="2.1658802000000001"/>
    <n v="2.1658802000000001"/>
    <n v="2.1658802000000001"/>
    <n v="9.7838968000000008"/>
    <n v="7.3772077999999999"/>
    <n v="6.4976406000000004"/>
    <n v="6.4976406000000004"/>
    <n v="4.3317604000000003"/>
    <n v="30.156385800000002"/>
  </r>
  <r>
    <x v="1"/>
    <n v="9940288969"/>
    <s v="MX-BK-TC-JRJMR PMO Migracion APX"/>
    <x v="13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577011"/>
    <s v="Microsoft Claro DLP MVP"/>
    <x v="63"/>
    <s v="SI"/>
    <m/>
    <m/>
    <m/>
    <m/>
    <m/>
    <m/>
    <m/>
    <m/>
    <m/>
    <n v="0"/>
    <n v="30.801300000000001"/>
    <n v="0"/>
    <n v="0"/>
    <n v="0"/>
    <n v="0"/>
    <n v="30.801300000000001"/>
    <n v="30.801300000000001"/>
    <n v="30.801300000000001"/>
    <m/>
    <m/>
    <m/>
    <m/>
    <m/>
    <m/>
    <m/>
    <m/>
    <m/>
    <n v="0"/>
    <n v="12.116059999999999"/>
    <n v="0"/>
    <n v="0"/>
    <n v="0"/>
    <n v="0"/>
    <n v="12.116059999999999"/>
    <n v="12.116059999999999"/>
    <n v="12.116059999999999"/>
  </r>
  <r>
    <x v="1"/>
    <n v="9940465210"/>
    <s v="KOF Digital Procurement S/4 HANA"/>
    <x v="17"/>
    <s v="SI"/>
    <n v="154.83623"/>
    <n v="167.62779"/>
    <n v="137.53013999999999"/>
    <n v="86.533850000000001"/>
    <n v="110.43825"/>
    <n v="109.69924"/>
    <n v="102.7777"/>
    <n v="102.70338"/>
    <n v="105.9739"/>
    <n v="120.50266000000001"/>
    <n v="109.61193"/>
    <n v="99.987759999999994"/>
    <n v="459.99415999999997"/>
    <n v="306.67133999999999"/>
    <n v="311.45497999999998"/>
    <n v="330.10235"/>
    <n v="209.59969000000001"/>
    <n v="1408.2228300000002"/>
    <n v="45.48565"/>
    <n v="50.323430000000002"/>
    <n v="36.965949999999999"/>
    <n v="17.187989999999999"/>
    <n v="26.593820000000001"/>
    <n v="25.60239"/>
    <n v="21.069769999999998"/>
    <n v="19.435970000000001"/>
    <n v="19.968959999999999"/>
    <n v="28.641439999999999"/>
    <n v="28.818100000000001"/>
    <n v="27.65343"/>
    <n v="132.77502999999999"/>
    <n v="69.384199999999993"/>
    <n v="60.474699999999999"/>
    <n v="85.112970000000004"/>
    <n v="56.471530000000001"/>
    <n v="347.74689999999998"/>
  </r>
  <r>
    <x v="1"/>
    <n v="9940505235"/>
    <s v="Mnemo Crowdstrike implementation"/>
    <x v="5"/>
    <s v="SI"/>
    <n v="6.9843099999999998"/>
    <n v="6.9843099999999998"/>
    <n v="6.9843099999999998"/>
    <n v="0"/>
    <n v="0"/>
    <n v="0"/>
    <n v="0"/>
    <n v="0"/>
    <n v="0"/>
    <n v="0"/>
    <n v="0"/>
    <n v="0"/>
    <n v="20.952929999999999"/>
    <n v="0"/>
    <n v="0"/>
    <n v="0"/>
    <n v="0"/>
    <n v="20.952929999999999"/>
    <n v="3.30341"/>
    <n v="4.3212099999999998"/>
    <n v="4.2513699999999996"/>
    <n v="0"/>
    <n v="0"/>
    <n v="0"/>
    <n v="0"/>
    <n v="0"/>
    <n v="0"/>
    <n v="0"/>
    <n v="0"/>
    <n v="0"/>
    <n v="11.87599"/>
    <n v="0"/>
    <n v="0"/>
    <n v="0"/>
    <n v="0"/>
    <n v="11.87599"/>
  </r>
  <r>
    <x v="1"/>
    <n v="9940523857"/>
    <s v="MX Actinver - Funcionalidad core"/>
    <x v="4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29608000000000001"/>
    <n v="-0.29608000000000001"/>
    <n v="0"/>
    <n v="0"/>
    <n v="0"/>
    <n v="0"/>
    <n v="0"/>
    <n v="0"/>
    <n v="0"/>
    <n v="0"/>
    <n v="0"/>
    <n v="0"/>
    <n v="-0.59216000000000002"/>
    <n v="0"/>
    <n v="0"/>
    <n v="0"/>
    <n v="0"/>
    <n v="-0.59216000000000002"/>
  </r>
  <r>
    <x v="1"/>
    <n v="9940572525"/>
    <s v="2026 IPADE Fabrica de Desarrollo"/>
    <x v="19"/>
    <s v="SI"/>
    <n v="45.169350000000001"/>
    <n v="31.540619"/>
    <n v="0"/>
    <n v="0"/>
    <n v="0"/>
    <n v="0"/>
    <n v="0"/>
    <n v="0"/>
    <n v="0"/>
    <n v="0"/>
    <n v="0"/>
    <n v="0"/>
    <n v="76.709969000000001"/>
    <n v="0"/>
    <n v="0"/>
    <n v="0"/>
    <n v="0"/>
    <n v="76.709969000000001"/>
    <n v="23.9776892"/>
    <n v="16.885520799999998"/>
    <n v="0"/>
    <n v="0"/>
    <n v="0"/>
    <n v="0"/>
    <n v="0"/>
    <n v="0"/>
    <n v="0"/>
    <n v="0"/>
    <n v="0"/>
    <n v="0"/>
    <n v="40.863209999999995"/>
    <n v="0"/>
    <n v="0"/>
    <n v="0"/>
    <n v="0"/>
    <n v="40.863209999999995"/>
  </r>
  <r>
    <x v="0"/>
    <n v="9940578471"/>
    <s v="MX Gentera - RISE SAP S4HANA Fase 1"/>
    <x v="55"/>
    <s v="SI"/>
    <m/>
    <m/>
    <m/>
    <m/>
    <m/>
    <m/>
    <m/>
    <m/>
    <m/>
    <n v="0"/>
    <n v="201.62106"/>
    <n v="65.464929999999995"/>
    <n v="0"/>
    <n v="0"/>
    <n v="0"/>
    <n v="267.08598999999998"/>
    <n v="267.08598999999998"/>
    <n v="267.08598999999998"/>
    <m/>
    <m/>
    <m/>
    <m/>
    <m/>
    <m/>
    <m/>
    <m/>
    <m/>
    <n v="0"/>
    <n v="85.988349999999997"/>
    <n v="26.99972"/>
    <n v="0"/>
    <n v="0"/>
    <n v="0"/>
    <n v="112.98806999999999"/>
    <n v="112.98806999999999"/>
    <n v="112.98806999999999"/>
  </r>
  <r>
    <x v="1"/>
    <n v="9940467325"/>
    <s v="CUPRUM APOLO PROJECT SAP S/4 HANA"/>
    <x v="41"/>
    <s v="SI"/>
    <n v="387.72737000000001"/>
    <n v="322.31526000000002"/>
    <n v="111.92216000000001"/>
    <n v="112.83893999999999"/>
    <n v="111.28694"/>
    <n v="111.73311"/>
    <n v="111.11888"/>
    <n v="3.1537899999999999"/>
    <n v="0"/>
    <n v="0"/>
    <n v="0"/>
    <n v="0"/>
    <n v="821.96478999999999"/>
    <n v="335.85899000000001"/>
    <n v="114.27267000000001"/>
    <n v="0"/>
    <n v="0"/>
    <n v="1272.09645"/>
    <n v="-41.891179999999999"/>
    <n v="-39.997459999999997"/>
    <n v="-30.77863"/>
    <n v="-27.76172"/>
    <n v="-24.2911"/>
    <n v="-22.094529999999999"/>
    <n v="-19.8933"/>
    <n v="-11.7972"/>
    <n v="-3.6314500000000001"/>
    <n v="0"/>
    <n v="0"/>
    <n v="0"/>
    <n v="-112.66727"/>
    <n v="-74.147349999999989"/>
    <n v="-35.321950000000001"/>
    <n v="0"/>
    <n v="0"/>
    <n v="-222.13657000000001"/>
  </r>
  <r>
    <x v="1"/>
    <n v="9940531641"/>
    <s v="CITI -MX# Payments Transformation"/>
    <x v="0"/>
    <s v="SI"/>
    <n v="103.08793"/>
    <n v="107.99688"/>
    <n v="93.270030000000006"/>
    <n v="107.99688"/>
    <n v="0"/>
    <n v="0"/>
    <n v="0"/>
    <n v="0"/>
    <n v="0"/>
    <n v="0"/>
    <n v="0"/>
    <n v="0"/>
    <n v="304.35484000000002"/>
    <n v="107.99688"/>
    <n v="0"/>
    <n v="0"/>
    <n v="0"/>
    <n v="412.35172"/>
    <n v="28.15784"/>
    <n v="29.782509999999998"/>
    <n v="25.0657"/>
    <n v="28.912120000000002"/>
    <n v="-2.11911"/>
    <n v="-1.2032099999999999"/>
    <n v="0"/>
    <n v="0"/>
    <n v="0"/>
    <n v="0"/>
    <n v="0"/>
    <n v="0"/>
    <n v="83.006049999999988"/>
    <n v="25.589800000000004"/>
    <n v="0"/>
    <n v="0"/>
    <n v="0"/>
    <n v="108.59584999999998"/>
  </r>
  <r>
    <x v="1"/>
    <n v="9940547078"/>
    <s v="MX SAN - Nomina Digital (Intern.)"/>
    <x v="14"/>
    <s v="SI"/>
    <n v="340.64832999999999"/>
    <n v="340.64832999999999"/>
    <n v="340.64832999999999"/>
    <n v="340.64832999999999"/>
    <n v="340.64832999999999"/>
    <n v="340.64832999999999"/>
    <n v="340.64832999999999"/>
    <n v="340.64832999999999"/>
    <n v="340.64832999999999"/>
    <n v="340.64832999999999"/>
    <n v="340.64832999999999"/>
    <n v="340.64832999999999"/>
    <n v="1021.94499"/>
    <n v="1021.94499"/>
    <n v="1021.94499"/>
    <n v="1021.94499"/>
    <n v="681.29665999999997"/>
    <n v="4087.7799599999998"/>
    <n v="122.97405000000001"/>
    <n v="122.97405000000001"/>
    <n v="122.97405000000001"/>
    <n v="122.97405000000001"/>
    <n v="122.97405000000001"/>
    <n v="122.97405000000001"/>
    <n v="122.97405000000001"/>
    <n v="122.97405000000001"/>
    <n v="122.97405000000001"/>
    <n v="122.97405000000001"/>
    <n v="122.97405000000001"/>
    <n v="122.97405000000001"/>
    <n v="368.92214999999999"/>
    <n v="368.92214999999999"/>
    <n v="368.92214999999999"/>
    <n v="368.92214999999999"/>
    <n v="245.94810000000001"/>
    <n v="1475.6886"/>
  </r>
  <r>
    <x v="1"/>
    <n v="9940548855"/>
    <s v="Proximidad - Finance Processes L4"/>
    <x v="3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78471"/>
    <s v="MX Gentera - RISE SAP S4HANA Fase 1"/>
    <x v="55"/>
    <s v="SI"/>
    <n v="3.6313"/>
    <n v="0"/>
    <n v="0"/>
    <n v="0"/>
    <n v="0"/>
    <n v="0"/>
    <n v="0"/>
    <n v="0"/>
    <n v="0"/>
    <n v="0"/>
    <n v="0"/>
    <n v="0"/>
    <n v="3.6313"/>
    <n v="0"/>
    <n v="0"/>
    <n v="0"/>
    <n v="0"/>
    <n v="3.6313"/>
    <n v="-1.4809600000000001"/>
    <n v="-0.48041"/>
    <n v="0"/>
    <n v="0"/>
    <n v="0"/>
    <n v="0"/>
    <n v="0"/>
    <n v="0"/>
    <n v="0"/>
    <n v="0"/>
    <n v="0"/>
    <n v="0"/>
    <n v="-1.9613700000000001"/>
    <n v="0"/>
    <n v="0"/>
    <n v="0"/>
    <n v="0"/>
    <n v="-1.9613700000000001"/>
  </r>
  <r>
    <x v="1"/>
    <n v="9940572613"/>
    <s v="Logic_Garcia_ Implementación IEPS"/>
    <x v="42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28274"/>
    <s v="LOGIC_Kiosko_SOW000(MOM)_2024-0729"/>
    <x v="22"/>
    <s v="SI"/>
    <n v="83.246899999999997"/>
    <n v="67.706450000000004"/>
    <n v="74.533760000000001"/>
    <n v="71.740809999999996"/>
    <n v="0"/>
    <n v="0"/>
    <n v="0"/>
    <n v="0"/>
    <n v="0"/>
    <n v="0"/>
    <n v="0"/>
    <n v="0"/>
    <n v="225.48711"/>
    <n v="71.740809999999996"/>
    <n v="0"/>
    <n v="0"/>
    <n v="0"/>
    <n v="297.22791999999998"/>
    <n v="3.33508"/>
    <n v="3.3874599999999999"/>
    <n v="3.9449399999999999"/>
    <n v="2.6474299999999999"/>
    <n v="-55.346800000000002"/>
    <n v="0"/>
    <n v="0"/>
    <n v="0"/>
    <n v="0"/>
    <n v="0"/>
    <n v="0"/>
    <n v="0"/>
    <n v="10.667480000000001"/>
    <n v="-52.699370000000002"/>
    <n v="0"/>
    <n v="0"/>
    <n v="0"/>
    <n v="-42.031890000000004"/>
  </r>
  <r>
    <x v="1"/>
    <n v="9940531034"/>
    <s v="MX Mizuho - Functional Design core"/>
    <x v="45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42499"/>
    <s v="AP26_MX Actinver - QE core banking"/>
    <x v="4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578551"/>
    <s v="CDA Cybersecurity Due Dilligence 2"/>
    <x v="64"/>
    <s v="SI"/>
    <m/>
    <m/>
    <m/>
    <m/>
    <m/>
    <m/>
    <m/>
    <m/>
    <m/>
    <n v="0"/>
    <n v="0"/>
    <n v="32.771039999999999"/>
    <n v="0"/>
    <n v="0"/>
    <n v="0"/>
    <n v="32.771039999999999"/>
    <n v="32.771039999999999"/>
    <n v="32.771039999999999"/>
    <m/>
    <m/>
    <m/>
    <m/>
    <m/>
    <m/>
    <m/>
    <m/>
    <m/>
    <n v="0"/>
    <n v="0"/>
    <n v="14.53159"/>
    <n v="0"/>
    <n v="0"/>
    <n v="0"/>
    <n v="14.53159"/>
    <n v="14.53159"/>
    <n v="14.53159"/>
  </r>
  <r>
    <x v="1"/>
    <n v="9940565199"/>
    <s v="MX Wealth Mgmt Transformation - DD"/>
    <x v="1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78551"/>
    <s v="CDA Cybersecurity Due Dilligence 2"/>
    <x v="64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32771"/>
    <n v="-0.38013999999999998"/>
    <n v="-0.38013999999999998"/>
    <n v="0"/>
    <n v="0"/>
    <n v="0"/>
    <n v="0"/>
    <n v="0"/>
    <n v="0"/>
    <n v="0"/>
    <n v="0"/>
    <n v="0"/>
    <n v="-1.08799"/>
    <n v="0"/>
    <n v="0"/>
    <n v="0"/>
    <n v="0"/>
    <n v="-1.08799"/>
  </r>
  <r>
    <x v="0"/>
    <n v="9940578733"/>
    <s v="CDA Cybersecurity Due Dilligence 1"/>
    <x v="65"/>
    <s v="SI"/>
    <m/>
    <m/>
    <m/>
    <m/>
    <m/>
    <m/>
    <m/>
    <m/>
    <m/>
    <n v="0"/>
    <n v="0"/>
    <n v="32.771039999999999"/>
    <n v="0"/>
    <n v="0"/>
    <n v="0"/>
    <n v="32.771039999999999"/>
    <n v="32.771039999999999"/>
    <n v="32.771039999999999"/>
    <m/>
    <m/>
    <m/>
    <m/>
    <m/>
    <m/>
    <m/>
    <m/>
    <m/>
    <n v="0"/>
    <n v="0"/>
    <n v="14.53159"/>
    <n v="0"/>
    <n v="0"/>
    <n v="0"/>
    <n v="14.53159"/>
    <n v="14.53159"/>
    <n v="14.53159"/>
  </r>
  <r>
    <x v="1"/>
    <n v="9940578733"/>
    <s v="CDA Cybersecurity Due Dilligence 1"/>
    <x v="65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32771"/>
    <n v="-0.38013999999999998"/>
    <n v="-0.38013999999999998"/>
    <n v="0"/>
    <n v="0"/>
    <n v="0"/>
    <n v="0"/>
    <n v="0"/>
    <n v="0"/>
    <n v="0"/>
    <n v="0"/>
    <n v="0"/>
    <n v="-1.08799"/>
    <n v="0"/>
    <n v="0"/>
    <n v="0"/>
    <n v="0"/>
    <n v="-1.08799"/>
  </r>
  <r>
    <x v="1"/>
    <n v="9940397792"/>
    <s v="L'Oréal Neo Roll-Out - Central Team"/>
    <x v="46"/>
    <s v="SI"/>
    <n v="178.73452259999999"/>
    <n v="172.89146339999999"/>
    <n v="175.05286530000001"/>
    <n v="136.38293999999999"/>
    <n v="230.17548239999999"/>
    <n v="224.1274512"/>
    <n v="249.68489310000001"/>
    <n v="241.26327570000001"/>
    <n v="252.6500532"/>
    <n v="290.38341480000003"/>
    <n v="190.32535859999999"/>
    <n v="144.38668770000001"/>
    <n v="526.67885130000002"/>
    <n v="590.68587359999992"/>
    <n v="743.59822200000008"/>
    <n v="625.09546110000008"/>
    <n v="334.7120463"/>
    <n v="2486.0584080000003"/>
    <n v="70.968074999999999"/>
    <n v="67.649486100000004"/>
    <n v="69.056711100000001"/>
    <n v="49.740379500000003"/>
    <n v="95.451580199999995"/>
    <n v="94.440431399999994"/>
    <n v="105.143241"/>
    <n v="100.9915314"/>
    <n v="107.32641030000001"/>
    <n v="113.8467297"/>
    <n v="68.075481600000003"/>
    <n v="54.253948200000004"/>
    <n v="207.67427219999999"/>
    <n v="239.63239109999998"/>
    <n v="313.46118269999999"/>
    <n v="236.17615950000001"/>
    <n v="122.32942980000001"/>
    <n v="996.9440055"/>
  </r>
  <r>
    <x v="1"/>
    <n v="9940499510"/>
    <s v="SP-BK-JV Smart Assistant Dev Q224MX"/>
    <x v="13"/>
    <s v="SI"/>
    <n v="15.1897"/>
    <n v="0"/>
    <n v="0"/>
    <n v="0"/>
    <n v="0"/>
    <n v="0"/>
    <n v="0"/>
    <n v="0"/>
    <n v="0"/>
    <n v="0"/>
    <n v="0"/>
    <n v="0"/>
    <n v="15.1897"/>
    <n v="0"/>
    <n v="0"/>
    <n v="0"/>
    <n v="0"/>
    <n v="15.1897"/>
    <n v="2.3721800000000002"/>
    <n v="0"/>
    <n v="0"/>
    <n v="0"/>
    <n v="0"/>
    <n v="0"/>
    <n v="0"/>
    <n v="0"/>
    <n v="0"/>
    <n v="0"/>
    <n v="0"/>
    <n v="0"/>
    <n v="2.3721800000000002"/>
    <n v="0"/>
    <n v="0"/>
    <n v="0"/>
    <n v="0"/>
    <n v="2.3721800000000002"/>
  </r>
  <r>
    <x v="1"/>
    <n v="9940533299"/>
    <s v="AXA-MX-J2C- Migration Managed Office"/>
    <x v="36"/>
    <s v="SI"/>
    <n v="109.77829"/>
    <n v="110.32398000000001"/>
    <n v="89.025800000000004"/>
    <n v="47.595199999999998"/>
    <n v="0"/>
    <n v="0"/>
    <n v="0"/>
    <n v="0"/>
    <n v="0"/>
    <n v="0"/>
    <n v="0"/>
    <n v="0"/>
    <n v="309.12806999999998"/>
    <n v="47.595199999999998"/>
    <n v="0"/>
    <n v="0"/>
    <n v="0"/>
    <n v="356.72326999999996"/>
    <n v="36.858400000000003"/>
    <n v="38.032609999999998"/>
    <n v="28.505700000000001"/>
    <n v="13.522740000000001"/>
    <n v="-1.2064299999999999"/>
    <n v="-0.55203999999999998"/>
    <n v="0"/>
    <n v="0"/>
    <n v="0"/>
    <n v="0"/>
    <n v="0"/>
    <n v="0"/>
    <n v="103.39671"/>
    <n v="11.764270000000002"/>
    <n v="0"/>
    <n v="0"/>
    <n v="0"/>
    <n v="115.16098"/>
  </r>
  <r>
    <x v="1"/>
    <n v="9940556048"/>
    <s v="LOGIC_CYA Nuevo Setup ReSA Nuevo POS"/>
    <x v="53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76284"/>
    <s v="MX Gentera - North Star Core. Fase 1"/>
    <x v="55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2993931999999999"/>
    <n v="-0.74227399999999999"/>
    <n v="0"/>
    <n v="0"/>
    <n v="0"/>
    <n v="0"/>
    <n v="0"/>
    <n v="0"/>
    <n v="0"/>
    <n v="0"/>
    <n v="0"/>
    <n v="0"/>
    <n v="-3.0416672"/>
    <n v="0"/>
    <n v="0"/>
    <n v="0"/>
    <n v="0"/>
    <n v="-3.0416672"/>
  </r>
  <r>
    <x v="1"/>
    <n v="9940505640"/>
    <s v="Digital&amp;Data Managed Services RFP 50%"/>
    <x v="23"/>
    <s v="SI"/>
    <n v="197.1080772"/>
    <n v="189.64707960000001"/>
    <n v="137.93734799999999"/>
    <n v="152.55564659999999"/>
    <n v="0"/>
    <n v="0"/>
    <n v="0"/>
    <n v="0"/>
    <n v="0"/>
    <n v="0"/>
    <n v="0"/>
    <n v="0"/>
    <n v="524.69250480000005"/>
    <n v="152.55564659999999"/>
    <n v="0"/>
    <n v="0"/>
    <n v="0"/>
    <n v="677.2481514000001"/>
    <n v="83.443776900000003"/>
    <n v="81.072419400000001"/>
    <n v="57.0392571"/>
    <n v="64.1697171"/>
    <n v="-5.4496890000000002"/>
    <n v="-0.14515529999999999"/>
    <n v="0"/>
    <n v="0"/>
    <n v="0"/>
    <n v="0"/>
    <n v="0"/>
    <n v="0"/>
    <n v="221.55545339999998"/>
    <n v="58.574872800000001"/>
    <n v="0"/>
    <n v="0"/>
    <n v="0"/>
    <n v="280.13032619999996"/>
  </r>
  <r>
    <x v="1"/>
    <n v="9940521224"/>
    <s v="IPADE Fabrica de desarrollo Ejecución"/>
    <x v="19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40296"/>
    <s v="MX Actinver - Assessment core banking"/>
    <x v="40"/>
    <s v="SI"/>
    <n v="0"/>
    <n v="79.138982400000003"/>
    <n v="0"/>
    <n v="0"/>
    <n v="0"/>
    <n v="0"/>
    <n v="0"/>
    <n v="0"/>
    <n v="0"/>
    <n v="0"/>
    <n v="0"/>
    <n v="0"/>
    <n v="79.138982400000003"/>
    <n v="0"/>
    <n v="0"/>
    <n v="0"/>
    <n v="0"/>
    <n v="79.138982400000003"/>
    <n v="0.79138799999999998"/>
    <n v="44.081736599999999"/>
    <n v="0"/>
    <n v="0"/>
    <n v="0"/>
    <n v="0"/>
    <n v="0"/>
    <n v="0"/>
    <n v="0"/>
    <n v="0"/>
    <n v="0"/>
    <n v="0"/>
    <n v="44.873124599999997"/>
    <n v="0"/>
    <n v="0"/>
    <n v="0"/>
    <n v="0"/>
    <n v="44.873124599999997"/>
  </r>
  <r>
    <x v="1"/>
    <n v="9940559900"/>
    <s v="MX SAN - Migración Tableau a Power BI"/>
    <x v="14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66436247"/>
    <s v="Ariba Sigma Campofrio Revenue Sharing"/>
    <x v="56"/>
    <s v="SI"/>
    <n v="0"/>
    <n v="0"/>
    <n v="0"/>
    <n v="0"/>
    <n v="0"/>
    <n v="20.280809999999999"/>
    <n v="0"/>
    <n v="0"/>
    <n v="0"/>
    <n v="0"/>
    <m/>
    <m/>
    <n v="0"/>
    <n v="20.280809999999999"/>
    <n v="0"/>
    <n v="0"/>
    <n v="0"/>
    <n v="20.280809999999999"/>
    <n v="1.2834300000000001"/>
    <n v="1.0478099999999999"/>
    <n v="0.58316000000000001"/>
    <n v="0.18970000000000001"/>
    <n v="0.19461999999999999"/>
    <n v="20.483619999999998"/>
    <n v="0"/>
    <n v="0"/>
    <n v="0"/>
    <n v="0"/>
    <m/>
    <m/>
    <n v="2.9144000000000001"/>
    <n v="20.867939999999997"/>
    <n v="0"/>
    <n v="0"/>
    <n v="0"/>
    <n v="23.782339999999998"/>
  </r>
  <r>
    <x v="1"/>
    <n v="9940352909"/>
    <s v="MX SAN - Tarjeta de Credito en Nom Dig"/>
    <x v="14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075"/>
    <n v="2.4760000000000001E-2"/>
    <n v="2.4760000000000001E-2"/>
    <n v="2.4760000000000001E-2"/>
    <n v="2.4760000000000001E-2"/>
    <n v="2.4760000000000001E-2"/>
    <n v="2.4760000000000001E-2"/>
    <n v="2.4760000000000001E-2"/>
    <n v="2.4760000000000001E-2"/>
    <n v="2.4760000000000001E-2"/>
    <n v="2.4760000000000001E-2"/>
    <n v="2.4760000000000001E-2"/>
    <n v="1.7570199999999998"/>
    <n v="7.4279999999999999E-2"/>
    <n v="7.4279999999999999E-2"/>
    <n v="7.4279999999999999E-2"/>
    <n v="4.9520000000000002E-2"/>
    <n v="1.9798599999999995"/>
  </r>
  <r>
    <x v="1"/>
    <n v="9940372230"/>
    <s v="Volaris ERP as a Service (Impl. - AMS)"/>
    <x v="38"/>
    <s v="SI"/>
    <n v="14.70927"/>
    <n v="14.782590000000001"/>
    <n v="14.782590000000001"/>
    <n v="14.782590000000001"/>
    <n v="14.782590000000001"/>
    <n v="14.782590000000001"/>
    <n v="14.782590000000001"/>
    <n v="14.782590000000001"/>
    <n v="14.782590000000001"/>
    <n v="14.782590000000001"/>
    <n v="14.782590000000001"/>
    <n v="14.782590000000001"/>
    <n v="44.274450000000002"/>
    <n v="44.347770000000004"/>
    <n v="44.347770000000004"/>
    <n v="44.347770000000004"/>
    <n v="29.565180000000002"/>
    <n v="177.31775999999999"/>
    <n v="8.8104600000000008"/>
    <n v="8.8837799999999998"/>
    <n v="8.8830399999999994"/>
    <n v="8.8830399999999994"/>
    <n v="8.8830399999999994"/>
    <n v="8.8830399999999994"/>
    <n v="8.8830399999999994"/>
    <n v="8.8830399999999994"/>
    <n v="8.8830399999999994"/>
    <n v="8.8830399999999994"/>
    <n v="8.8830399999999994"/>
    <n v="8.8830399999999994"/>
    <n v="26.577280000000002"/>
    <n v="26.649119999999996"/>
    <n v="26.649119999999996"/>
    <n v="26.649119999999996"/>
    <n v="17.766079999999999"/>
    <n v="106.52463999999999"/>
  </r>
  <r>
    <x v="1"/>
    <n v="9940402203"/>
    <s v="MX SAN - Gestion Identidades Sailpoint"/>
    <x v="14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1681"/>
    <s v="LOGIC_SIMAN_XStore ORCE Implementation"/>
    <x v="58"/>
    <s v="SI"/>
    <n v="0"/>
    <n v="0"/>
    <n v="0"/>
    <n v="109.60418"/>
    <n v="0"/>
    <n v="0"/>
    <n v="0"/>
    <n v="0"/>
    <n v="0"/>
    <n v="0"/>
    <n v="0"/>
    <n v="0"/>
    <n v="0"/>
    <n v="109.60418"/>
    <n v="0"/>
    <n v="0"/>
    <n v="0"/>
    <n v="109.60418"/>
    <n v="-0.19039"/>
    <n v="1.1150899999999999"/>
    <n v="1.1150899999999999"/>
    <n v="32.440739999999998"/>
    <n v="0"/>
    <n v="0"/>
    <n v="0"/>
    <n v="0"/>
    <n v="0"/>
    <n v="0"/>
    <n v="0"/>
    <n v="0"/>
    <n v="2.03979"/>
    <n v="32.440739999999998"/>
    <n v="0"/>
    <n v="0"/>
    <n v="0"/>
    <n v="34.480530000000002"/>
  </r>
  <r>
    <x v="1"/>
    <n v="9940572803"/>
    <s v="MX Gentera - Arquitectura People datos"/>
    <x v="55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449491"/>
    <s v="Lanzamiento cuenta azul. Célula urgente"/>
    <x v="12"/>
    <s v="SI"/>
    <n v="16.553170000000001"/>
    <n v="20.53032"/>
    <n v="12.02434"/>
    <n v="0"/>
    <n v="0"/>
    <n v="0"/>
    <n v="0"/>
    <n v="0"/>
    <n v="0"/>
    <n v="0"/>
    <n v="0"/>
    <n v="0"/>
    <n v="49.10783"/>
    <n v="0"/>
    <n v="0"/>
    <n v="0"/>
    <n v="0"/>
    <n v="49.10783"/>
    <n v="6.5515499999999998"/>
    <n v="8.1225699999999996"/>
    <n v="4.8613299999999997"/>
    <n v="-0.42421999999999999"/>
    <n v="0"/>
    <n v="0"/>
    <n v="0"/>
    <n v="0"/>
    <n v="0"/>
    <n v="0"/>
    <n v="0"/>
    <n v="0"/>
    <n v="19.535449999999997"/>
    <n v="-0.42421999999999999"/>
    <n v="0"/>
    <n v="0"/>
    <n v="0"/>
    <n v="19.111229999999999"/>
  </r>
  <r>
    <x v="1"/>
    <n v="9940513403"/>
    <s v="AP25 ABI MX Supply Chain Command Center"/>
    <x v="9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7605"/>
    <s v="LOGIC_Lindcorp RELEX F&amp;R Implementation"/>
    <x v="59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320000000000001E-2"/>
    <n v="5.5320000000000001E-2"/>
    <n v="5.5320000000000001E-2"/>
    <n v="5.5320000000000001E-2"/>
    <n v="5.5320000000000001E-2"/>
    <n v="5.5320000000000001E-2"/>
    <n v="5.5320000000000001E-2"/>
    <n v="5.5320000000000001E-2"/>
    <n v="5.5320000000000001E-2"/>
    <n v="5.5320000000000001E-2"/>
    <n v="5.5320000000000001E-2"/>
    <n v="5.5320000000000001E-2"/>
    <n v="0.16596"/>
    <n v="0.16596"/>
    <n v="0.16596"/>
    <n v="0.16596"/>
    <n v="0.11064"/>
    <n v="0.66383999999999999"/>
  </r>
  <r>
    <x v="0"/>
    <s v="NOT ASSIGN"/>
    <s v="ED"/>
    <x v="66"/>
    <s v="SI"/>
    <n v="0"/>
    <n v="0"/>
    <n v="-1.2E-4"/>
    <n v="0"/>
    <n v="0"/>
    <n v="0"/>
    <n v="0"/>
    <n v="0"/>
    <n v="0"/>
    <n v="0"/>
    <m/>
    <m/>
    <n v="-1.2E-4"/>
    <n v="0"/>
    <n v="0"/>
    <n v="0"/>
    <n v="0"/>
    <n v="-1.2E-4"/>
    <n v="-0.11582000000000001"/>
    <n v="-0.11768000000000001"/>
    <n v="-0.11998"/>
    <n v="-0.11824999999999999"/>
    <n v="-0.11561"/>
    <n v="-36.482880000000002"/>
    <n v="-33.101730000000003"/>
    <n v="-19.946159999999999"/>
    <n v="62.374040000000001"/>
    <n v="21.37002"/>
    <m/>
    <m/>
    <n v="-0.35348000000000002"/>
    <n v="-36.716740000000001"/>
    <n v="9.3261499999999984"/>
    <n v="21.37002"/>
    <n v="0"/>
    <n v="-6.3740500000000004"/>
  </r>
  <r>
    <x v="1"/>
    <n v="9940554317"/>
    <s v="BNMX - SAP Basis Netweavear/BTP-Payroll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73145000000000004"/>
    <n v="-6.6489999999999994E-2"/>
    <n v="0"/>
    <n v="0"/>
    <n v="0"/>
    <n v="0"/>
    <n v="0"/>
    <n v="0"/>
    <n v="0"/>
    <n v="0"/>
    <n v="0"/>
    <n v="0"/>
    <n v="-0.79794000000000009"/>
    <n v="0"/>
    <n v="0"/>
    <n v="0"/>
    <n v="0"/>
    <n v="-0.79794000000000009"/>
  </r>
  <r>
    <x v="1"/>
    <n v="9940574770"/>
    <s v="KOF S4 Planning 2026 Jan_Jun Fast track"/>
    <x v="17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819370000000006"/>
    <n v="0"/>
    <n v="0"/>
    <n v="0"/>
    <n v="0"/>
    <n v="0"/>
    <n v="0"/>
    <n v="0"/>
    <n v="0"/>
    <n v="0"/>
    <n v="0"/>
    <n v="0"/>
    <n v="96.819370000000006"/>
    <n v="0"/>
    <n v="0"/>
    <n v="0"/>
    <n v="0"/>
    <n v="96.819370000000006"/>
  </r>
  <r>
    <x v="1"/>
    <n v="9940488908"/>
    <s v="AU Santander Global Technology and Opera"/>
    <x v="14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0749"/>
    <s v="LOGIC_C&amp;A_Mexico_CR006(SOW000)(Cambio Es"/>
    <x v="53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69550"/>
    <s v="MX-BK-SI-VZ OpenControl Modernization F1"/>
    <x v="13"/>
    <s v="SI"/>
    <n v="11.692104"/>
    <n v="0"/>
    <n v="0"/>
    <n v="0"/>
    <n v="0"/>
    <n v="0"/>
    <n v="0"/>
    <n v="0"/>
    <n v="0"/>
    <n v="0"/>
    <n v="0"/>
    <n v="0"/>
    <n v="11.692104"/>
    <n v="0"/>
    <n v="0"/>
    <n v="0"/>
    <n v="0"/>
    <n v="11.692104"/>
    <n v="11.692098"/>
    <n v="0"/>
    <n v="0"/>
    <n v="0"/>
    <n v="0"/>
    <n v="0"/>
    <n v="0"/>
    <n v="0"/>
    <n v="0"/>
    <n v="0"/>
    <n v="0"/>
    <n v="0"/>
    <n v="11.692098"/>
    <n v="0"/>
    <n v="0"/>
    <n v="0"/>
    <n v="0"/>
    <n v="11.6920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99172-4ED1-4749-B786-8A8369AF03A8}" name="PivotTable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G39" firstHeaderRow="0" firstDataRow="1" firstDataCol="1" rowPageCount="1" colPageCount="1"/>
  <pivotFields count="41">
    <pivotField axis="axisPage" compact="0" outline="0" showAll="0">
      <items count="3">
        <item sd="0" x="0"/>
        <item sd="0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8">
        <item x="9"/>
        <item x="40"/>
        <item x="56"/>
        <item x="58"/>
        <item x="24"/>
        <item x="44"/>
        <item x="16"/>
        <item x="36"/>
        <item x="54"/>
        <item x="12"/>
        <item x="29"/>
        <item x="13"/>
        <item x="65"/>
        <item x="64"/>
        <item x="61"/>
        <item x="30"/>
        <item x="0"/>
        <item x="17"/>
        <item x="53"/>
        <item x="42"/>
        <item x="52"/>
        <item x="27"/>
        <item x="49"/>
        <item x="5"/>
        <item x="48"/>
        <item x="37"/>
        <item x="10"/>
        <item x="21"/>
        <item x="3"/>
        <item x="47"/>
        <item x="55"/>
        <item x="6"/>
        <item x="60"/>
        <item x="32"/>
        <item x="33"/>
        <item x="57"/>
        <item x="15"/>
        <item x="8"/>
        <item x="43"/>
        <item x="11"/>
        <item x="34"/>
        <item x="50"/>
        <item x="59"/>
        <item x="46"/>
        <item x="25"/>
        <item x="51"/>
        <item x="63"/>
        <item x="45"/>
        <item x="7"/>
        <item x="62"/>
        <item x="23"/>
        <item x="2"/>
        <item x="35"/>
        <item x="20"/>
        <item x="4"/>
        <item x="14"/>
        <item x="1"/>
        <item x="41"/>
        <item x="22"/>
        <item x="28"/>
        <item x="18"/>
        <item x="19"/>
        <item x="39"/>
        <item x="38"/>
        <item x="26"/>
        <item x="31"/>
        <item x="6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36">
    <i>
      <x/>
    </i>
    <i>
      <x v="1"/>
    </i>
    <i>
      <x v="3"/>
    </i>
    <i>
      <x v="4"/>
    </i>
    <i>
      <x v="6"/>
    </i>
    <i>
      <x v="7"/>
    </i>
    <i>
      <x v="9"/>
    </i>
    <i>
      <x v="11"/>
    </i>
    <i>
      <x v="12"/>
    </i>
    <i>
      <x v="13"/>
    </i>
    <i>
      <x v="16"/>
    </i>
    <i>
      <x v="17"/>
    </i>
    <i>
      <x v="18"/>
    </i>
    <i>
      <x v="19"/>
    </i>
    <i>
      <x v="23"/>
    </i>
    <i>
      <x v="26"/>
    </i>
    <i>
      <x v="28"/>
    </i>
    <i>
      <x v="30"/>
    </i>
    <i>
      <x v="34"/>
    </i>
    <i>
      <x v="39"/>
    </i>
    <i>
      <x v="42"/>
    </i>
    <i>
      <x v="43"/>
    </i>
    <i>
      <x v="47"/>
    </i>
    <i>
      <x v="48"/>
    </i>
    <i>
      <x v="50"/>
    </i>
    <i>
      <x v="54"/>
    </i>
    <i>
      <x v="55"/>
    </i>
    <i>
      <x v="56"/>
    </i>
    <i>
      <x v="57"/>
    </i>
    <i>
      <x v="58"/>
    </i>
    <i>
      <x v="59"/>
    </i>
    <i>
      <x v="61"/>
    </i>
    <i>
      <x v="63"/>
    </i>
    <i>
      <x v="64"/>
    </i>
    <i>
      <x v="65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Sum of Backlog FY27" fld="22" baseField="0" baseItem="0" numFmtId="164"/>
    <dataField name="Sum of CCI-FY27 backlog" fld="4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9E5D4-12B6-465E-97ED-9F377FDD6D34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1" firstHeaderRow="0" firstDataRow="1" firstDataCol="1" rowPageCount="1" colPageCount="1"/>
  <pivotFields count="41">
    <pivotField axis="axisPage" compact="0" outline="0" showAll="0">
      <items count="3">
        <item sd="0" x="0"/>
        <item sd="0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8">
        <item x="9"/>
        <item x="40"/>
        <item x="56"/>
        <item x="58"/>
        <item x="24"/>
        <item x="44"/>
        <item x="16"/>
        <item x="36"/>
        <item x="54"/>
        <item x="12"/>
        <item x="29"/>
        <item x="13"/>
        <item x="65"/>
        <item x="64"/>
        <item x="61"/>
        <item x="30"/>
        <item x="0"/>
        <item x="17"/>
        <item x="53"/>
        <item x="42"/>
        <item x="52"/>
        <item x="27"/>
        <item x="49"/>
        <item x="5"/>
        <item x="48"/>
        <item x="37"/>
        <item x="10"/>
        <item x="21"/>
        <item x="3"/>
        <item x="47"/>
        <item x="55"/>
        <item x="6"/>
        <item x="60"/>
        <item x="32"/>
        <item x="33"/>
        <item x="57"/>
        <item x="15"/>
        <item x="8"/>
        <item x="43"/>
        <item x="11"/>
        <item x="34"/>
        <item x="50"/>
        <item x="59"/>
        <item x="46"/>
        <item x="25"/>
        <item x="51"/>
        <item x="63"/>
        <item x="45"/>
        <item x="7"/>
        <item x="62"/>
        <item x="23"/>
        <item x="2"/>
        <item x="35"/>
        <item x="20"/>
        <item x="4"/>
        <item x="14"/>
        <item x="1"/>
        <item x="41"/>
        <item x="22"/>
        <item x="28"/>
        <item x="18"/>
        <item x="19"/>
        <item x="39"/>
        <item x="38"/>
        <item x="26"/>
        <item x="31"/>
        <item x="6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Sum of Backlog FY26" fld="21" baseField="0" baseItem="0" numFmtId="164"/>
    <dataField name="Sum of CCI-FY26 backlog" fld="3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CF5-974E-4F8C-9AA3-C7582BE502AA}">
  <dimension ref="A1:G71"/>
  <sheetViews>
    <sheetView tabSelected="1" workbookViewId="0">
      <selection activeCell="F6" sqref="F6"/>
    </sheetView>
  </sheetViews>
  <sheetFormatPr defaultRowHeight="14.5" x14ac:dyDescent="0.35"/>
  <cols>
    <col min="1" max="1" width="35.6328125" bestFit="1" customWidth="1"/>
    <col min="2" max="2" width="18.1796875" bestFit="1" customWidth="1"/>
    <col min="3" max="4" width="22" bestFit="1" customWidth="1"/>
    <col min="5" max="5" width="35.6328125" bestFit="1" customWidth="1"/>
    <col min="6" max="6" width="18.1796875" bestFit="1" customWidth="1"/>
    <col min="7" max="7" width="22" bestFit="1" customWidth="1"/>
  </cols>
  <sheetData>
    <row r="1" spans="1:7" x14ac:dyDescent="0.35">
      <c r="A1" s="5" t="s">
        <v>27</v>
      </c>
      <c r="B1" t="s">
        <v>32</v>
      </c>
      <c r="E1" s="5" t="s">
        <v>27</v>
      </c>
      <c r="F1" t="s">
        <v>281</v>
      </c>
    </row>
    <row r="3" spans="1:7" x14ac:dyDescent="0.35">
      <c r="A3" s="5" t="s">
        <v>220</v>
      </c>
      <c r="B3" t="s">
        <v>293</v>
      </c>
      <c r="C3" t="s">
        <v>294</v>
      </c>
      <c r="E3" s="5" t="s">
        <v>220</v>
      </c>
      <c r="F3" t="s">
        <v>296</v>
      </c>
      <c r="G3" t="s">
        <v>297</v>
      </c>
    </row>
    <row r="4" spans="1:7" x14ac:dyDescent="0.35">
      <c r="A4" t="s">
        <v>227</v>
      </c>
      <c r="B4" s="2">
        <v>0</v>
      </c>
      <c r="C4" s="2">
        <v>0</v>
      </c>
      <c r="E4" t="s">
        <v>227</v>
      </c>
      <c r="F4" s="2">
        <v>0</v>
      </c>
      <c r="G4" s="2">
        <v>0</v>
      </c>
    </row>
    <row r="5" spans="1:7" x14ac:dyDescent="0.35">
      <c r="A5" t="s">
        <v>259</v>
      </c>
      <c r="B5" s="2">
        <v>30.977816599999997</v>
      </c>
      <c r="C5" s="2">
        <v>20.9364387</v>
      </c>
      <c r="E5" t="s">
        <v>259</v>
      </c>
      <c r="F5" s="2">
        <v>79.138982400000003</v>
      </c>
      <c r="G5" s="2">
        <v>44.280964599999997</v>
      </c>
    </row>
    <row r="6" spans="1:7" x14ac:dyDescent="0.35">
      <c r="A6" t="s">
        <v>274</v>
      </c>
      <c r="B6" s="2">
        <v>0</v>
      </c>
      <c r="C6" s="2">
        <v>0</v>
      </c>
      <c r="E6" t="s">
        <v>276</v>
      </c>
      <c r="F6" s="2">
        <v>109.60418</v>
      </c>
      <c r="G6" s="2">
        <v>34.480530000000002</v>
      </c>
    </row>
    <row r="7" spans="1:7" x14ac:dyDescent="0.35">
      <c r="A7" t="s">
        <v>276</v>
      </c>
      <c r="B7" s="2">
        <v>20.854790000000001</v>
      </c>
      <c r="C7" s="2">
        <v>1.8090600000000001</v>
      </c>
      <c r="E7" t="s">
        <v>243</v>
      </c>
      <c r="F7" s="2">
        <v>2220.8008799999998</v>
      </c>
      <c r="G7" s="2">
        <v>1068.60384</v>
      </c>
    </row>
    <row r="8" spans="1:7" x14ac:dyDescent="0.35">
      <c r="A8" t="s">
        <v>243</v>
      </c>
      <c r="B8" s="2">
        <v>365.28971000000001</v>
      </c>
      <c r="C8" s="2">
        <v>167.63460000000001</v>
      </c>
      <c r="E8" t="s">
        <v>234</v>
      </c>
      <c r="F8" s="2">
        <v>475.09619320000002</v>
      </c>
      <c r="G8" s="2">
        <v>61.895950899999988</v>
      </c>
    </row>
    <row r="9" spans="1:7" x14ac:dyDescent="0.35">
      <c r="A9" t="s">
        <v>263</v>
      </c>
      <c r="B9" s="2">
        <v>0</v>
      </c>
      <c r="C9" s="2">
        <v>0</v>
      </c>
      <c r="E9" t="s">
        <v>255</v>
      </c>
      <c r="F9" s="2">
        <v>356.72326999999996</v>
      </c>
      <c r="G9" s="2">
        <v>106.20094</v>
      </c>
    </row>
    <row r="10" spans="1:7" x14ac:dyDescent="0.35">
      <c r="A10" t="s">
        <v>234</v>
      </c>
      <c r="B10" s="2">
        <v>203.12841780000002</v>
      </c>
      <c r="C10" s="2">
        <v>47.424030500000001</v>
      </c>
      <c r="E10" t="s">
        <v>230</v>
      </c>
      <c r="F10" s="2">
        <v>49.10783</v>
      </c>
      <c r="G10" s="2">
        <v>19.111229999999999</v>
      </c>
    </row>
    <row r="11" spans="1:7" x14ac:dyDescent="0.35">
      <c r="A11" t="s">
        <v>255</v>
      </c>
      <c r="B11" s="2">
        <v>225.87837000000002</v>
      </c>
      <c r="C11" s="2">
        <v>97.420820000000006</v>
      </c>
      <c r="E11" t="s">
        <v>231</v>
      </c>
      <c r="F11" s="2">
        <v>846.8072062</v>
      </c>
      <c r="G11" s="2">
        <v>-275.44452669999998</v>
      </c>
    </row>
    <row r="12" spans="1:7" x14ac:dyDescent="0.35">
      <c r="A12" t="s">
        <v>272</v>
      </c>
      <c r="B12" s="2">
        <v>0</v>
      </c>
      <c r="C12" s="2">
        <v>0</v>
      </c>
      <c r="E12" t="s">
        <v>287</v>
      </c>
      <c r="F12" s="2">
        <v>0</v>
      </c>
      <c r="G12" s="2">
        <v>-1.08799</v>
      </c>
    </row>
    <row r="13" spans="1:7" x14ac:dyDescent="0.35">
      <c r="A13" t="s">
        <v>230</v>
      </c>
      <c r="B13" s="2">
        <v>36.14367</v>
      </c>
      <c r="C13" s="2">
        <v>9.5945000000000018</v>
      </c>
      <c r="E13" t="s">
        <v>286</v>
      </c>
      <c r="F13" s="2">
        <v>0</v>
      </c>
      <c r="G13" s="2">
        <v>-1.08799</v>
      </c>
    </row>
    <row r="14" spans="1:7" x14ac:dyDescent="0.35">
      <c r="A14" t="s">
        <v>248</v>
      </c>
      <c r="B14" s="2">
        <v>0</v>
      </c>
      <c r="C14" s="2">
        <v>0</v>
      </c>
      <c r="E14" t="s">
        <v>240</v>
      </c>
      <c r="F14" s="2">
        <v>544.84987839999997</v>
      </c>
      <c r="G14" s="2">
        <v>66.09267669999997</v>
      </c>
    </row>
    <row r="15" spans="1:7" x14ac:dyDescent="0.35">
      <c r="A15" t="s">
        <v>231</v>
      </c>
      <c r="B15" s="2">
        <v>325.27793909999997</v>
      </c>
      <c r="C15" s="2">
        <v>0.27769179999999416</v>
      </c>
      <c r="E15" t="s">
        <v>235</v>
      </c>
      <c r="F15" s="2">
        <v>1458.6651900000002</v>
      </c>
      <c r="G15" s="2">
        <v>488.37890999999996</v>
      </c>
    </row>
    <row r="16" spans="1:7" x14ac:dyDescent="0.35">
      <c r="A16" t="s">
        <v>287</v>
      </c>
      <c r="B16" s="2">
        <v>32.771039999999999</v>
      </c>
      <c r="C16" s="2">
        <v>14.53159</v>
      </c>
      <c r="E16" t="s">
        <v>271</v>
      </c>
      <c r="F16" s="2">
        <v>0</v>
      </c>
      <c r="G16" s="2">
        <v>0</v>
      </c>
    </row>
    <row r="17" spans="1:7" x14ac:dyDescent="0.35">
      <c r="A17" t="s">
        <v>286</v>
      </c>
      <c r="B17" s="2">
        <v>32.771039999999999</v>
      </c>
      <c r="C17" s="2">
        <v>14.53159</v>
      </c>
      <c r="E17" t="s">
        <v>261</v>
      </c>
      <c r="F17" s="2">
        <v>0</v>
      </c>
      <c r="G17" s="2">
        <v>0</v>
      </c>
    </row>
    <row r="18" spans="1:7" x14ac:dyDescent="0.35">
      <c r="A18" t="s">
        <v>279</v>
      </c>
      <c r="B18" s="2">
        <v>0</v>
      </c>
      <c r="C18" s="2">
        <v>0</v>
      </c>
      <c r="E18" t="s">
        <v>223</v>
      </c>
      <c r="F18" s="2">
        <v>20.952929999999999</v>
      </c>
      <c r="G18" s="2">
        <v>11.87599</v>
      </c>
    </row>
    <row r="19" spans="1:7" x14ac:dyDescent="0.35">
      <c r="A19" t="s">
        <v>249</v>
      </c>
      <c r="B19" s="2">
        <v>0</v>
      </c>
      <c r="C19" s="2">
        <v>0</v>
      </c>
      <c r="E19" t="s">
        <v>228</v>
      </c>
      <c r="F19" s="2">
        <v>0</v>
      </c>
      <c r="G19" s="2">
        <v>0</v>
      </c>
    </row>
    <row r="20" spans="1:7" x14ac:dyDescent="0.35">
      <c r="A20" t="s">
        <v>240</v>
      </c>
      <c r="B20" s="2">
        <v>315.48697360000006</v>
      </c>
      <c r="C20" s="2">
        <v>8.5476028999999834</v>
      </c>
      <c r="E20" t="s">
        <v>221</v>
      </c>
      <c r="F20" s="2">
        <v>0</v>
      </c>
      <c r="G20" s="2">
        <v>0</v>
      </c>
    </row>
    <row r="21" spans="1:7" x14ac:dyDescent="0.35">
      <c r="A21" t="s">
        <v>235</v>
      </c>
      <c r="B21" s="2">
        <v>319.24095999999997</v>
      </c>
      <c r="C21" s="2">
        <v>71.821255900000011</v>
      </c>
      <c r="E21" t="s">
        <v>273</v>
      </c>
      <c r="F21" s="2">
        <v>3.6313</v>
      </c>
      <c r="G21" s="2">
        <v>-5.0030371999999996</v>
      </c>
    </row>
    <row r="22" spans="1:7" x14ac:dyDescent="0.35">
      <c r="A22" t="s">
        <v>271</v>
      </c>
      <c r="B22" s="2">
        <v>0</v>
      </c>
      <c r="C22" s="2">
        <v>6.4229700000000003</v>
      </c>
      <c r="E22" t="s">
        <v>252</v>
      </c>
      <c r="F22" s="2">
        <v>146.91853</v>
      </c>
      <c r="G22" s="2">
        <v>95.044250000000005</v>
      </c>
    </row>
    <row r="23" spans="1:7" x14ac:dyDescent="0.35">
      <c r="A23" t="s">
        <v>261</v>
      </c>
      <c r="B23" s="2">
        <v>0</v>
      </c>
      <c r="C23" s="2">
        <v>1.3642799999999999</v>
      </c>
      <c r="E23" t="s">
        <v>229</v>
      </c>
      <c r="F23" s="2">
        <v>0</v>
      </c>
      <c r="G23" s="2">
        <v>0</v>
      </c>
    </row>
    <row r="24" spans="1:7" x14ac:dyDescent="0.35">
      <c r="A24" t="s">
        <v>270</v>
      </c>
      <c r="B24" s="2">
        <v>0</v>
      </c>
      <c r="C24" s="2">
        <v>-7.1311499999999999</v>
      </c>
      <c r="E24" t="s">
        <v>277</v>
      </c>
      <c r="F24" s="2">
        <v>0</v>
      </c>
      <c r="G24" s="2">
        <v>0.66383999999999999</v>
      </c>
    </row>
    <row r="25" spans="1:7" x14ac:dyDescent="0.35">
      <c r="A25" t="s">
        <v>246</v>
      </c>
      <c r="B25" s="2">
        <v>0</v>
      </c>
      <c r="C25" s="2">
        <v>0</v>
      </c>
      <c r="E25" t="s">
        <v>266</v>
      </c>
      <c r="F25" s="2">
        <v>2486.0584080000003</v>
      </c>
      <c r="G25" s="2">
        <v>996.9440055</v>
      </c>
    </row>
    <row r="26" spans="1:7" x14ac:dyDescent="0.35">
      <c r="A26" t="s">
        <v>268</v>
      </c>
      <c r="B26" s="2">
        <v>0</v>
      </c>
      <c r="C26" s="2">
        <v>0</v>
      </c>
      <c r="E26" t="s">
        <v>264</v>
      </c>
      <c r="F26" s="2">
        <v>0</v>
      </c>
      <c r="G26" s="2">
        <v>0</v>
      </c>
    </row>
    <row r="27" spans="1:7" x14ac:dyDescent="0.35">
      <c r="A27" t="s">
        <v>223</v>
      </c>
      <c r="B27" s="2">
        <v>26.093910000000001</v>
      </c>
      <c r="C27" s="2">
        <v>-9.5815899999999985</v>
      </c>
      <c r="E27" t="s">
        <v>225</v>
      </c>
      <c r="F27" s="2">
        <v>1647.7376838999999</v>
      </c>
      <c r="G27" s="2">
        <v>91.841412099999985</v>
      </c>
    </row>
    <row r="28" spans="1:7" x14ac:dyDescent="0.35">
      <c r="A28" t="s">
        <v>283</v>
      </c>
      <c r="B28" s="2">
        <v>0</v>
      </c>
      <c r="C28" s="2">
        <v>0</v>
      </c>
      <c r="E28" t="s">
        <v>242</v>
      </c>
      <c r="F28" s="2">
        <v>677.2481514000001</v>
      </c>
      <c r="G28" s="2">
        <v>287.21190619999993</v>
      </c>
    </row>
    <row r="29" spans="1:7" x14ac:dyDescent="0.35">
      <c r="A29" t="s">
        <v>256</v>
      </c>
      <c r="B29" s="2">
        <v>0</v>
      </c>
      <c r="C29" s="2">
        <v>0</v>
      </c>
      <c r="E29" t="s">
        <v>222</v>
      </c>
      <c r="F29" s="2">
        <v>468.63935699999996</v>
      </c>
      <c r="G29" s="2">
        <v>171.876035</v>
      </c>
    </row>
    <row r="30" spans="1:7" x14ac:dyDescent="0.35">
      <c r="A30" t="s">
        <v>228</v>
      </c>
      <c r="B30" s="2">
        <v>0</v>
      </c>
      <c r="C30" s="2">
        <v>-16.768239999999999</v>
      </c>
      <c r="E30" t="s">
        <v>232</v>
      </c>
      <c r="F30" s="2">
        <v>4234.1317900000004</v>
      </c>
      <c r="G30" s="2">
        <v>1531.0635757999996</v>
      </c>
    </row>
    <row r="31" spans="1:7" x14ac:dyDescent="0.35">
      <c r="A31" t="s">
        <v>239</v>
      </c>
      <c r="B31" s="2">
        <v>0</v>
      </c>
      <c r="C31" s="2">
        <v>0</v>
      </c>
      <c r="E31" t="s">
        <v>265</v>
      </c>
      <c r="F31" s="2">
        <v>0</v>
      </c>
      <c r="G31" s="2">
        <v>0</v>
      </c>
    </row>
    <row r="32" spans="1:7" x14ac:dyDescent="0.35">
      <c r="A32" t="s">
        <v>221</v>
      </c>
      <c r="B32" s="2">
        <v>217.01804000000001</v>
      </c>
      <c r="C32" s="2">
        <v>160.14501730000001</v>
      </c>
      <c r="E32" t="s">
        <v>260</v>
      </c>
      <c r="F32" s="2">
        <v>1272.09645</v>
      </c>
      <c r="G32" s="2">
        <v>-222.13657000000001</v>
      </c>
    </row>
    <row r="33" spans="1:7" x14ac:dyDescent="0.35">
      <c r="A33" t="s">
        <v>267</v>
      </c>
      <c r="B33" s="2">
        <v>0</v>
      </c>
      <c r="C33" s="2">
        <v>0</v>
      </c>
      <c r="E33" t="s">
        <v>241</v>
      </c>
      <c r="F33" s="2">
        <v>297.22791999999998</v>
      </c>
      <c r="G33" s="2">
        <v>-42.031890000000004</v>
      </c>
    </row>
    <row r="34" spans="1:7" x14ac:dyDescent="0.35">
      <c r="A34" t="s">
        <v>273</v>
      </c>
      <c r="B34" s="2">
        <v>480.86743759999996</v>
      </c>
      <c r="C34" s="2">
        <v>191.84628359999999</v>
      </c>
      <c r="E34" t="s">
        <v>247</v>
      </c>
      <c r="F34" s="2">
        <v>360.58675999999997</v>
      </c>
      <c r="G34" s="2">
        <v>145.97486000000001</v>
      </c>
    </row>
    <row r="35" spans="1:7" x14ac:dyDescent="0.35">
      <c r="A35" t="s">
        <v>224</v>
      </c>
      <c r="B35" s="2">
        <v>0</v>
      </c>
      <c r="C35" s="2">
        <v>0</v>
      </c>
      <c r="E35" t="s">
        <v>237</v>
      </c>
      <c r="F35" s="2">
        <v>76.709969000000001</v>
      </c>
      <c r="G35" s="2">
        <v>40.863209999999995</v>
      </c>
    </row>
    <row r="36" spans="1:7" x14ac:dyDescent="0.35">
      <c r="A36" t="s">
        <v>278</v>
      </c>
      <c r="B36" s="2">
        <v>0</v>
      </c>
      <c r="C36" s="2">
        <v>0</v>
      </c>
      <c r="E36" t="s">
        <v>257</v>
      </c>
      <c r="F36" s="2">
        <v>177.31775999999999</v>
      </c>
      <c r="G36" s="2">
        <v>106.52463999999999</v>
      </c>
    </row>
    <row r="37" spans="1:7" x14ac:dyDescent="0.35">
      <c r="A37" t="s">
        <v>251</v>
      </c>
      <c r="B37" s="2">
        <v>1.7667900000000001</v>
      </c>
      <c r="C37" s="2">
        <v>0.84604000000000001</v>
      </c>
      <c r="E37" t="s">
        <v>245</v>
      </c>
      <c r="F37" s="2">
        <v>5.9839999999999997E-2</v>
      </c>
      <c r="G37" s="2">
        <v>1.917E-2</v>
      </c>
    </row>
    <row r="38" spans="1:7" x14ac:dyDescent="0.35">
      <c r="A38" t="s">
        <v>252</v>
      </c>
      <c r="B38" s="2">
        <v>0</v>
      </c>
      <c r="C38" s="2">
        <v>-0.1719</v>
      </c>
      <c r="E38" t="s">
        <v>250</v>
      </c>
      <c r="F38" s="2">
        <v>16.178754899999998</v>
      </c>
      <c r="G38" s="2">
        <v>1.4847071999999997</v>
      </c>
    </row>
    <row r="39" spans="1:7" x14ac:dyDescent="0.35">
      <c r="A39" t="s">
        <v>275</v>
      </c>
      <c r="B39" s="2">
        <v>0</v>
      </c>
      <c r="C39" s="2">
        <v>97.519959999999998</v>
      </c>
      <c r="E39" t="s">
        <v>288</v>
      </c>
      <c r="F39" s="2">
        <v>18026.289214400003</v>
      </c>
      <c r="G39" s="2">
        <v>4823.6406400999995</v>
      </c>
    </row>
    <row r="40" spans="1:7" x14ac:dyDescent="0.35">
      <c r="A40" t="s">
        <v>233</v>
      </c>
      <c r="B40" s="2">
        <v>0</v>
      </c>
      <c r="C40" s="2">
        <v>0</v>
      </c>
    </row>
    <row r="41" spans="1:7" x14ac:dyDescent="0.35">
      <c r="A41" t="s">
        <v>226</v>
      </c>
      <c r="B41" s="2">
        <v>0</v>
      </c>
      <c r="C41" s="2">
        <v>0</v>
      </c>
    </row>
    <row r="42" spans="1:7" x14ac:dyDescent="0.35">
      <c r="A42" t="s">
        <v>262</v>
      </c>
      <c r="B42" s="2">
        <v>0</v>
      </c>
      <c r="C42" s="2">
        <v>9.6992999999999991</v>
      </c>
    </row>
    <row r="43" spans="1:7" x14ac:dyDescent="0.35">
      <c r="A43" t="s">
        <v>229</v>
      </c>
      <c r="B43" s="2">
        <v>-0.14811479999999999</v>
      </c>
      <c r="C43" s="2">
        <v>-3.1230000000000001E-2</v>
      </c>
    </row>
    <row r="44" spans="1:7" x14ac:dyDescent="0.35">
      <c r="A44" t="s">
        <v>253</v>
      </c>
      <c r="B44" s="2">
        <v>0</v>
      </c>
      <c r="C44" s="2">
        <v>0</v>
      </c>
    </row>
    <row r="45" spans="1:7" x14ac:dyDescent="0.35">
      <c r="A45" t="s">
        <v>284</v>
      </c>
      <c r="B45" s="2">
        <v>0</v>
      </c>
      <c r="C45" s="2">
        <v>-1.1685700000000001</v>
      </c>
    </row>
    <row r="46" spans="1:7" x14ac:dyDescent="0.35">
      <c r="A46" t="s">
        <v>277</v>
      </c>
      <c r="B46" s="2">
        <v>0</v>
      </c>
      <c r="C46" s="2">
        <v>36.404890000000002</v>
      </c>
    </row>
    <row r="47" spans="1:7" x14ac:dyDescent="0.35">
      <c r="A47" t="s">
        <v>266</v>
      </c>
      <c r="B47" s="2">
        <v>227.76775739999999</v>
      </c>
      <c r="C47" s="2">
        <v>75.27309600000001</v>
      </c>
    </row>
    <row r="48" spans="1:7" x14ac:dyDescent="0.35">
      <c r="A48" t="s">
        <v>244</v>
      </c>
      <c r="B48" s="2">
        <v>0</v>
      </c>
      <c r="C48" s="2">
        <v>0</v>
      </c>
    </row>
    <row r="49" spans="1:3" x14ac:dyDescent="0.35">
      <c r="A49" t="s">
        <v>269</v>
      </c>
      <c r="B49" s="2">
        <v>0</v>
      </c>
      <c r="C49" s="2">
        <v>8.2359799999999996</v>
      </c>
    </row>
    <row r="50" spans="1:3" x14ac:dyDescent="0.35">
      <c r="A50" t="s">
        <v>285</v>
      </c>
      <c r="B50" s="2">
        <v>30.801300000000001</v>
      </c>
      <c r="C50" s="2">
        <v>12.116059999999999</v>
      </c>
    </row>
    <row r="51" spans="1:3" x14ac:dyDescent="0.35">
      <c r="A51" t="s">
        <v>264</v>
      </c>
      <c r="B51" s="2">
        <v>0</v>
      </c>
      <c r="C51" s="2">
        <v>3.7253699999999998</v>
      </c>
    </row>
    <row r="52" spans="1:3" x14ac:dyDescent="0.35">
      <c r="A52" t="s">
        <v>225</v>
      </c>
      <c r="B52" s="2">
        <v>459.6019076</v>
      </c>
      <c r="C52" s="2">
        <v>-170.37812500000004</v>
      </c>
    </row>
    <row r="53" spans="1:3" x14ac:dyDescent="0.35">
      <c r="A53" t="s">
        <v>280</v>
      </c>
      <c r="B53" s="2">
        <v>0</v>
      </c>
      <c r="C53" s="2">
        <v>0</v>
      </c>
    </row>
    <row r="54" spans="1:3" x14ac:dyDescent="0.35">
      <c r="A54" t="s">
        <v>242</v>
      </c>
      <c r="B54" s="2">
        <v>584.60355859999993</v>
      </c>
      <c r="C54" s="2">
        <v>245.23903760000002</v>
      </c>
    </row>
    <row r="55" spans="1:3" x14ac:dyDescent="0.35">
      <c r="A55" t="s">
        <v>282</v>
      </c>
      <c r="B55" s="2">
        <v>0</v>
      </c>
      <c r="C55" s="2">
        <v>0</v>
      </c>
    </row>
    <row r="56" spans="1:3" x14ac:dyDescent="0.35">
      <c r="A56" t="s">
        <v>254</v>
      </c>
      <c r="B56" s="2">
        <v>0</v>
      </c>
      <c r="C56" s="2">
        <v>0</v>
      </c>
    </row>
    <row r="57" spans="1:3" x14ac:dyDescent="0.35">
      <c r="A57" t="s">
        <v>238</v>
      </c>
      <c r="B57" s="2">
        <v>0</v>
      </c>
      <c r="C57" s="2">
        <v>0</v>
      </c>
    </row>
    <row r="58" spans="1:3" x14ac:dyDescent="0.35">
      <c r="A58" t="s">
        <v>222</v>
      </c>
      <c r="B58" s="2">
        <v>53.960380000000001</v>
      </c>
      <c r="C58" s="2">
        <v>22.254937999999999</v>
      </c>
    </row>
    <row r="59" spans="1:3" x14ac:dyDescent="0.35">
      <c r="A59" t="s">
        <v>232</v>
      </c>
      <c r="B59" s="2">
        <v>343.23571000000004</v>
      </c>
      <c r="C59" s="2">
        <v>158.75947679999996</v>
      </c>
    </row>
    <row r="60" spans="1:3" x14ac:dyDescent="0.35">
      <c r="A60" t="s">
        <v>265</v>
      </c>
      <c r="B60" s="2">
        <v>0</v>
      </c>
      <c r="C60" s="2">
        <v>0</v>
      </c>
    </row>
    <row r="61" spans="1:3" x14ac:dyDescent="0.35">
      <c r="A61" t="s">
        <v>260</v>
      </c>
      <c r="B61" s="2">
        <v>929.10039000000006</v>
      </c>
      <c r="C61" s="2">
        <v>-104.05693000000001</v>
      </c>
    </row>
    <row r="62" spans="1:3" x14ac:dyDescent="0.35">
      <c r="A62" t="s">
        <v>241</v>
      </c>
      <c r="B62" s="2">
        <v>139.85943</v>
      </c>
      <c r="C62" s="2">
        <v>6.6137800000000002</v>
      </c>
    </row>
    <row r="63" spans="1:3" x14ac:dyDescent="0.35">
      <c r="A63" t="s">
        <v>247</v>
      </c>
      <c r="B63" s="2">
        <v>81.558509999999998</v>
      </c>
      <c r="C63" s="2">
        <v>15.790220000000001</v>
      </c>
    </row>
    <row r="64" spans="1:3" x14ac:dyDescent="0.35">
      <c r="A64" t="s">
        <v>236</v>
      </c>
      <c r="B64" s="2">
        <v>0</v>
      </c>
      <c r="C64" s="2">
        <v>0</v>
      </c>
    </row>
    <row r="65" spans="1:3" x14ac:dyDescent="0.35">
      <c r="A65" t="s">
        <v>237</v>
      </c>
      <c r="B65" s="2">
        <v>80.599741199999997</v>
      </c>
      <c r="C65" s="2">
        <v>41.263112800000002</v>
      </c>
    </row>
    <row r="66" spans="1:3" x14ac:dyDescent="0.35">
      <c r="A66" t="s">
        <v>258</v>
      </c>
      <c r="B66" s="2">
        <v>0</v>
      </c>
      <c r="C66" s="2">
        <v>0</v>
      </c>
    </row>
    <row r="67" spans="1:3" x14ac:dyDescent="0.35">
      <c r="A67" t="s">
        <v>257</v>
      </c>
      <c r="B67" s="2">
        <v>29.41854</v>
      </c>
      <c r="C67" s="2">
        <v>20.329339999999998</v>
      </c>
    </row>
    <row r="68" spans="1:3" x14ac:dyDescent="0.35">
      <c r="A68" t="s">
        <v>245</v>
      </c>
      <c r="B68" s="2">
        <v>0</v>
      </c>
      <c r="C68" s="2">
        <v>0.52810999999999997</v>
      </c>
    </row>
    <row r="69" spans="1:3" x14ac:dyDescent="0.35">
      <c r="A69" t="s">
        <v>250</v>
      </c>
      <c r="B69" s="2">
        <v>67.727238</v>
      </c>
      <c r="C69" s="2">
        <v>18.905708999999998</v>
      </c>
    </row>
    <row r="70" spans="1:3" x14ac:dyDescent="0.35">
      <c r="A70" t="s">
        <v>295</v>
      </c>
      <c r="B70" s="2">
        <v>0</v>
      </c>
      <c r="C70" s="2">
        <v>0</v>
      </c>
    </row>
    <row r="71" spans="1:3" x14ac:dyDescent="0.35">
      <c r="A71" t="s">
        <v>288</v>
      </c>
      <c r="B71" s="2">
        <v>5661.6532527000008</v>
      </c>
      <c r="C71" s="2">
        <v>1278.5244158999997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A9BB-60E2-490F-8A5E-2E44393DCF79}">
  <dimension ref="A2:AO257"/>
  <sheetViews>
    <sheetView workbookViewId="0"/>
  </sheetViews>
  <sheetFormatPr defaultRowHeight="14.5" outlineLevelCol="1" x14ac:dyDescent="0.35"/>
  <cols>
    <col min="2" max="2" width="36.81640625" customWidth="1"/>
    <col min="3" max="3" width="42.08984375" bestFit="1" customWidth="1"/>
    <col min="4" max="4" width="36.81640625" customWidth="1"/>
    <col min="5" max="5" width="14.26953125" bestFit="1" customWidth="1"/>
    <col min="6" max="6" width="13.26953125" customWidth="1" outlineLevel="1"/>
    <col min="7" max="17" width="8.7265625" customWidth="1" outlineLevel="1"/>
    <col min="22" max="23" width="16.08984375" bestFit="1" customWidth="1"/>
    <col min="24" max="35" width="8.7265625" customWidth="1" outlineLevel="1"/>
    <col min="40" max="40" width="19.54296875" bestFit="1" customWidth="1"/>
  </cols>
  <sheetData>
    <row r="2" spans="1:41" x14ac:dyDescent="0.35">
      <c r="A2" s="1" t="s">
        <v>27</v>
      </c>
      <c r="B2" s="1" t="s">
        <v>219</v>
      </c>
      <c r="C2" s="1" t="s">
        <v>0</v>
      </c>
      <c r="D2" s="1" t="s">
        <v>220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3" t="s">
        <v>28</v>
      </c>
      <c r="S2" s="3" t="s">
        <v>29</v>
      </c>
      <c r="T2" s="3" t="s">
        <v>30</v>
      </c>
      <c r="U2" s="3" t="s">
        <v>31</v>
      </c>
      <c r="V2" s="6" t="s">
        <v>289</v>
      </c>
      <c r="W2" s="6" t="s">
        <v>291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20</v>
      </c>
      <c r="AE2" s="1" t="s">
        <v>21</v>
      </c>
      <c r="AF2" s="1" t="s">
        <v>22</v>
      </c>
      <c r="AG2" s="1" t="s">
        <v>23</v>
      </c>
      <c r="AH2" s="1" t="s">
        <v>24</v>
      </c>
      <c r="AI2" s="1" t="s">
        <v>25</v>
      </c>
      <c r="AJ2" s="3" t="s">
        <v>33</v>
      </c>
      <c r="AK2" s="3" t="s">
        <v>34</v>
      </c>
      <c r="AL2" s="3" t="s">
        <v>35</v>
      </c>
      <c r="AM2" s="3" t="s">
        <v>36</v>
      </c>
      <c r="AN2" s="6" t="s">
        <v>290</v>
      </c>
      <c r="AO2" s="6" t="s">
        <v>292</v>
      </c>
    </row>
    <row r="3" spans="1:41" x14ac:dyDescent="0.35">
      <c r="A3" t="s">
        <v>32</v>
      </c>
      <c r="B3" s="4">
        <v>9940061001</v>
      </c>
      <c r="C3" t="s">
        <v>110</v>
      </c>
      <c r="D3" t="s">
        <v>240</v>
      </c>
      <c r="E3" t="s">
        <v>26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/>
      <c r="Q3" s="2"/>
      <c r="R3" s="2">
        <f t="shared" ref="R3:R66" si="0">F3+G3+H3</f>
        <v>0</v>
      </c>
      <c r="S3" s="2">
        <f t="shared" ref="S3:S66" si="1">I3+J3+K3</f>
        <v>0</v>
      </c>
      <c r="T3" s="2">
        <f t="shared" ref="T3:T66" si="2">L3+M3+N3</f>
        <v>0</v>
      </c>
      <c r="U3" s="2">
        <f>O3+P3+Q3</f>
        <v>0</v>
      </c>
      <c r="V3" s="2">
        <f>P3+Q3</f>
        <v>0</v>
      </c>
      <c r="W3" s="2">
        <f>R3+S3+T3+U3</f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/>
      <c r="AI3" s="2"/>
      <c r="AJ3" s="2">
        <f t="shared" ref="AJ3:AJ66" si="3">X3+Y3+Z3</f>
        <v>0</v>
      </c>
      <c r="AK3" s="2">
        <f t="shared" ref="AK3:AK66" si="4">AA3+AB3+AC3</f>
        <v>0</v>
      </c>
      <c r="AL3" s="2">
        <f t="shared" ref="AL3:AL66" si="5">AD3+AE3+AF3</f>
        <v>0</v>
      </c>
      <c r="AM3" s="2">
        <f>AG3+AH3+AI3</f>
        <v>0</v>
      </c>
      <c r="AN3" s="2">
        <f>AH3+AI3</f>
        <v>0</v>
      </c>
      <c r="AO3" s="2">
        <f>AJ3+AK3+AL3+AM3</f>
        <v>0</v>
      </c>
    </row>
    <row r="4" spans="1:41" x14ac:dyDescent="0.35">
      <c r="A4" t="s">
        <v>32</v>
      </c>
      <c r="B4" s="4">
        <v>9940089915</v>
      </c>
      <c r="C4" t="s">
        <v>97</v>
      </c>
      <c r="D4" t="s">
        <v>265</v>
      </c>
      <c r="E4" t="s">
        <v>26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/>
      <c r="Q4" s="2"/>
      <c r="R4" s="2">
        <f t="shared" si="0"/>
        <v>0</v>
      </c>
      <c r="S4" s="2">
        <f t="shared" si="1"/>
        <v>0</v>
      </c>
      <c r="T4" s="2">
        <f t="shared" si="2"/>
        <v>0</v>
      </c>
      <c r="U4" s="2">
        <f t="shared" ref="U3:U66" si="6">O4+P4+Q4</f>
        <v>0</v>
      </c>
      <c r="V4" s="2">
        <f t="shared" ref="V4:V67" si="7">P4+Q4</f>
        <v>0</v>
      </c>
      <c r="W4" s="2">
        <f t="shared" ref="W4:W67" si="8">R4+S4+T4+U4</f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/>
      <c r="AI4" s="2"/>
      <c r="AJ4" s="2">
        <f t="shared" si="3"/>
        <v>0</v>
      </c>
      <c r="AK4" s="2">
        <f t="shared" si="4"/>
        <v>0</v>
      </c>
      <c r="AL4" s="2">
        <f t="shared" si="5"/>
        <v>0</v>
      </c>
      <c r="AM4" s="2">
        <f t="shared" ref="AM3:AM66" si="9">AG4+AH4+AI4</f>
        <v>0</v>
      </c>
      <c r="AN4" s="2">
        <f t="shared" ref="AN4:AN67" si="10">AH4+AI4</f>
        <v>0</v>
      </c>
      <c r="AO4" s="2">
        <f t="shared" ref="AO4:AO67" si="11">AJ4+AK4+AL4+AM4</f>
        <v>0</v>
      </c>
    </row>
    <row r="5" spans="1:41" x14ac:dyDescent="0.35">
      <c r="A5" t="s">
        <v>32</v>
      </c>
      <c r="B5" s="4">
        <v>9940104037</v>
      </c>
      <c r="C5" t="s">
        <v>156</v>
      </c>
      <c r="D5" t="s">
        <v>265</v>
      </c>
      <c r="E5" t="s">
        <v>26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/>
      <c r="Q5" s="2"/>
      <c r="R5" s="2">
        <f t="shared" si="0"/>
        <v>0</v>
      </c>
      <c r="S5" s="2">
        <f t="shared" si="1"/>
        <v>0</v>
      </c>
      <c r="T5" s="2">
        <f t="shared" si="2"/>
        <v>0</v>
      </c>
      <c r="U5" s="2">
        <f t="shared" si="6"/>
        <v>0</v>
      </c>
      <c r="V5" s="2">
        <f t="shared" si="7"/>
        <v>0</v>
      </c>
      <c r="W5" s="2">
        <f t="shared" si="8"/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/>
      <c r="AI5" s="2"/>
      <c r="AJ5" s="2">
        <f t="shared" si="3"/>
        <v>0</v>
      </c>
      <c r="AK5" s="2">
        <f t="shared" si="4"/>
        <v>0</v>
      </c>
      <c r="AL5" s="2">
        <f t="shared" si="5"/>
        <v>0</v>
      </c>
      <c r="AM5" s="2">
        <f t="shared" si="9"/>
        <v>0</v>
      </c>
      <c r="AN5" s="2">
        <f t="shared" si="10"/>
        <v>0</v>
      </c>
      <c r="AO5" s="2">
        <f t="shared" si="11"/>
        <v>0</v>
      </c>
    </row>
    <row r="6" spans="1:41" x14ac:dyDescent="0.35">
      <c r="A6" t="s">
        <v>32</v>
      </c>
      <c r="B6" s="4">
        <v>9940163878</v>
      </c>
      <c r="C6" t="s">
        <v>43</v>
      </c>
      <c r="D6" t="s">
        <v>240</v>
      </c>
      <c r="E6" t="s">
        <v>26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/>
      <c r="Q6" s="2"/>
      <c r="R6" s="2">
        <f t="shared" si="0"/>
        <v>0</v>
      </c>
      <c r="S6" s="2">
        <f t="shared" si="1"/>
        <v>0</v>
      </c>
      <c r="T6" s="2">
        <f t="shared" si="2"/>
        <v>0</v>
      </c>
      <c r="U6" s="2">
        <f t="shared" si="6"/>
        <v>0</v>
      </c>
      <c r="V6" s="2">
        <f t="shared" si="7"/>
        <v>0</v>
      </c>
      <c r="W6" s="2">
        <f t="shared" si="8"/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/>
      <c r="AI6" s="2"/>
      <c r="AJ6" s="2">
        <f t="shared" si="3"/>
        <v>0</v>
      </c>
      <c r="AK6" s="2">
        <f t="shared" si="4"/>
        <v>0</v>
      </c>
      <c r="AL6" s="2">
        <f t="shared" si="5"/>
        <v>0</v>
      </c>
      <c r="AM6" s="2">
        <f t="shared" si="9"/>
        <v>0</v>
      </c>
      <c r="AN6" s="2">
        <f t="shared" si="10"/>
        <v>0</v>
      </c>
      <c r="AO6" s="2">
        <f t="shared" si="11"/>
        <v>0</v>
      </c>
    </row>
    <row r="7" spans="1:41" x14ac:dyDescent="0.35">
      <c r="A7" t="s">
        <v>32</v>
      </c>
      <c r="B7" s="4">
        <v>9940177437</v>
      </c>
      <c r="C7" t="s">
        <v>56</v>
      </c>
      <c r="D7" t="s">
        <v>282</v>
      </c>
      <c r="E7" t="s">
        <v>26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/>
      <c r="Q7" s="2"/>
      <c r="R7" s="2">
        <f t="shared" si="0"/>
        <v>0</v>
      </c>
      <c r="S7" s="2">
        <f t="shared" si="1"/>
        <v>0</v>
      </c>
      <c r="T7" s="2">
        <f t="shared" si="2"/>
        <v>0</v>
      </c>
      <c r="U7" s="2">
        <f t="shared" si="6"/>
        <v>0</v>
      </c>
      <c r="V7" s="2">
        <f t="shared" si="7"/>
        <v>0</v>
      </c>
      <c r="W7" s="2">
        <f t="shared" si="8"/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/>
      <c r="AI7" s="2"/>
      <c r="AJ7" s="2">
        <f t="shared" si="3"/>
        <v>0</v>
      </c>
      <c r="AK7" s="2">
        <f t="shared" si="4"/>
        <v>0</v>
      </c>
      <c r="AL7" s="2">
        <f t="shared" si="5"/>
        <v>0</v>
      </c>
      <c r="AM7" s="2">
        <f t="shared" si="9"/>
        <v>0</v>
      </c>
      <c r="AN7" s="2">
        <f t="shared" si="10"/>
        <v>0</v>
      </c>
      <c r="AO7" s="2">
        <f t="shared" si="11"/>
        <v>0</v>
      </c>
    </row>
    <row r="8" spans="1:41" x14ac:dyDescent="0.35">
      <c r="A8" t="s">
        <v>32</v>
      </c>
      <c r="B8" s="4">
        <v>9940501401</v>
      </c>
      <c r="C8" t="s">
        <v>40</v>
      </c>
      <c r="D8" t="s">
        <v>221</v>
      </c>
      <c r="E8" t="s">
        <v>26</v>
      </c>
      <c r="F8" s="2">
        <v>0</v>
      </c>
      <c r="G8" s="2">
        <v>0</v>
      </c>
      <c r="H8" s="2">
        <v>0</v>
      </c>
      <c r="I8" s="2">
        <v>0</v>
      </c>
      <c r="J8" s="2">
        <v>-8.3610000000000004E-2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/>
      <c r="Q8" s="2"/>
      <c r="R8" s="2">
        <f t="shared" si="0"/>
        <v>0</v>
      </c>
      <c r="S8" s="2">
        <f t="shared" si="1"/>
        <v>-8.3610000000000004E-2</v>
      </c>
      <c r="T8" s="2">
        <f t="shared" si="2"/>
        <v>0</v>
      </c>
      <c r="U8" s="2">
        <f t="shared" si="6"/>
        <v>0</v>
      </c>
      <c r="V8" s="2">
        <f t="shared" si="7"/>
        <v>0</v>
      </c>
      <c r="W8" s="2">
        <f t="shared" si="8"/>
        <v>-8.3610000000000004E-2</v>
      </c>
      <c r="X8" s="2">
        <v>-0.28577000000000002</v>
      </c>
      <c r="Y8" s="2">
        <v>-0.28982000000000002</v>
      </c>
      <c r="Z8" s="2">
        <v>-0.28938999999999998</v>
      </c>
      <c r="AA8" s="2">
        <v>-0.28978999999999999</v>
      </c>
      <c r="AB8" s="2">
        <v>-8.4449999999999997E-2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/>
      <c r="AI8" s="2"/>
      <c r="AJ8" s="2">
        <f t="shared" si="3"/>
        <v>-0.86498000000000008</v>
      </c>
      <c r="AK8" s="2">
        <f t="shared" si="4"/>
        <v>-0.37424000000000002</v>
      </c>
      <c r="AL8" s="2">
        <f t="shared" si="5"/>
        <v>0</v>
      </c>
      <c r="AM8" s="2">
        <f t="shared" si="9"/>
        <v>0</v>
      </c>
      <c r="AN8" s="2">
        <f t="shared" si="10"/>
        <v>0</v>
      </c>
      <c r="AO8" s="2">
        <f t="shared" si="11"/>
        <v>-1.23922</v>
      </c>
    </row>
    <row r="9" spans="1:41" x14ac:dyDescent="0.35">
      <c r="A9" t="s">
        <v>32</v>
      </c>
      <c r="B9" s="4">
        <v>9940558396</v>
      </c>
      <c r="C9" t="s">
        <v>41</v>
      </c>
      <c r="D9" t="s">
        <v>222</v>
      </c>
      <c r="E9" t="s">
        <v>26</v>
      </c>
      <c r="F9" s="2"/>
      <c r="G9" s="2"/>
      <c r="H9" s="2"/>
      <c r="I9" s="2">
        <v>0</v>
      </c>
      <c r="J9" s="2">
        <v>8.90184</v>
      </c>
      <c r="K9" s="2">
        <v>15.93144</v>
      </c>
      <c r="L9" s="2">
        <v>26.813559999999999</v>
      </c>
      <c r="M9" s="2">
        <v>26.9635</v>
      </c>
      <c r="N9" s="2">
        <v>31.95448</v>
      </c>
      <c r="O9" s="2">
        <v>45.177619999999997</v>
      </c>
      <c r="P9" s="2">
        <v>29.851354000000001</v>
      </c>
      <c r="Q9" s="2">
        <v>24.109026</v>
      </c>
      <c r="R9" s="2">
        <f t="shared" si="0"/>
        <v>0</v>
      </c>
      <c r="S9" s="2">
        <f t="shared" si="1"/>
        <v>24.833280000000002</v>
      </c>
      <c r="T9" s="2">
        <f t="shared" si="2"/>
        <v>85.731539999999995</v>
      </c>
      <c r="U9" s="2">
        <f t="shared" si="6"/>
        <v>99.138000000000005</v>
      </c>
      <c r="V9" s="2">
        <f t="shared" si="7"/>
        <v>53.960380000000001</v>
      </c>
      <c r="W9" s="2">
        <f t="shared" si="8"/>
        <v>209.70282</v>
      </c>
      <c r="X9" s="2"/>
      <c r="Y9" s="2"/>
      <c r="Z9" s="2"/>
      <c r="AA9" s="2">
        <v>0</v>
      </c>
      <c r="AB9" s="2">
        <v>3.1524800000000002</v>
      </c>
      <c r="AC9" s="2">
        <v>5.8953600000000002</v>
      </c>
      <c r="AD9" s="2">
        <v>9.7100399999999993</v>
      </c>
      <c r="AE9" s="2">
        <v>9.8315400000000004</v>
      </c>
      <c r="AF9" s="2">
        <v>11.566599999999999</v>
      </c>
      <c r="AG9" s="2">
        <v>14.222160000000001</v>
      </c>
      <c r="AH9" s="2">
        <v>14.540813999999999</v>
      </c>
      <c r="AI9" s="2">
        <v>7.714124</v>
      </c>
      <c r="AJ9" s="2">
        <f t="shared" si="3"/>
        <v>0</v>
      </c>
      <c r="AK9" s="2">
        <f t="shared" si="4"/>
        <v>9.0478400000000008</v>
      </c>
      <c r="AL9" s="2">
        <f t="shared" si="5"/>
        <v>31.108179999999997</v>
      </c>
      <c r="AM9" s="2">
        <f t="shared" si="9"/>
        <v>36.477097999999998</v>
      </c>
      <c r="AN9" s="2">
        <f t="shared" si="10"/>
        <v>22.254937999999999</v>
      </c>
      <c r="AO9" s="2">
        <f t="shared" si="11"/>
        <v>76.633117999999996</v>
      </c>
    </row>
    <row r="10" spans="1:41" x14ac:dyDescent="0.35">
      <c r="A10" t="s">
        <v>32</v>
      </c>
      <c r="B10" s="4">
        <v>9940574311</v>
      </c>
      <c r="C10" t="s">
        <v>42</v>
      </c>
      <c r="D10" t="s">
        <v>223</v>
      </c>
      <c r="E10" t="s">
        <v>26</v>
      </c>
      <c r="F10" s="2"/>
      <c r="G10" s="2"/>
      <c r="H10" s="2"/>
      <c r="I10" s="2"/>
      <c r="J10" s="2"/>
      <c r="K10" s="2"/>
      <c r="L10" s="2">
        <v>0</v>
      </c>
      <c r="M10" s="2">
        <v>0</v>
      </c>
      <c r="N10" s="2">
        <v>257.81725</v>
      </c>
      <c r="O10" s="2">
        <v>0</v>
      </c>
      <c r="P10" s="2">
        <v>0</v>
      </c>
      <c r="Q10" s="2">
        <v>0</v>
      </c>
      <c r="R10" s="2">
        <f t="shared" si="0"/>
        <v>0</v>
      </c>
      <c r="S10" s="2">
        <f t="shared" si="1"/>
        <v>0</v>
      </c>
      <c r="T10" s="2">
        <f t="shared" si="2"/>
        <v>257.81725</v>
      </c>
      <c r="U10" s="2">
        <f t="shared" si="6"/>
        <v>0</v>
      </c>
      <c r="V10" s="2">
        <f t="shared" si="7"/>
        <v>0</v>
      </c>
      <c r="W10" s="2">
        <f t="shared" si="8"/>
        <v>257.81725</v>
      </c>
      <c r="X10" s="2"/>
      <c r="Y10" s="2"/>
      <c r="Z10" s="2"/>
      <c r="AA10" s="2"/>
      <c r="AB10" s="2"/>
      <c r="AC10" s="2"/>
      <c r="AD10" s="2">
        <v>-27.94595</v>
      </c>
      <c r="AE10" s="2">
        <v>-99.294589999999999</v>
      </c>
      <c r="AF10" s="2">
        <v>194.05373</v>
      </c>
      <c r="AG10" s="2">
        <v>-2.66493</v>
      </c>
      <c r="AH10" s="2">
        <v>0</v>
      </c>
      <c r="AI10" s="2">
        <v>0</v>
      </c>
      <c r="AJ10" s="2">
        <f t="shared" si="3"/>
        <v>0</v>
      </c>
      <c r="AK10" s="2">
        <f t="shared" si="4"/>
        <v>0</v>
      </c>
      <c r="AL10" s="2">
        <f t="shared" si="5"/>
        <v>66.813190000000006</v>
      </c>
      <c r="AM10" s="2">
        <f t="shared" si="9"/>
        <v>-2.66493</v>
      </c>
      <c r="AN10" s="2">
        <f t="shared" si="10"/>
        <v>0</v>
      </c>
      <c r="AO10" s="2">
        <f t="shared" si="11"/>
        <v>64.148260000000008</v>
      </c>
    </row>
    <row r="11" spans="1:41" x14ac:dyDescent="0.35">
      <c r="A11" t="s">
        <v>32</v>
      </c>
      <c r="B11" s="4">
        <v>9940456800</v>
      </c>
      <c r="C11" t="s">
        <v>44</v>
      </c>
      <c r="D11" t="s">
        <v>224</v>
      </c>
      <c r="E11" t="s">
        <v>26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/>
      <c r="Q11" s="2"/>
      <c r="R11" s="2">
        <f t="shared" si="0"/>
        <v>0</v>
      </c>
      <c r="S11" s="2">
        <f t="shared" si="1"/>
        <v>0</v>
      </c>
      <c r="T11" s="2">
        <f t="shared" si="2"/>
        <v>0</v>
      </c>
      <c r="U11" s="2">
        <f t="shared" si="6"/>
        <v>0</v>
      </c>
      <c r="V11" s="2">
        <f t="shared" si="7"/>
        <v>0</v>
      </c>
      <c r="W11" s="2">
        <f t="shared" si="8"/>
        <v>0</v>
      </c>
      <c r="X11" s="2">
        <v>-0.95091999999999999</v>
      </c>
      <c r="Y11" s="2">
        <v>-0.96440000000000003</v>
      </c>
      <c r="Z11" s="2">
        <v>-0.96297999999999995</v>
      </c>
      <c r="AA11" s="2">
        <v>-0.96430000000000005</v>
      </c>
      <c r="AB11" s="2">
        <v>-0.98928000000000005</v>
      </c>
      <c r="AC11" s="2">
        <v>-1.0309200000000001</v>
      </c>
      <c r="AD11" s="2">
        <v>-1.0320199999999999</v>
      </c>
      <c r="AE11" s="2">
        <v>-3.032</v>
      </c>
      <c r="AF11" s="2">
        <v>0</v>
      </c>
      <c r="AG11" s="2">
        <v>0</v>
      </c>
      <c r="AH11" s="2"/>
      <c r="AI11" s="2"/>
      <c r="AJ11" s="2">
        <f t="shared" si="3"/>
        <v>-2.8782999999999999</v>
      </c>
      <c r="AK11" s="2">
        <f t="shared" si="4"/>
        <v>-2.9845000000000002</v>
      </c>
      <c r="AL11" s="2">
        <f t="shared" si="5"/>
        <v>-4.0640200000000002</v>
      </c>
      <c r="AM11" s="2">
        <f t="shared" si="9"/>
        <v>0</v>
      </c>
      <c r="AN11" s="2">
        <f t="shared" si="10"/>
        <v>0</v>
      </c>
      <c r="AO11" s="2">
        <f t="shared" si="11"/>
        <v>-9.9268199999999993</v>
      </c>
    </row>
    <row r="12" spans="1:41" x14ac:dyDescent="0.35">
      <c r="A12" t="s">
        <v>32</v>
      </c>
      <c r="B12" s="4">
        <v>9940488298</v>
      </c>
      <c r="C12" t="s">
        <v>45</v>
      </c>
      <c r="D12" t="s">
        <v>225</v>
      </c>
      <c r="E12" t="s">
        <v>26</v>
      </c>
      <c r="F12" s="2">
        <v>158.93763999999999</v>
      </c>
      <c r="G12" s="2">
        <v>-193.27574000000001</v>
      </c>
      <c r="H12" s="2">
        <v>163.71653000000001</v>
      </c>
      <c r="I12" s="2">
        <v>-159.85444000000001</v>
      </c>
      <c r="J12" s="2">
        <v>431.86982999999998</v>
      </c>
      <c r="K12" s="2">
        <v>252.09229999999999</v>
      </c>
      <c r="L12" s="2">
        <v>325.32078999999999</v>
      </c>
      <c r="M12" s="2">
        <v>206.00842</v>
      </c>
      <c r="N12" s="2">
        <v>-107.34232</v>
      </c>
      <c r="O12" s="2">
        <v>274.75202000000002</v>
      </c>
      <c r="P12" s="2">
        <v>154.69640340000001</v>
      </c>
      <c r="Q12" s="2">
        <v>202.59131199999999</v>
      </c>
      <c r="R12" s="2">
        <f t="shared" si="0"/>
        <v>129.37842999999998</v>
      </c>
      <c r="S12" s="2">
        <f t="shared" si="1"/>
        <v>524.10768999999993</v>
      </c>
      <c r="T12" s="2">
        <f t="shared" si="2"/>
        <v>423.98689000000002</v>
      </c>
      <c r="U12" s="2">
        <f t="shared" si="6"/>
        <v>632.03973540000004</v>
      </c>
      <c r="V12" s="2">
        <f t="shared" si="7"/>
        <v>357.28771540000002</v>
      </c>
      <c r="W12" s="2">
        <f t="shared" si="8"/>
        <v>1709.5127453999999</v>
      </c>
      <c r="X12" s="2">
        <v>-40.863750000000003</v>
      </c>
      <c r="Y12" s="2">
        <v>-443.87972000000002</v>
      </c>
      <c r="Z12" s="2">
        <v>-58.278199999999998</v>
      </c>
      <c r="AA12" s="2">
        <v>-408.70836000000003</v>
      </c>
      <c r="AB12" s="2">
        <v>172.65828999999999</v>
      </c>
      <c r="AC12" s="2">
        <v>-13.78004</v>
      </c>
      <c r="AD12" s="2">
        <v>2.8327499999999999</v>
      </c>
      <c r="AE12" s="2">
        <v>-103.4766</v>
      </c>
      <c r="AF12" s="2">
        <v>-299.16207000000003</v>
      </c>
      <c r="AG12" s="2">
        <v>-89.427790000000002</v>
      </c>
      <c r="AH12" s="2">
        <v>-148.36115910000001</v>
      </c>
      <c r="AI12" s="2">
        <v>-24.735364499999999</v>
      </c>
      <c r="AJ12" s="2">
        <f t="shared" si="3"/>
        <v>-543.02166999999997</v>
      </c>
      <c r="AK12" s="2">
        <f t="shared" si="4"/>
        <v>-249.83011000000005</v>
      </c>
      <c r="AL12" s="2">
        <f t="shared" si="5"/>
        <v>-399.80592000000001</v>
      </c>
      <c r="AM12" s="2">
        <f t="shared" si="9"/>
        <v>-262.52431360000003</v>
      </c>
      <c r="AN12" s="2">
        <f t="shared" si="10"/>
        <v>-173.09652360000001</v>
      </c>
      <c r="AO12" s="2">
        <f t="shared" si="11"/>
        <v>-1455.1820136000001</v>
      </c>
    </row>
    <row r="13" spans="1:41" x14ac:dyDescent="0.35">
      <c r="A13" t="s">
        <v>32</v>
      </c>
      <c r="B13" s="4">
        <v>9940525581</v>
      </c>
      <c r="C13" t="s">
        <v>46</v>
      </c>
      <c r="D13" t="s">
        <v>226</v>
      </c>
      <c r="E13" t="s">
        <v>26</v>
      </c>
      <c r="F13" s="2">
        <v>-4.0000000000000003E-5</v>
      </c>
      <c r="G13" s="2">
        <v>13.27065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/>
      <c r="Q13" s="2"/>
      <c r="R13" s="2">
        <f t="shared" si="0"/>
        <v>13.27061</v>
      </c>
      <c r="S13" s="2">
        <f t="shared" si="1"/>
        <v>0</v>
      </c>
      <c r="T13" s="2">
        <f t="shared" si="2"/>
        <v>0</v>
      </c>
      <c r="U13" s="2">
        <f t="shared" si="6"/>
        <v>0</v>
      </c>
      <c r="V13" s="2">
        <f t="shared" si="7"/>
        <v>0</v>
      </c>
      <c r="W13" s="2">
        <f t="shared" si="8"/>
        <v>13.27061</v>
      </c>
      <c r="X13" s="2">
        <v>-0.43476999999999999</v>
      </c>
      <c r="Y13" s="2">
        <v>12.32264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/>
      <c r="AI13" s="2"/>
      <c r="AJ13" s="2">
        <f t="shared" si="3"/>
        <v>11.887869999999999</v>
      </c>
      <c r="AK13" s="2">
        <f t="shared" si="4"/>
        <v>0</v>
      </c>
      <c r="AL13" s="2">
        <f t="shared" si="5"/>
        <v>0</v>
      </c>
      <c r="AM13" s="2">
        <f t="shared" si="9"/>
        <v>0</v>
      </c>
      <c r="AN13" s="2">
        <f t="shared" si="10"/>
        <v>0</v>
      </c>
      <c r="AO13" s="2">
        <f t="shared" si="11"/>
        <v>11.887869999999999</v>
      </c>
    </row>
    <row r="14" spans="1:41" x14ac:dyDescent="0.35">
      <c r="A14" t="s">
        <v>32</v>
      </c>
      <c r="B14" s="4">
        <v>9940080491</v>
      </c>
      <c r="C14" t="s">
        <v>47</v>
      </c>
      <c r="D14" t="s">
        <v>227</v>
      </c>
      <c r="E14" t="s">
        <v>26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/>
      <c r="Q14" s="2"/>
      <c r="R14" s="2">
        <f t="shared" si="0"/>
        <v>0</v>
      </c>
      <c r="S14" s="2">
        <f t="shared" si="1"/>
        <v>0</v>
      </c>
      <c r="T14" s="2">
        <f t="shared" si="2"/>
        <v>0</v>
      </c>
      <c r="U14" s="2">
        <f t="shared" si="6"/>
        <v>0</v>
      </c>
      <c r="V14" s="2">
        <f t="shared" si="7"/>
        <v>0</v>
      </c>
      <c r="W14" s="2">
        <f t="shared" si="8"/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/>
      <c r="AI14" s="2"/>
      <c r="AJ14" s="2">
        <f t="shared" si="3"/>
        <v>0</v>
      </c>
      <c r="AK14" s="2">
        <f t="shared" si="4"/>
        <v>0</v>
      </c>
      <c r="AL14" s="2">
        <f t="shared" si="5"/>
        <v>0</v>
      </c>
      <c r="AM14" s="2">
        <f t="shared" si="9"/>
        <v>0</v>
      </c>
      <c r="AN14" s="2">
        <f t="shared" si="10"/>
        <v>0</v>
      </c>
      <c r="AO14" s="2">
        <f t="shared" si="11"/>
        <v>0</v>
      </c>
    </row>
    <row r="15" spans="1:41" x14ac:dyDescent="0.35">
      <c r="A15" t="s">
        <v>32</v>
      </c>
      <c r="B15" s="4">
        <v>9940371766</v>
      </c>
      <c r="C15" t="s">
        <v>48</v>
      </c>
      <c r="D15" t="s">
        <v>227</v>
      </c>
      <c r="E15" t="s">
        <v>26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/>
      <c r="Q15" s="2"/>
      <c r="R15" s="2">
        <f t="shared" si="0"/>
        <v>0</v>
      </c>
      <c r="S15" s="2">
        <f t="shared" si="1"/>
        <v>0</v>
      </c>
      <c r="T15" s="2">
        <f t="shared" si="2"/>
        <v>0</v>
      </c>
      <c r="U15" s="2">
        <f t="shared" si="6"/>
        <v>0</v>
      </c>
      <c r="V15" s="2">
        <f t="shared" si="7"/>
        <v>0</v>
      </c>
      <c r="W15" s="2">
        <f t="shared" si="8"/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/>
      <c r="AI15" s="2"/>
      <c r="AJ15" s="2">
        <f t="shared" si="3"/>
        <v>0</v>
      </c>
      <c r="AK15" s="2">
        <f t="shared" si="4"/>
        <v>0</v>
      </c>
      <c r="AL15" s="2">
        <f t="shared" si="5"/>
        <v>0</v>
      </c>
      <c r="AM15" s="2">
        <f t="shared" si="9"/>
        <v>0</v>
      </c>
      <c r="AN15" s="2">
        <f t="shared" si="10"/>
        <v>0</v>
      </c>
      <c r="AO15" s="2">
        <f t="shared" si="11"/>
        <v>0</v>
      </c>
    </row>
    <row r="16" spans="1:41" x14ac:dyDescent="0.35">
      <c r="A16" t="s">
        <v>32</v>
      </c>
      <c r="B16" s="4">
        <v>9940378338</v>
      </c>
      <c r="C16" t="s">
        <v>49</v>
      </c>
      <c r="D16" t="s">
        <v>221</v>
      </c>
      <c r="E16" t="s">
        <v>26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/>
      <c r="Q16" s="2"/>
      <c r="R16" s="2">
        <f t="shared" si="0"/>
        <v>0</v>
      </c>
      <c r="S16" s="2">
        <f t="shared" si="1"/>
        <v>0</v>
      </c>
      <c r="T16" s="2">
        <f t="shared" si="2"/>
        <v>0</v>
      </c>
      <c r="U16" s="2">
        <f t="shared" si="6"/>
        <v>0</v>
      </c>
      <c r="V16" s="2">
        <f t="shared" si="7"/>
        <v>0</v>
      </c>
      <c r="W16" s="2">
        <f t="shared" si="8"/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/>
      <c r="AI16" s="2"/>
      <c r="AJ16" s="2">
        <f t="shared" si="3"/>
        <v>0</v>
      </c>
      <c r="AK16" s="2">
        <f t="shared" si="4"/>
        <v>0</v>
      </c>
      <c r="AL16" s="2">
        <f t="shared" si="5"/>
        <v>0</v>
      </c>
      <c r="AM16" s="2">
        <f t="shared" si="9"/>
        <v>0</v>
      </c>
      <c r="AN16" s="2">
        <f t="shared" si="10"/>
        <v>0</v>
      </c>
      <c r="AO16" s="2">
        <f t="shared" si="11"/>
        <v>0</v>
      </c>
    </row>
    <row r="17" spans="1:41" x14ac:dyDescent="0.35">
      <c r="A17" t="s">
        <v>32</v>
      </c>
      <c r="B17" s="4">
        <v>9940533037</v>
      </c>
      <c r="C17" t="s">
        <v>51</v>
      </c>
      <c r="D17" t="s">
        <v>228</v>
      </c>
      <c r="E17" t="s">
        <v>26</v>
      </c>
      <c r="F17" s="2">
        <v>59.711530000000003</v>
      </c>
      <c r="G17" s="2">
        <v>26.447009999999999</v>
      </c>
      <c r="H17" s="2">
        <v>61.536659999999998</v>
      </c>
      <c r="I17" s="2">
        <v>55.06082</v>
      </c>
      <c r="J17" s="2">
        <v>43.955410000000001</v>
      </c>
      <c r="K17" s="2">
        <v>223.37282999999999</v>
      </c>
      <c r="L17" s="2">
        <v>62.799779999999998</v>
      </c>
      <c r="M17" s="2">
        <v>98.960719999999995</v>
      </c>
      <c r="N17" s="2">
        <v>-2.9157899999999999</v>
      </c>
      <c r="O17" s="2">
        <v>0</v>
      </c>
      <c r="P17" s="2">
        <v>0</v>
      </c>
      <c r="Q17" s="2">
        <v>0</v>
      </c>
      <c r="R17" s="2">
        <f t="shared" si="0"/>
        <v>147.6952</v>
      </c>
      <c r="S17" s="2">
        <f t="shared" si="1"/>
        <v>322.38905999999997</v>
      </c>
      <c r="T17" s="2">
        <f t="shared" si="2"/>
        <v>158.84470999999999</v>
      </c>
      <c r="U17" s="2">
        <f t="shared" si="6"/>
        <v>0</v>
      </c>
      <c r="V17" s="2">
        <f t="shared" si="7"/>
        <v>0</v>
      </c>
      <c r="W17" s="2">
        <f t="shared" si="8"/>
        <v>628.92896999999994</v>
      </c>
      <c r="X17" s="2">
        <v>17.55921</v>
      </c>
      <c r="Y17" s="2">
        <v>-29.41347</v>
      </c>
      <c r="Z17" s="2">
        <v>-2.1421199999999998</v>
      </c>
      <c r="AA17" s="2">
        <v>2.84822</v>
      </c>
      <c r="AB17" s="2">
        <v>6.9892099999999999</v>
      </c>
      <c r="AC17" s="2">
        <v>184.83205000000001</v>
      </c>
      <c r="AD17" s="2">
        <v>20.82348</v>
      </c>
      <c r="AE17" s="2">
        <v>18.202760000000001</v>
      </c>
      <c r="AF17" s="2">
        <v>-58.031509999999997</v>
      </c>
      <c r="AG17" s="2">
        <v>-7.7017899999999999</v>
      </c>
      <c r="AH17" s="2">
        <v>2.3101400000000001</v>
      </c>
      <c r="AI17" s="2">
        <v>-19.078379999999999</v>
      </c>
      <c r="AJ17" s="2">
        <f t="shared" si="3"/>
        <v>-13.99638</v>
      </c>
      <c r="AK17" s="2">
        <f t="shared" si="4"/>
        <v>194.66948000000002</v>
      </c>
      <c r="AL17" s="2">
        <f t="shared" si="5"/>
        <v>-19.005269999999996</v>
      </c>
      <c r="AM17" s="2">
        <f t="shared" si="9"/>
        <v>-24.470030000000001</v>
      </c>
      <c r="AN17" s="2">
        <f t="shared" si="10"/>
        <v>-16.768239999999999</v>
      </c>
      <c r="AO17" s="2">
        <f t="shared" si="11"/>
        <v>137.19780000000003</v>
      </c>
    </row>
    <row r="18" spans="1:41" x14ac:dyDescent="0.35">
      <c r="A18" t="s">
        <v>32</v>
      </c>
      <c r="B18" s="4">
        <v>9940533180</v>
      </c>
      <c r="C18" t="s">
        <v>52</v>
      </c>
      <c r="D18" t="s">
        <v>229</v>
      </c>
      <c r="E18" t="s">
        <v>26</v>
      </c>
      <c r="F18" s="2">
        <v>0.15071000000000001</v>
      </c>
      <c r="G18" s="2">
        <v>0.18264</v>
      </c>
      <c r="H18" s="2">
        <v>0.18264</v>
      </c>
      <c r="I18" s="2">
        <v>0.184</v>
      </c>
      <c r="J18" s="2">
        <v>0.18264</v>
      </c>
      <c r="K18" s="2">
        <v>0.18265999999999999</v>
      </c>
      <c r="L18" s="2">
        <v>0.14396</v>
      </c>
      <c r="M18" s="2">
        <v>0.14055999999999999</v>
      </c>
      <c r="N18" s="2">
        <v>0.13758999999999999</v>
      </c>
      <c r="O18" s="2">
        <v>0.14810999999999999</v>
      </c>
      <c r="P18" s="2">
        <v>-0.14811479999999999</v>
      </c>
      <c r="Q18" s="2">
        <v>0</v>
      </c>
      <c r="R18" s="2">
        <f t="shared" si="0"/>
        <v>0.51599000000000006</v>
      </c>
      <c r="S18" s="2">
        <f t="shared" si="1"/>
        <v>0.5492999999999999</v>
      </c>
      <c r="T18" s="2">
        <f t="shared" si="2"/>
        <v>0.42210999999999999</v>
      </c>
      <c r="U18" s="2">
        <f t="shared" si="6"/>
        <v>-4.7999999999992493E-6</v>
      </c>
      <c r="V18" s="2">
        <f t="shared" si="7"/>
        <v>-0.14811479999999999</v>
      </c>
      <c r="W18" s="2">
        <f t="shared" si="8"/>
        <v>1.4873952000000001</v>
      </c>
      <c r="X18" s="2">
        <v>-7.2779999999999997E-2</v>
      </c>
      <c r="Y18" s="2">
        <v>0.30843999999999999</v>
      </c>
      <c r="Z18" s="2">
        <v>0.17077000000000001</v>
      </c>
      <c r="AA18" s="2">
        <v>7.9280000000000003E-2</v>
      </c>
      <c r="AB18" s="2">
        <v>6.8580000000000002E-2</v>
      </c>
      <c r="AC18" s="2">
        <v>8.4400000000000003E-2</v>
      </c>
      <c r="AD18" s="2">
        <v>7.0099999999999996E-2</v>
      </c>
      <c r="AE18" s="2">
        <v>2.308E-2</v>
      </c>
      <c r="AF18" s="2">
        <v>4.1369999999999997E-2</v>
      </c>
      <c r="AG18" s="2">
        <v>3.1230000000000001E-2</v>
      </c>
      <c r="AH18" s="2">
        <v>-3.1230000000000001E-2</v>
      </c>
      <c r="AI18" s="2">
        <v>0</v>
      </c>
      <c r="AJ18" s="2">
        <f t="shared" si="3"/>
        <v>0.40642999999999996</v>
      </c>
      <c r="AK18" s="2">
        <f t="shared" si="4"/>
        <v>0.23225999999999999</v>
      </c>
      <c r="AL18" s="2">
        <f t="shared" si="5"/>
        <v>0.13455</v>
      </c>
      <c r="AM18" s="2">
        <f t="shared" si="9"/>
        <v>0</v>
      </c>
      <c r="AN18" s="2">
        <f t="shared" si="10"/>
        <v>-3.1230000000000001E-2</v>
      </c>
      <c r="AO18" s="2">
        <f t="shared" si="11"/>
        <v>0.77323999999999993</v>
      </c>
    </row>
    <row r="19" spans="1:41" x14ac:dyDescent="0.35">
      <c r="A19" t="s">
        <v>32</v>
      </c>
      <c r="B19" s="4">
        <v>9940378308</v>
      </c>
      <c r="C19" t="s">
        <v>53</v>
      </c>
      <c r="D19" t="s">
        <v>221</v>
      </c>
      <c r="E19" t="s">
        <v>26</v>
      </c>
      <c r="F19" s="2">
        <v>0</v>
      </c>
      <c r="G19" s="2">
        <v>152.67247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/>
      <c r="Q19" s="2"/>
      <c r="R19" s="2">
        <f t="shared" si="0"/>
        <v>152.67247</v>
      </c>
      <c r="S19" s="2">
        <f t="shared" si="1"/>
        <v>0</v>
      </c>
      <c r="T19" s="2">
        <f t="shared" si="2"/>
        <v>0</v>
      </c>
      <c r="U19" s="2">
        <f t="shared" si="6"/>
        <v>0</v>
      </c>
      <c r="V19" s="2">
        <f t="shared" si="7"/>
        <v>0</v>
      </c>
      <c r="W19" s="2">
        <f t="shared" si="8"/>
        <v>152.67247</v>
      </c>
      <c r="X19" s="2">
        <v>0</v>
      </c>
      <c r="Y19" s="2">
        <v>152.67247</v>
      </c>
      <c r="Z19" s="2">
        <v>-1.7684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/>
      <c r="AI19" s="2"/>
      <c r="AJ19" s="2">
        <f t="shared" si="3"/>
        <v>150.90406999999999</v>
      </c>
      <c r="AK19" s="2">
        <f t="shared" si="4"/>
        <v>0</v>
      </c>
      <c r="AL19" s="2">
        <f t="shared" si="5"/>
        <v>0</v>
      </c>
      <c r="AM19" s="2">
        <f t="shared" si="9"/>
        <v>0</v>
      </c>
      <c r="AN19" s="2">
        <f t="shared" si="10"/>
        <v>0</v>
      </c>
      <c r="AO19" s="2">
        <f t="shared" si="11"/>
        <v>150.90406999999999</v>
      </c>
    </row>
    <row r="20" spans="1:41" x14ac:dyDescent="0.35">
      <c r="A20" t="s">
        <v>32</v>
      </c>
      <c r="B20" s="4">
        <v>9940470852</v>
      </c>
      <c r="C20" t="s">
        <v>54</v>
      </c>
      <c r="D20" t="s">
        <v>230</v>
      </c>
      <c r="E20" t="s">
        <v>26</v>
      </c>
      <c r="F20" s="2">
        <v>0</v>
      </c>
      <c r="G20" s="2">
        <v>0</v>
      </c>
      <c r="H20" s="2">
        <v>0</v>
      </c>
      <c r="I20" s="2">
        <v>0</v>
      </c>
      <c r="J20" s="2"/>
      <c r="K20" s="2"/>
      <c r="L20" s="2"/>
      <c r="M20" s="2"/>
      <c r="N20" s="2"/>
      <c r="O20" s="2"/>
      <c r="P20" s="2"/>
      <c r="Q20" s="2"/>
      <c r="R20" s="2">
        <f t="shared" si="0"/>
        <v>0</v>
      </c>
      <c r="S20" s="2">
        <f t="shared" si="1"/>
        <v>0</v>
      </c>
      <c r="T20" s="2">
        <f t="shared" si="2"/>
        <v>0</v>
      </c>
      <c r="U20" s="2">
        <f t="shared" si="6"/>
        <v>0</v>
      </c>
      <c r="V20" s="2">
        <f t="shared" si="7"/>
        <v>0</v>
      </c>
      <c r="W20" s="2">
        <f t="shared" si="8"/>
        <v>0</v>
      </c>
      <c r="X20" s="2">
        <v>0</v>
      </c>
      <c r="Y20" s="2">
        <v>0</v>
      </c>
      <c r="Z20" s="2">
        <v>0</v>
      </c>
      <c r="AA20" s="2">
        <v>0</v>
      </c>
      <c r="AB20" s="2"/>
      <c r="AC20" s="2"/>
      <c r="AD20" s="2"/>
      <c r="AE20" s="2"/>
      <c r="AF20" s="2"/>
      <c r="AG20" s="2"/>
      <c r="AH20" s="2"/>
      <c r="AI20" s="2"/>
      <c r="AJ20" s="2">
        <f t="shared" si="3"/>
        <v>0</v>
      </c>
      <c r="AK20" s="2">
        <f t="shared" si="4"/>
        <v>0</v>
      </c>
      <c r="AL20" s="2">
        <f t="shared" si="5"/>
        <v>0</v>
      </c>
      <c r="AM20" s="2">
        <f t="shared" si="9"/>
        <v>0</v>
      </c>
      <c r="AN20" s="2">
        <f t="shared" si="10"/>
        <v>0</v>
      </c>
      <c r="AO20" s="2">
        <f t="shared" si="11"/>
        <v>0</v>
      </c>
    </row>
    <row r="21" spans="1:41" x14ac:dyDescent="0.35">
      <c r="A21" t="s">
        <v>32</v>
      </c>
      <c r="B21" s="4">
        <v>9940473365</v>
      </c>
      <c r="C21" t="s">
        <v>55</v>
      </c>
      <c r="D21" t="s">
        <v>231</v>
      </c>
      <c r="E21" t="s">
        <v>26</v>
      </c>
      <c r="F21" s="2">
        <v>128.32123999999999</v>
      </c>
      <c r="G21" s="2">
        <v>159.05203</v>
      </c>
      <c r="H21" s="2">
        <v>217.86237</v>
      </c>
      <c r="I21" s="2">
        <v>184.40214</v>
      </c>
      <c r="J21" s="2">
        <v>181.92257000000001</v>
      </c>
      <c r="K21" s="2">
        <v>67.902379999999994</v>
      </c>
      <c r="L21" s="2">
        <v>92.131219999999999</v>
      </c>
      <c r="M21" s="2">
        <v>14.02061</v>
      </c>
      <c r="N21" s="2">
        <v>14.94689</v>
      </c>
      <c r="O21" s="2">
        <v>32.778469999999999</v>
      </c>
      <c r="P21" s="2">
        <v>83.993497099999999</v>
      </c>
      <c r="Q21" s="2">
        <v>112.72620740000001</v>
      </c>
      <c r="R21" s="2">
        <f t="shared" si="0"/>
        <v>505.23563999999999</v>
      </c>
      <c r="S21" s="2">
        <f t="shared" si="1"/>
        <v>434.22708999999998</v>
      </c>
      <c r="T21" s="2">
        <f t="shared" si="2"/>
        <v>121.09872</v>
      </c>
      <c r="U21" s="2">
        <f t="shared" si="6"/>
        <v>229.4981745</v>
      </c>
      <c r="V21" s="2">
        <f t="shared" si="7"/>
        <v>196.71970450000001</v>
      </c>
      <c r="W21" s="2">
        <f t="shared" si="8"/>
        <v>1290.0596244999999</v>
      </c>
      <c r="X21" s="2">
        <v>-17.04027</v>
      </c>
      <c r="Y21" s="2">
        <v>-24.894939999999998</v>
      </c>
      <c r="Z21" s="2">
        <v>-10.77735</v>
      </c>
      <c r="AA21" s="2">
        <v>-12.13007</v>
      </c>
      <c r="AB21" s="2">
        <v>-16.906089999999999</v>
      </c>
      <c r="AC21" s="2">
        <v>-38.011760000000002</v>
      </c>
      <c r="AD21" s="2">
        <v>-28.141940000000002</v>
      </c>
      <c r="AE21" s="2">
        <v>-45.393590000000003</v>
      </c>
      <c r="AF21" s="2">
        <v>-32.016289999999998</v>
      </c>
      <c r="AG21" s="2">
        <v>-35.113680000000002</v>
      </c>
      <c r="AH21" s="2">
        <v>-26.014629299999999</v>
      </c>
      <c r="AI21" s="2">
        <v>-25.763191200000001</v>
      </c>
      <c r="AJ21" s="2">
        <f t="shared" si="3"/>
        <v>-52.712559999999996</v>
      </c>
      <c r="AK21" s="2">
        <f t="shared" si="4"/>
        <v>-67.047920000000005</v>
      </c>
      <c r="AL21" s="2">
        <f t="shared" si="5"/>
        <v>-105.55182000000001</v>
      </c>
      <c r="AM21" s="2">
        <f t="shared" si="9"/>
        <v>-86.891500500000006</v>
      </c>
      <c r="AN21" s="2">
        <f t="shared" si="10"/>
        <v>-51.777820500000004</v>
      </c>
      <c r="AO21" s="2">
        <f t="shared" si="11"/>
        <v>-312.2038005</v>
      </c>
    </row>
    <row r="22" spans="1:41" x14ac:dyDescent="0.35">
      <c r="A22" t="s">
        <v>32</v>
      </c>
      <c r="B22" s="4">
        <v>9940322165</v>
      </c>
      <c r="C22" t="s">
        <v>57</v>
      </c>
      <c r="D22" t="s">
        <v>232</v>
      </c>
      <c r="E22" t="s">
        <v>26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/>
      <c r="Q22" s="2"/>
      <c r="R22" s="2">
        <f t="shared" si="0"/>
        <v>0</v>
      </c>
      <c r="S22" s="2">
        <f t="shared" si="1"/>
        <v>0</v>
      </c>
      <c r="T22" s="2">
        <f t="shared" si="2"/>
        <v>0</v>
      </c>
      <c r="U22" s="2">
        <f t="shared" si="6"/>
        <v>0</v>
      </c>
      <c r="V22" s="2">
        <f t="shared" si="7"/>
        <v>0</v>
      </c>
      <c r="W22" s="2">
        <f t="shared" si="8"/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/>
      <c r="AI22" s="2"/>
      <c r="AJ22" s="2">
        <f t="shared" si="3"/>
        <v>0</v>
      </c>
      <c r="AK22" s="2">
        <f t="shared" si="4"/>
        <v>0</v>
      </c>
      <c r="AL22" s="2">
        <f t="shared" si="5"/>
        <v>0</v>
      </c>
      <c r="AM22" s="2">
        <f t="shared" si="9"/>
        <v>0</v>
      </c>
      <c r="AN22" s="2">
        <f t="shared" si="10"/>
        <v>0</v>
      </c>
      <c r="AO22" s="2">
        <f t="shared" si="11"/>
        <v>0</v>
      </c>
    </row>
    <row r="23" spans="1:41" x14ac:dyDescent="0.35">
      <c r="A23" t="s">
        <v>32</v>
      </c>
      <c r="B23" s="4">
        <v>9940505464</v>
      </c>
      <c r="C23" t="s">
        <v>58</v>
      </c>
      <c r="D23" t="s">
        <v>224</v>
      </c>
      <c r="E23" t="s">
        <v>26</v>
      </c>
      <c r="F23" s="2">
        <v>0.55101999999999995</v>
      </c>
      <c r="G23" s="2">
        <v>-2.2261099999999998</v>
      </c>
      <c r="H23" s="2">
        <v>8.5451700000000006</v>
      </c>
      <c r="I23" s="2">
        <v>36.760579999999997</v>
      </c>
      <c r="J23" s="2">
        <v>15.275589999999999</v>
      </c>
      <c r="K23" s="2">
        <v>0.13905999999999999</v>
      </c>
      <c r="L23" s="2">
        <v>0</v>
      </c>
      <c r="M23" s="2">
        <v>0</v>
      </c>
      <c r="N23" s="2">
        <v>0</v>
      </c>
      <c r="O23" s="2">
        <v>0</v>
      </c>
      <c r="P23" s="2"/>
      <c r="Q23" s="2"/>
      <c r="R23" s="2">
        <f t="shared" si="0"/>
        <v>6.8700800000000006</v>
      </c>
      <c r="S23" s="2">
        <f t="shared" si="1"/>
        <v>52.175229999999999</v>
      </c>
      <c r="T23" s="2">
        <f t="shared" si="2"/>
        <v>0</v>
      </c>
      <c r="U23" s="2">
        <f t="shared" si="6"/>
        <v>0</v>
      </c>
      <c r="V23" s="2">
        <f t="shared" si="7"/>
        <v>0</v>
      </c>
      <c r="W23" s="2">
        <f t="shared" si="8"/>
        <v>59.045310000000001</v>
      </c>
      <c r="X23" s="2">
        <v>-1.19604</v>
      </c>
      <c r="Y23" s="2">
        <v>-2.3715000000000002</v>
      </c>
      <c r="Z23" s="2">
        <v>4.2286999999999999</v>
      </c>
      <c r="AA23" s="2">
        <v>20.46857</v>
      </c>
      <c r="AB23" s="2">
        <v>5.2531499999999998</v>
      </c>
      <c r="AC23" s="2">
        <v>-0.65734000000000004</v>
      </c>
      <c r="AD23" s="2">
        <v>0</v>
      </c>
      <c r="AE23" s="2">
        <v>0</v>
      </c>
      <c r="AF23" s="2">
        <v>0</v>
      </c>
      <c r="AG23" s="2">
        <v>0</v>
      </c>
      <c r="AH23" s="2"/>
      <c r="AI23" s="2"/>
      <c r="AJ23" s="2">
        <f t="shared" si="3"/>
        <v>0.66115999999999975</v>
      </c>
      <c r="AK23" s="2">
        <f t="shared" si="4"/>
        <v>25.064379999999996</v>
      </c>
      <c r="AL23" s="2">
        <f t="shared" si="5"/>
        <v>0</v>
      </c>
      <c r="AM23" s="2">
        <f t="shared" si="9"/>
        <v>0</v>
      </c>
      <c r="AN23" s="2">
        <f t="shared" si="10"/>
        <v>0</v>
      </c>
      <c r="AO23" s="2">
        <f t="shared" si="11"/>
        <v>25.725539999999995</v>
      </c>
    </row>
    <row r="24" spans="1:41" x14ac:dyDescent="0.35">
      <c r="A24" t="s">
        <v>32</v>
      </c>
      <c r="B24" s="4">
        <v>9940536759</v>
      </c>
      <c r="C24" t="s">
        <v>59</v>
      </c>
      <c r="D24" t="s">
        <v>232</v>
      </c>
      <c r="E24" t="s">
        <v>26</v>
      </c>
      <c r="F24" s="2">
        <v>27.164100000000001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2"/>
      <c r="R24" s="2">
        <f t="shared" si="0"/>
        <v>27.164100000000001</v>
      </c>
      <c r="S24" s="2">
        <f t="shared" si="1"/>
        <v>0</v>
      </c>
      <c r="T24" s="2">
        <f t="shared" si="2"/>
        <v>0</v>
      </c>
      <c r="U24" s="2">
        <f t="shared" si="6"/>
        <v>0</v>
      </c>
      <c r="V24" s="2">
        <f t="shared" si="7"/>
        <v>0</v>
      </c>
      <c r="W24" s="2">
        <f t="shared" si="8"/>
        <v>27.164100000000001</v>
      </c>
      <c r="X24" s="2">
        <v>6.9190399999999999</v>
      </c>
      <c r="Y24" s="2">
        <v>-19.654050000000002</v>
      </c>
      <c r="Z24" s="2">
        <v>-1.1853</v>
      </c>
      <c r="AA24" s="2">
        <v>-9.6060000000000006E-2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/>
      <c r="AI24" s="2"/>
      <c r="AJ24" s="2">
        <f t="shared" si="3"/>
        <v>-13.920310000000002</v>
      </c>
      <c r="AK24" s="2">
        <f t="shared" si="4"/>
        <v>-9.6060000000000006E-2</v>
      </c>
      <c r="AL24" s="2">
        <f t="shared" si="5"/>
        <v>0</v>
      </c>
      <c r="AM24" s="2">
        <f t="shared" si="9"/>
        <v>0</v>
      </c>
      <c r="AN24" s="2">
        <f t="shared" si="10"/>
        <v>0</v>
      </c>
      <c r="AO24" s="2">
        <f t="shared" si="11"/>
        <v>-14.016370000000002</v>
      </c>
    </row>
    <row r="25" spans="1:41" x14ac:dyDescent="0.35">
      <c r="A25" t="s">
        <v>32</v>
      </c>
      <c r="B25" s="4">
        <v>9940121765</v>
      </c>
      <c r="C25" t="s">
        <v>60</v>
      </c>
      <c r="D25" t="s">
        <v>233</v>
      </c>
      <c r="E25" t="s">
        <v>26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f t="shared" si="0"/>
        <v>0</v>
      </c>
      <c r="S25" s="2">
        <f t="shared" si="1"/>
        <v>0</v>
      </c>
      <c r="T25" s="2">
        <f t="shared" si="2"/>
        <v>0</v>
      </c>
      <c r="U25" s="2">
        <f t="shared" si="6"/>
        <v>0</v>
      </c>
      <c r="V25" s="2">
        <f t="shared" si="7"/>
        <v>0</v>
      </c>
      <c r="W25" s="2">
        <f t="shared" si="8"/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f t="shared" si="3"/>
        <v>0</v>
      </c>
      <c r="AK25" s="2">
        <f t="shared" si="4"/>
        <v>0</v>
      </c>
      <c r="AL25" s="2">
        <f t="shared" si="5"/>
        <v>0</v>
      </c>
      <c r="AM25" s="2">
        <f t="shared" si="9"/>
        <v>0</v>
      </c>
      <c r="AN25" s="2">
        <f t="shared" si="10"/>
        <v>0</v>
      </c>
      <c r="AO25" s="2">
        <f t="shared" si="11"/>
        <v>0</v>
      </c>
    </row>
    <row r="26" spans="1:41" x14ac:dyDescent="0.35">
      <c r="A26" t="s">
        <v>32</v>
      </c>
      <c r="B26" s="4">
        <v>9940490800</v>
      </c>
      <c r="C26" t="s">
        <v>61</v>
      </c>
      <c r="D26" t="s">
        <v>234</v>
      </c>
      <c r="E26" t="s">
        <v>26</v>
      </c>
      <c r="F26" s="2">
        <v>261.48484000000002</v>
      </c>
      <c r="G26" s="2">
        <v>249.70722000000001</v>
      </c>
      <c r="H26" s="2">
        <v>220.86565999999999</v>
      </c>
      <c r="I26" s="2">
        <v>204.81733</v>
      </c>
      <c r="J26" s="2">
        <v>219.31304</v>
      </c>
      <c r="K26" s="2">
        <v>158.99930000000001</v>
      </c>
      <c r="L26" s="2">
        <v>225.69368</v>
      </c>
      <c r="M26" s="2">
        <v>192.62941000000001</v>
      </c>
      <c r="N26" s="2">
        <v>192.16256000000001</v>
      </c>
      <c r="O26" s="2">
        <v>196.17474999999999</v>
      </c>
      <c r="P26" s="2">
        <v>78.857478700000001</v>
      </c>
      <c r="Q26" s="2">
        <v>124.27093910000001</v>
      </c>
      <c r="R26" s="2">
        <f t="shared" si="0"/>
        <v>732.05772000000002</v>
      </c>
      <c r="S26" s="2">
        <f t="shared" si="1"/>
        <v>583.12967000000003</v>
      </c>
      <c r="T26" s="2">
        <f t="shared" si="2"/>
        <v>610.48564999999996</v>
      </c>
      <c r="U26" s="2">
        <f t="shared" si="6"/>
        <v>399.30316780000004</v>
      </c>
      <c r="V26" s="2">
        <f t="shared" si="7"/>
        <v>203.12841780000002</v>
      </c>
      <c r="W26" s="2">
        <f t="shared" si="8"/>
        <v>2324.9762078000003</v>
      </c>
      <c r="X26" s="2">
        <v>97.618139999999997</v>
      </c>
      <c r="Y26" s="2">
        <v>92.498140000000006</v>
      </c>
      <c r="Z26" s="2">
        <v>79.603039999999993</v>
      </c>
      <c r="AA26" s="2">
        <v>68.745710000000003</v>
      </c>
      <c r="AB26" s="2">
        <v>78.122559999999993</v>
      </c>
      <c r="AC26" s="2">
        <v>15.590719999999999</v>
      </c>
      <c r="AD26" s="2">
        <v>75.515839999999997</v>
      </c>
      <c r="AE26" s="2">
        <v>66.141149999999996</v>
      </c>
      <c r="AF26" s="2">
        <v>68.761409999999998</v>
      </c>
      <c r="AG26" s="2">
        <v>70.569460000000007</v>
      </c>
      <c r="AH26" s="2">
        <v>5.0405201000000002</v>
      </c>
      <c r="AI26" s="2">
        <v>42.383510399999999</v>
      </c>
      <c r="AJ26" s="2">
        <f t="shared" si="3"/>
        <v>269.71932000000004</v>
      </c>
      <c r="AK26" s="2">
        <f t="shared" si="4"/>
        <v>162.45899</v>
      </c>
      <c r="AL26" s="2">
        <f t="shared" si="5"/>
        <v>210.41840000000002</v>
      </c>
      <c r="AM26" s="2">
        <f t="shared" si="9"/>
        <v>117.99349050000001</v>
      </c>
      <c r="AN26" s="2">
        <f t="shared" si="10"/>
        <v>47.424030500000001</v>
      </c>
      <c r="AO26" s="2">
        <f t="shared" si="11"/>
        <v>760.59020050000004</v>
      </c>
    </row>
    <row r="27" spans="1:41" x14ac:dyDescent="0.35">
      <c r="A27" t="s">
        <v>32</v>
      </c>
      <c r="B27" s="4">
        <v>9940533933</v>
      </c>
      <c r="C27" t="s">
        <v>62</v>
      </c>
      <c r="D27" t="s">
        <v>235</v>
      </c>
      <c r="E27" t="s">
        <v>26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/>
      <c r="O27" s="2"/>
      <c r="P27" s="2"/>
      <c r="Q27" s="2"/>
      <c r="R27" s="2">
        <f t="shared" si="0"/>
        <v>0</v>
      </c>
      <c r="S27" s="2">
        <f t="shared" si="1"/>
        <v>0</v>
      </c>
      <c r="T27" s="2">
        <f t="shared" si="2"/>
        <v>0</v>
      </c>
      <c r="U27" s="2">
        <f t="shared" si="6"/>
        <v>0</v>
      </c>
      <c r="V27" s="2">
        <f t="shared" si="7"/>
        <v>0</v>
      </c>
      <c r="W27" s="2">
        <f t="shared" si="8"/>
        <v>0</v>
      </c>
      <c r="X27" s="2">
        <v>-2.8484099999999999</v>
      </c>
      <c r="Y27" s="2">
        <v>-3.1322100000000002</v>
      </c>
      <c r="Z27" s="2">
        <v>0.34068999999999999</v>
      </c>
      <c r="AA27" s="2">
        <v>0.33599000000000001</v>
      </c>
      <c r="AB27" s="2">
        <v>0.34105000000000002</v>
      </c>
      <c r="AC27" s="2">
        <v>0.34656999999999999</v>
      </c>
      <c r="AD27" s="2">
        <v>9.1384500000000006</v>
      </c>
      <c r="AE27" s="2">
        <v>0.66795000000000004</v>
      </c>
      <c r="AF27" s="2"/>
      <c r="AG27" s="2"/>
      <c r="AH27" s="2"/>
      <c r="AI27" s="2"/>
      <c r="AJ27" s="2">
        <f t="shared" si="3"/>
        <v>-5.6399299999999997</v>
      </c>
      <c r="AK27" s="2">
        <f t="shared" si="4"/>
        <v>1.0236100000000001</v>
      </c>
      <c r="AL27" s="2">
        <f t="shared" si="5"/>
        <v>9.8064</v>
      </c>
      <c r="AM27" s="2">
        <f t="shared" si="9"/>
        <v>0</v>
      </c>
      <c r="AN27" s="2">
        <f t="shared" si="10"/>
        <v>0</v>
      </c>
      <c r="AO27" s="2">
        <f t="shared" si="11"/>
        <v>5.19008</v>
      </c>
    </row>
    <row r="28" spans="1:41" x14ac:dyDescent="0.35">
      <c r="A28" t="s">
        <v>32</v>
      </c>
      <c r="B28" s="4">
        <v>9940277878</v>
      </c>
      <c r="C28" t="s">
        <v>63</v>
      </c>
      <c r="D28" t="s">
        <v>225</v>
      </c>
      <c r="E28" t="s">
        <v>26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/>
      <c r="Q28" s="2"/>
      <c r="R28" s="2">
        <f t="shared" si="0"/>
        <v>0</v>
      </c>
      <c r="S28" s="2">
        <f t="shared" si="1"/>
        <v>0</v>
      </c>
      <c r="T28" s="2">
        <f t="shared" si="2"/>
        <v>0</v>
      </c>
      <c r="U28" s="2">
        <f t="shared" si="6"/>
        <v>0</v>
      </c>
      <c r="V28" s="2">
        <f t="shared" si="7"/>
        <v>0</v>
      </c>
      <c r="W28" s="2">
        <f t="shared" si="8"/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/>
      <c r="AI28" s="2"/>
      <c r="AJ28" s="2">
        <f t="shared" si="3"/>
        <v>0</v>
      </c>
      <c r="AK28" s="2">
        <f t="shared" si="4"/>
        <v>0</v>
      </c>
      <c r="AL28" s="2">
        <f t="shared" si="5"/>
        <v>0</v>
      </c>
      <c r="AM28" s="2">
        <f t="shared" si="9"/>
        <v>0</v>
      </c>
      <c r="AN28" s="2">
        <f t="shared" si="10"/>
        <v>0</v>
      </c>
      <c r="AO28" s="2">
        <f t="shared" si="11"/>
        <v>0</v>
      </c>
    </row>
    <row r="29" spans="1:41" x14ac:dyDescent="0.35">
      <c r="A29" t="s">
        <v>32</v>
      </c>
      <c r="B29" s="4">
        <v>9940447251</v>
      </c>
      <c r="C29" t="s">
        <v>65</v>
      </c>
      <c r="D29" t="s">
        <v>236</v>
      </c>
      <c r="E29" t="s">
        <v>26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/>
      <c r="N29" s="2"/>
      <c r="O29" s="2"/>
      <c r="P29" s="2"/>
      <c r="Q29" s="2"/>
      <c r="R29" s="2">
        <f t="shared" si="0"/>
        <v>0</v>
      </c>
      <c r="S29" s="2">
        <f t="shared" si="1"/>
        <v>0</v>
      </c>
      <c r="T29" s="2">
        <f t="shared" si="2"/>
        <v>0</v>
      </c>
      <c r="U29" s="2">
        <f t="shared" si="6"/>
        <v>0</v>
      </c>
      <c r="V29" s="2">
        <f t="shared" si="7"/>
        <v>0</v>
      </c>
      <c r="W29" s="2">
        <f t="shared" si="8"/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/>
      <c r="AF29" s="2"/>
      <c r="AG29" s="2"/>
      <c r="AH29" s="2"/>
      <c r="AI29" s="2"/>
      <c r="AJ29" s="2">
        <f t="shared" si="3"/>
        <v>0</v>
      </c>
      <c r="AK29" s="2">
        <f t="shared" si="4"/>
        <v>0</v>
      </c>
      <c r="AL29" s="2">
        <f t="shared" si="5"/>
        <v>0</v>
      </c>
      <c r="AM29" s="2">
        <f t="shared" si="9"/>
        <v>0</v>
      </c>
      <c r="AN29" s="2">
        <f t="shared" si="10"/>
        <v>0</v>
      </c>
      <c r="AO29" s="2">
        <f t="shared" si="11"/>
        <v>0</v>
      </c>
    </row>
    <row r="30" spans="1:41" x14ac:dyDescent="0.35">
      <c r="A30" t="s">
        <v>32</v>
      </c>
      <c r="B30" s="4">
        <v>9940477325</v>
      </c>
      <c r="C30" t="s">
        <v>67</v>
      </c>
      <c r="D30" t="s">
        <v>237</v>
      </c>
      <c r="E30" t="s">
        <v>26</v>
      </c>
      <c r="F30" s="2">
        <v>152.54499999999999</v>
      </c>
      <c r="G30" s="2">
        <v>0</v>
      </c>
      <c r="H30" s="2">
        <v>283.44042999999999</v>
      </c>
      <c r="I30" s="2">
        <v>78.251140000000007</v>
      </c>
      <c r="J30" s="2">
        <v>87.118840000000006</v>
      </c>
      <c r="K30" s="2">
        <v>90.646140000000003</v>
      </c>
      <c r="L30" s="2">
        <v>50.12632</v>
      </c>
      <c r="M30" s="2">
        <v>8.3352500000000003</v>
      </c>
      <c r="N30" s="2">
        <v>6.7152500000000002</v>
      </c>
      <c r="O30" s="2">
        <v>22.449560000000002</v>
      </c>
      <c r="P30" s="2">
        <v>0</v>
      </c>
      <c r="Q30" s="2">
        <v>0</v>
      </c>
      <c r="R30" s="2">
        <f t="shared" si="0"/>
        <v>435.98542999999995</v>
      </c>
      <c r="S30" s="2">
        <f t="shared" si="1"/>
        <v>256.01612</v>
      </c>
      <c r="T30" s="2">
        <f t="shared" si="2"/>
        <v>65.176820000000006</v>
      </c>
      <c r="U30" s="2">
        <f t="shared" si="6"/>
        <v>22.449560000000002</v>
      </c>
      <c r="V30" s="2">
        <f t="shared" si="7"/>
        <v>0</v>
      </c>
      <c r="W30" s="2">
        <f t="shared" si="8"/>
        <v>779.62792999999999</v>
      </c>
      <c r="X30" s="2">
        <v>-71.166830000000004</v>
      </c>
      <c r="Y30" s="2">
        <v>-191.50910999999999</v>
      </c>
      <c r="Z30" s="2">
        <v>209.51434</v>
      </c>
      <c r="AA30" s="2">
        <v>12.66808</v>
      </c>
      <c r="AB30" s="2">
        <v>36.158679999999997</v>
      </c>
      <c r="AC30" s="2">
        <v>23.530519999999999</v>
      </c>
      <c r="AD30" s="2">
        <v>10.92699</v>
      </c>
      <c r="AE30" s="2">
        <v>6.2279299999999997</v>
      </c>
      <c r="AF30" s="2">
        <v>-11.76765</v>
      </c>
      <c r="AG30" s="2">
        <v>21.378060000000001</v>
      </c>
      <c r="AH30" s="2">
        <v>0</v>
      </c>
      <c r="AI30" s="2">
        <v>0</v>
      </c>
      <c r="AJ30" s="2">
        <f t="shared" si="3"/>
        <v>-53.161599999999964</v>
      </c>
      <c r="AK30" s="2">
        <f t="shared" si="4"/>
        <v>72.357279999999989</v>
      </c>
      <c r="AL30" s="2">
        <f t="shared" si="5"/>
        <v>5.3872700000000009</v>
      </c>
      <c r="AM30" s="2">
        <f t="shared" si="9"/>
        <v>21.378060000000001</v>
      </c>
      <c r="AN30" s="2">
        <f t="shared" si="10"/>
        <v>0</v>
      </c>
      <c r="AO30" s="2">
        <f t="shared" si="11"/>
        <v>45.96101000000003</v>
      </c>
    </row>
    <row r="31" spans="1:41" x14ac:dyDescent="0.35">
      <c r="A31" t="s">
        <v>32</v>
      </c>
      <c r="B31" s="4">
        <v>9940547100</v>
      </c>
      <c r="C31" t="s">
        <v>69</v>
      </c>
      <c r="D31" t="s">
        <v>235</v>
      </c>
      <c r="E31" t="s">
        <v>26</v>
      </c>
      <c r="F31" s="2"/>
      <c r="G31" s="2"/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4.2538</v>
      </c>
      <c r="P31" s="2">
        <v>4.2035299999999998</v>
      </c>
      <c r="Q31" s="2">
        <v>4.2035299999999998</v>
      </c>
      <c r="R31" s="2">
        <f t="shared" si="0"/>
        <v>0</v>
      </c>
      <c r="S31" s="2">
        <f t="shared" si="1"/>
        <v>0</v>
      </c>
      <c r="T31" s="2">
        <f t="shared" si="2"/>
        <v>0</v>
      </c>
      <c r="U31" s="2">
        <f t="shared" si="6"/>
        <v>12.66086</v>
      </c>
      <c r="V31" s="2">
        <f t="shared" si="7"/>
        <v>8.4070599999999995</v>
      </c>
      <c r="W31" s="2">
        <f t="shared" si="8"/>
        <v>12.66086</v>
      </c>
      <c r="X31" s="2"/>
      <c r="Y31" s="2"/>
      <c r="Z31" s="2">
        <v>0</v>
      </c>
      <c r="AA31" s="2">
        <v>0</v>
      </c>
      <c r="AB31" s="2">
        <v>0</v>
      </c>
      <c r="AC31" s="2">
        <v>-40.4026</v>
      </c>
      <c r="AD31" s="2">
        <v>-40.246789999999997</v>
      </c>
      <c r="AE31" s="2">
        <v>-39.633450000000003</v>
      </c>
      <c r="AF31" s="2">
        <v>-32.287129999999998</v>
      </c>
      <c r="AG31" s="2">
        <v>-22.577310000000001</v>
      </c>
      <c r="AH31" s="2">
        <v>-8.8320799999999995</v>
      </c>
      <c r="AI31" s="2">
        <v>3.8833099999999998</v>
      </c>
      <c r="AJ31" s="2">
        <f t="shared" si="3"/>
        <v>0</v>
      </c>
      <c r="AK31" s="2">
        <f t="shared" si="4"/>
        <v>-40.4026</v>
      </c>
      <c r="AL31" s="2">
        <f t="shared" si="5"/>
        <v>-112.16737000000001</v>
      </c>
      <c r="AM31" s="2">
        <f t="shared" si="9"/>
        <v>-27.52608</v>
      </c>
      <c r="AN31" s="2">
        <f t="shared" si="10"/>
        <v>-4.9487699999999997</v>
      </c>
      <c r="AO31" s="2">
        <f t="shared" si="11"/>
        <v>-180.09605000000002</v>
      </c>
    </row>
    <row r="32" spans="1:41" x14ac:dyDescent="0.35">
      <c r="A32" t="s">
        <v>32</v>
      </c>
      <c r="B32" s="4">
        <v>9940211845</v>
      </c>
      <c r="C32" t="s">
        <v>70</v>
      </c>
      <c r="D32" t="s">
        <v>238</v>
      </c>
      <c r="E32" t="s">
        <v>26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/>
      <c r="Q32" s="2"/>
      <c r="R32" s="2">
        <f t="shared" si="0"/>
        <v>0</v>
      </c>
      <c r="S32" s="2">
        <f t="shared" si="1"/>
        <v>0</v>
      </c>
      <c r="T32" s="2">
        <f t="shared" si="2"/>
        <v>0</v>
      </c>
      <c r="U32" s="2">
        <f t="shared" si="6"/>
        <v>0</v>
      </c>
      <c r="V32" s="2">
        <f t="shared" si="7"/>
        <v>0</v>
      </c>
      <c r="W32" s="2">
        <f t="shared" si="8"/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/>
      <c r="AI32" s="2"/>
      <c r="AJ32" s="2">
        <f t="shared" si="3"/>
        <v>0</v>
      </c>
      <c r="AK32" s="2">
        <f t="shared" si="4"/>
        <v>0</v>
      </c>
      <c r="AL32" s="2">
        <f t="shared" si="5"/>
        <v>0</v>
      </c>
      <c r="AM32" s="2">
        <f t="shared" si="9"/>
        <v>0</v>
      </c>
      <c r="AN32" s="2">
        <f t="shared" si="10"/>
        <v>0</v>
      </c>
      <c r="AO32" s="2">
        <f t="shared" si="11"/>
        <v>0</v>
      </c>
    </row>
    <row r="33" spans="1:41" x14ac:dyDescent="0.35">
      <c r="A33" t="s">
        <v>32</v>
      </c>
      <c r="B33" s="4">
        <v>9940317872</v>
      </c>
      <c r="C33" t="s">
        <v>71</v>
      </c>
      <c r="D33" t="s">
        <v>239</v>
      </c>
      <c r="E33" t="s">
        <v>26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/>
      <c r="Q33" s="2"/>
      <c r="R33" s="2">
        <f t="shared" si="0"/>
        <v>0</v>
      </c>
      <c r="S33" s="2">
        <f t="shared" si="1"/>
        <v>0</v>
      </c>
      <c r="T33" s="2">
        <f t="shared" si="2"/>
        <v>0</v>
      </c>
      <c r="U33" s="2">
        <f t="shared" si="6"/>
        <v>0</v>
      </c>
      <c r="V33" s="2">
        <f t="shared" si="7"/>
        <v>0</v>
      </c>
      <c r="W33" s="2">
        <f t="shared" si="8"/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/>
      <c r="AI33" s="2"/>
      <c r="AJ33" s="2">
        <f t="shared" si="3"/>
        <v>0</v>
      </c>
      <c r="AK33" s="2">
        <f t="shared" si="4"/>
        <v>0</v>
      </c>
      <c r="AL33" s="2">
        <f t="shared" si="5"/>
        <v>0</v>
      </c>
      <c r="AM33" s="2">
        <f t="shared" si="9"/>
        <v>0</v>
      </c>
      <c r="AN33" s="2">
        <f t="shared" si="10"/>
        <v>0</v>
      </c>
      <c r="AO33" s="2">
        <f t="shared" si="11"/>
        <v>0</v>
      </c>
    </row>
    <row r="34" spans="1:41" x14ac:dyDescent="0.35">
      <c r="A34" t="s">
        <v>32</v>
      </c>
      <c r="B34" s="4">
        <v>9940417542</v>
      </c>
      <c r="C34" t="s">
        <v>72</v>
      </c>
      <c r="D34" t="s">
        <v>221</v>
      </c>
      <c r="E34" t="s">
        <v>26</v>
      </c>
      <c r="F34" s="2">
        <v>-42.026530000000001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/>
      <c r="Q34" s="2"/>
      <c r="R34" s="2">
        <f t="shared" si="0"/>
        <v>-42.026530000000001</v>
      </c>
      <c r="S34" s="2">
        <f t="shared" si="1"/>
        <v>0</v>
      </c>
      <c r="T34" s="2">
        <f t="shared" si="2"/>
        <v>0</v>
      </c>
      <c r="U34" s="2">
        <f t="shared" si="6"/>
        <v>0</v>
      </c>
      <c r="V34" s="2">
        <f t="shared" si="7"/>
        <v>0</v>
      </c>
      <c r="W34" s="2">
        <f t="shared" si="8"/>
        <v>-42.026530000000001</v>
      </c>
      <c r="X34" s="2">
        <v>-42.446800000000003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/>
      <c r="AI34" s="2"/>
      <c r="AJ34" s="2">
        <f t="shared" si="3"/>
        <v>-42.446800000000003</v>
      </c>
      <c r="AK34" s="2">
        <f t="shared" si="4"/>
        <v>0</v>
      </c>
      <c r="AL34" s="2">
        <f t="shared" si="5"/>
        <v>0</v>
      </c>
      <c r="AM34" s="2">
        <f t="shared" si="9"/>
        <v>0</v>
      </c>
      <c r="AN34" s="2">
        <f t="shared" si="10"/>
        <v>0</v>
      </c>
      <c r="AO34" s="2">
        <f t="shared" si="11"/>
        <v>-42.446800000000003</v>
      </c>
    </row>
    <row r="35" spans="1:41" x14ac:dyDescent="0.35">
      <c r="A35" t="s">
        <v>32</v>
      </c>
      <c r="B35" s="4">
        <v>9940486332</v>
      </c>
      <c r="C35" t="s">
        <v>73</v>
      </c>
      <c r="D35" t="s">
        <v>240</v>
      </c>
      <c r="E35" t="s">
        <v>26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/>
      <c r="Q35" s="2"/>
      <c r="R35" s="2">
        <f t="shared" si="0"/>
        <v>0</v>
      </c>
      <c r="S35" s="2">
        <f t="shared" si="1"/>
        <v>0</v>
      </c>
      <c r="T35" s="2">
        <f t="shared" si="2"/>
        <v>0</v>
      </c>
      <c r="U35" s="2">
        <f t="shared" si="6"/>
        <v>0</v>
      </c>
      <c r="V35" s="2">
        <f t="shared" si="7"/>
        <v>0</v>
      </c>
      <c r="W35" s="2">
        <f t="shared" si="8"/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/>
      <c r="AI35" s="2"/>
      <c r="AJ35" s="2">
        <f t="shared" si="3"/>
        <v>0</v>
      </c>
      <c r="AK35" s="2">
        <f t="shared" si="4"/>
        <v>0</v>
      </c>
      <c r="AL35" s="2">
        <f t="shared" si="5"/>
        <v>0</v>
      </c>
      <c r="AM35" s="2">
        <f t="shared" si="9"/>
        <v>0</v>
      </c>
      <c r="AN35" s="2">
        <f t="shared" si="10"/>
        <v>0</v>
      </c>
      <c r="AO35" s="2">
        <f t="shared" si="11"/>
        <v>0</v>
      </c>
    </row>
    <row r="36" spans="1:41" x14ac:dyDescent="0.35">
      <c r="A36" t="s">
        <v>32</v>
      </c>
      <c r="B36" s="4">
        <v>9940512671</v>
      </c>
      <c r="C36" t="s">
        <v>74</v>
      </c>
      <c r="D36" t="s">
        <v>232</v>
      </c>
      <c r="E36" t="s">
        <v>26</v>
      </c>
      <c r="F36" s="2">
        <v>68.255250000000004</v>
      </c>
      <c r="G36" s="2">
        <v>1.0468999999999999</v>
      </c>
      <c r="H36" s="2">
        <v>0</v>
      </c>
      <c r="I36" s="2">
        <v>0</v>
      </c>
      <c r="J36" s="2">
        <v>0</v>
      </c>
      <c r="K36" s="2">
        <v>3.0000000000000001E-5</v>
      </c>
      <c r="L36" s="2">
        <v>0</v>
      </c>
      <c r="M36" s="2">
        <v>0</v>
      </c>
      <c r="N36" s="2">
        <v>0</v>
      </c>
      <c r="O36" s="2">
        <v>0</v>
      </c>
      <c r="P36" s="2"/>
      <c r="Q36" s="2"/>
      <c r="R36" s="2">
        <f t="shared" si="0"/>
        <v>69.302149999999997</v>
      </c>
      <c r="S36" s="2">
        <f t="shared" si="1"/>
        <v>3.0000000000000001E-5</v>
      </c>
      <c r="T36" s="2">
        <f t="shared" si="2"/>
        <v>0</v>
      </c>
      <c r="U36" s="2">
        <f t="shared" si="6"/>
        <v>0</v>
      </c>
      <c r="V36" s="2">
        <f t="shared" si="7"/>
        <v>0</v>
      </c>
      <c r="W36" s="2">
        <f t="shared" si="8"/>
        <v>69.302179999999993</v>
      </c>
      <c r="X36" s="2">
        <v>22.622769999999999</v>
      </c>
      <c r="Y36" s="2">
        <v>-28.146660000000001</v>
      </c>
      <c r="Z36" s="2">
        <v>-3.5242499999999999</v>
      </c>
      <c r="AA36" s="2">
        <v>-6.7867699999999997</v>
      </c>
      <c r="AB36" s="2">
        <v>-0.89534000000000002</v>
      </c>
      <c r="AC36" s="2">
        <v>-0.44835999999999998</v>
      </c>
      <c r="AD36" s="2">
        <v>0</v>
      </c>
      <c r="AE36" s="2">
        <v>0</v>
      </c>
      <c r="AF36" s="2">
        <v>0</v>
      </c>
      <c r="AG36" s="2">
        <v>0</v>
      </c>
      <c r="AH36" s="2"/>
      <c r="AI36" s="2"/>
      <c r="AJ36" s="2">
        <f t="shared" si="3"/>
        <v>-9.0481400000000018</v>
      </c>
      <c r="AK36" s="2">
        <f t="shared" si="4"/>
        <v>-8.130469999999999</v>
      </c>
      <c r="AL36" s="2">
        <f t="shared" si="5"/>
        <v>0</v>
      </c>
      <c r="AM36" s="2">
        <f t="shared" si="9"/>
        <v>0</v>
      </c>
      <c r="AN36" s="2">
        <f t="shared" si="10"/>
        <v>0</v>
      </c>
      <c r="AO36" s="2">
        <f t="shared" si="11"/>
        <v>-17.178609999999999</v>
      </c>
    </row>
    <row r="37" spans="1:41" x14ac:dyDescent="0.35">
      <c r="A37" t="s">
        <v>32</v>
      </c>
      <c r="B37" s="4">
        <v>9940522275</v>
      </c>
      <c r="C37" t="s">
        <v>75</v>
      </c>
      <c r="D37" t="s">
        <v>232</v>
      </c>
      <c r="E37" t="s">
        <v>26</v>
      </c>
      <c r="F37" s="2">
        <v>37.487380000000002</v>
      </c>
      <c r="G37" s="2">
        <v>38.018590000000003</v>
      </c>
      <c r="H37" s="2">
        <v>21.66705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/>
      <c r="Q37" s="2"/>
      <c r="R37" s="2">
        <f t="shared" si="0"/>
        <v>97.173020000000008</v>
      </c>
      <c r="S37" s="2">
        <f t="shared" si="1"/>
        <v>0</v>
      </c>
      <c r="T37" s="2">
        <f t="shared" si="2"/>
        <v>0</v>
      </c>
      <c r="U37" s="2">
        <f t="shared" si="6"/>
        <v>0</v>
      </c>
      <c r="V37" s="2">
        <f t="shared" si="7"/>
        <v>0</v>
      </c>
      <c r="W37" s="2">
        <f t="shared" si="8"/>
        <v>97.173020000000008</v>
      </c>
      <c r="X37" s="2">
        <v>11.82288</v>
      </c>
      <c r="Y37" s="2">
        <v>10.333170000000001</v>
      </c>
      <c r="Z37" s="2">
        <v>7.53512</v>
      </c>
      <c r="AA37" s="2">
        <v>-14.091519999999999</v>
      </c>
      <c r="AB37" s="2">
        <v>-10.20927</v>
      </c>
      <c r="AC37" s="2">
        <v>-10.624879999999999</v>
      </c>
      <c r="AD37" s="2">
        <v>-2.7656299999999998</v>
      </c>
      <c r="AE37" s="2">
        <v>1.0183599999999999</v>
      </c>
      <c r="AF37" s="2">
        <v>6.7369999999999999E-2</v>
      </c>
      <c r="AG37" s="2">
        <v>0</v>
      </c>
      <c r="AH37" s="2"/>
      <c r="AI37" s="2"/>
      <c r="AJ37" s="2">
        <f t="shared" si="3"/>
        <v>29.69117</v>
      </c>
      <c r="AK37" s="2">
        <f t="shared" si="4"/>
        <v>-34.925669999999997</v>
      </c>
      <c r="AL37" s="2">
        <f t="shared" si="5"/>
        <v>-1.6798999999999999</v>
      </c>
      <c r="AM37" s="2">
        <f t="shared" si="9"/>
        <v>0</v>
      </c>
      <c r="AN37" s="2">
        <f t="shared" si="10"/>
        <v>0</v>
      </c>
      <c r="AO37" s="2">
        <f t="shared" si="11"/>
        <v>-6.914399999999997</v>
      </c>
    </row>
    <row r="38" spans="1:41" x14ac:dyDescent="0.35">
      <c r="A38" t="s">
        <v>32</v>
      </c>
      <c r="B38" s="4">
        <v>9940554399</v>
      </c>
      <c r="C38" t="s">
        <v>76</v>
      </c>
      <c r="D38" t="s">
        <v>241</v>
      </c>
      <c r="E38" t="s">
        <v>26</v>
      </c>
      <c r="F38" s="2"/>
      <c r="G38" s="2"/>
      <c r="H38" s="2">
        <v>0</v>
      </c>
      <c r="I38" s="2">
        <v>56.074579999999997</v>
      </c>
      <c r="J38" s="2">
        <v>0.70340000000000003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/>
      <c r="Q38" s="2"/>
      <c r="R38" s="2">
        <f t="shared" si="0"/>
        <v>0</v>
      </c>
      <c r="S38" s="2">
        <f t="shared" si="1"/>
        <v>56.777979999999999</v>
      </c>
      <c r="T38" s="2">
        <f t="shared" si="2"/>
        <v>0</v>
      </c>
      <c r="U38" s="2">
        <f t="shared" si="6"/>
        <v>0</v>
      </c>
      <c r="V38" s="2">
        <f t="shared" si="7"/>
        <v>0</v>
      </c>
      <c r="W38" s="2">
        <f t="shared" si="8"/>
        <v>56.777979999999999</v>
      </c>
      <c r="X38" s="2"/>
      <c r="Y38" s="2"/>
      <c r="Z38" s="2">
        <v>0</v>
      </c>
      <c r="AA38" s="2">
        <v>24.992439999999998</v>
      </c>
      <c r="AB38" s="2">
        <v>8.77E-3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/>
      <c r="AI38" s="2"/>
      <c r="AJ38" s="2">
        <f t="shared" si="3"/>
        <v>0</v>
      </c>
      <c r="AK38" s="2">
        <f t="shared" si="4"/>
        <v>25.001209999999997</v>
      </c>
      <c r="AL38" s="2">
        <f t="shared" si="5"/>
        <v>0</v>
      </c>
      <c r="AM38" s="2">
        <f t="shared" si="9"/>
        <v>0</v>
      </c>
      <c r="AN38" s="2">
        <f t="shared" si="10"/>
        <v>0</v>
      </c>
      <c r="AO38" s="2">
        <f t="shared" si="11"/>
        <v>25.001209999999997</v>
      </c>
    </row>
    <row r="39" spans="1:41" x14ac:dyDescent="0.35">
      <c r="A39" t="s">
        <v>32</v>
      </c>
      <c r="B39" s="4">
        <v>9940561122</v>
      </c>
      <c r="C39" t="s">
        <v>77</v>
      </c>
      <c r="D39" t="s">
        <v>242</v>
      </c>
      <c r="E39" t="s">
        <v>26</v>
      </c>
      <c r="F39" s="2"/>
      <c r="G39" s="2"/>
      <c r="H39" s="2"/>
      <c r="I39" s="2"/>
      <c r="J39" s="2">
        <v>0</v>
      </c>
      <c r="K39" s="2">
        <v>61.050649999999997</v>
      </c>
      <c r="L39" s="2">
        <v>15.082420000000001</v>
      </c>
      <c r="M39" s="2">
        <v>23.532119999999999</v>
      </c>
      <c r="N39" s="2">
        <v>10.82127</v>
      </c>
      <c r="O39" s="2">
        <v>3.0390799999999998</v>
      </c>
      <c r="P39" s="2">
        <v>15.55222</v>
      </c>
      <c r="Q39" s="2">
        <v>0</v>
      </c>
      <c r="R39" s="2">
        <f t="shared" si="0"/>
        <v>0</v>
      </c>
      <c r="S39" s="2">
        <f t="shared" si="1"/>
        <v>61.050649999999997</v>
      </c>
      <c r="T39" s="2">
        <f t="shared" si="2"/>
        <v>49.435809999999996</v>
      </c>
      <c r="U39" s="2">
        <f t="shared" si="6"/>
        <v>18.5913</v>
      </c>
      <c r="V39" s="2">
        <f t="shared" si="7"/>
        <v>15.55222</v>
      </c>
      <c r="W39" s="2">
        <f t="shared" si="8"/>
        <v>129.07775999999998</v>
      </c>
      <c r="X39" s="2"/>
      <c r="Y39" s="2"/>
      <c r="Z39" s="2"/>
      <c r="AA39" s="2"/>
      <c r="AB39" s="2">
        <v>0</v>
      </c>
      <c r="AC39" s="2">
        <v>22.162690000000001</v>
      </c>
      <c r="AD39" s="2">
        <v>3.8505400000000001</v>
      </c>
      <c r="AE39" s="2">
        <v>3.7713800000000002</v>
      </c>
      <c r="AF39" s="2">
        <v>1.74234</v>
      </c>
      <c r="AG39" s="2">
        <v>0.49348999999999998</v>
      </c>
      <c r="AH39" s="2">
        <v>14.13402</v>
      </c>
      <c r="AI39" s="2">
        <v>0</v>
      </c>
      <c r="AJ39" s="2">
        <f t="shared" si="3"/>
        <v>0</v>
      </c>
      <c r="AK39" s="2">
        <f t="shared" si="4"/>
        <v>22.162690000000001</v>
      </c>
      <c r="AL39" s="2">
        <f t="shared" si="5"/>
        <v>9.3642599999999998</v>
      </c>
      <c r="AM39" s="2">
        <f t="shared" si="9"/>
        <v>14.627509999999999</v>
      </c>
      <c r="AN39" s="2">
        <f t="shared" si="10"/>
        <v>14.13402</v>
      </c>
      <c r="AO39" s="2">
        <f t="shared" si="11"/>
        <v>46.15446</v>
      </c>
    </row>
    <row r="40" spans="1:41" x14ac:dyDescent="0.35">
      <c r="A40" t="s">
        <v>32</v>
      </c>
      <c r="B40" s="4">
        <v>9940565208</v>
      </c>
      <c r="C40" t="s">
        <v>78</v>
      </c>
      <c r="D40" t="s">
        <v>243</v>
      </c>
      <c r="E40" t="s">
        <v>26</v>
      </c>
      <c r="F40" s="2"/>
      <c r="G40" s="2"/>
      <c r="H40" s="2"/>
      <c r="I40" s="2"/>
      <c r="J40" s="2"/>
      <c r="K40" s="2">
        <v>6.8599800000000002</v>
      </c>
      <c r="L40" s="2">
        <v>1.1902600000000001</v>
      </c>
      <c r="M40" s="2">
        <v>106.83123000000001</v>
      </c>
      <c r="N40" s="2">
        <v>174.29733999999999</v>
      </c>
      <c r="O40" s="2">
        <v>275.93660999999997</v>
      </c>
      <c r="P40" s="2">
        <v>191.01428000000001</v>
      </c>
      <c r="Q40" s="2">
        <v>174.27543</v>
      </c>
      <c r="R40" s="2">
        <f t="shared" si="0"/>
        <v>0</v>
      </c>
      <c r="S40" s="2">
        <f t="shared" si="1"/>
        <v>6.8599800000000002</v>
      </c>
      <c r="T40" s="2">
        <f t="shared" si="2"/>
        <v>282.31882999999999</v>
      </c>
      <c r="U40" s="2">
        <f t="shared" si="6"/>
        <v>641.22631999999999</v>
      </c>
      <c r="V40" s="2">
        <f t="shared" si="7"/>
        <v>365.28971000000001</v>
      </c>
      <c r="W40" s="2">
        <f t="shared" si="8"/>
        <v>930.40512999999999</v>
      </c>
      <c r="X40" s="2"/>
      <c r="Y40" s="2"/>
      <c r="Z40" s="2"/>
      <c r="AA40" s="2"/>
      <c r="AB40" s="2"/>
      <c r="AC40" s="2">
        <v>3.25197</v>
      </c>
      <c r="AD40" s="2">
        <v>0.52612999999999999</v>
      </c>
      <c r="AE40" s="2">
        <v>57.23198</v>
      </c>
      <c r="AF40" s="2">
        <v>86.498320000000007</v>
      </c>
      <c r="AG40" s="2">
        <v>144.02152000000001</v>
      </c>
      <c r="AH40" s="2">
        <v>88.22072</v>
      </c>
      <c r="AI40" s="2">
        <v>79.413880000000006</v>
      </c>
      <c r="AJ40" s="2">
        <f t="shared" si="3"/>
        <v>0</v>
      </c>
      <c r="AK40" s="2">
        <f t="shared" si="4"/>
        <v>3.25197</v>
      </c>
      <c r="AL40" s="2">
        <f t="shared" si="5"/>
        <v>144.25643000000002</v>
      </c>
      <c r="AM40" s="2">
        <f t="shared" si="9"/>
        <v>311.65611999999999</v>
      </c>
      <c r="AN40" s="2">
        <f t="shared" si="10"/>
        <v>167.63460000000001</v>
      </c>
      <c r="AO40" s="2">
        <f t="shared" si="11"/>
        <v>459.16452000000004</v>
      </c>
    </row>
    <row r="41" spans="1:41" x14ac:dyDescent="0.35">
      <c r="A41" t="s">
        <v>32</v>
      </c>
      <c r="B41" s="4">
        <v>9940574084</v>
      </c>
      <c r="C41" t="s">
        <v>79</v>
      </c>
      <c r="D41" t="s">
        <v>225</v>
      </c>
      <c r="E41" t="s">
        <v>26</v>
      </c>
      <c r="F41" s="2"/>
      <c r="G41" s="2"/>
      <c r="H41" s="2"/>
      <c r="I41" s="2"/>
      <c r="J41" s="2"/>
      <c r="K41" s="2"/>
      <c r="L41" s="2"/>
      <c r="M41" s="2"/>
      <c r="N41" s="2">
        <v>431.90938</v>
      </c>
      <c r="O41" s="2">
        <v>29.60886</v>
      </c>
      <c r="P41" s="2">
        <v>19.238550100000001</v>
      </c>
      <c r="Q41" s="2">
        <v>25.194915900000002</v>
      </c>
      <c r="R41" s="2">
        <f t="shared" si="0"/>
        <v>0</v>
      </c>
      <c r="S41" s="2">
        <f t="shared" si="1"/>
        <v>0</v>
      </c>
      <c r="T41" s="2">
        <f t="shared" si="2"/>
        <v>431.90938</v>
      </c>
      <c r="U41" s="2">
        <f t="shared" si="6"/>
        <v>74.042326000000003</v>
      </c>
      <c r="V41" s="2">
        <f t="shared" si="7"/>
        <v>44.433466000000003</v>
      </c>
      <c r="W41" s="2">
        <f t="shared" si="8"/>
        <v>505.951706</v>
      </c>
      <c r="X41" s="2"/>
      <c r="Y41" s="2"/>
      <c r="Z41" s="2"/>
      <c r="AA41" s="2"/>
      <c r="AB41" s="2"/>
      <c r="AC41" s="2"/>
      <c r="AD41" s="2"/>
      <c r="AE41" s="2"/>
      <c r="AF41" s="2">
        <v>314.64190000000002</v>
      </c>
      <c r="AG41" s="2">
        <v>42.274610000000003</v>
      </c>
      <c r="AH41" s="2">
        <v>16.544050599999998</v>
      </c>
      <c r="AI41" s="2">
        <v>-33.965947399999997</v>
      </c>
      <c r="AJ41" s="2">
        <f t="shared" si="3"/>
        <v>0</v>
      </c>
      <c r="AK41" s="2">
        <f t="shared" si="4"/>
        <v>0</v>
      </c>
      <c r="AL41" s="2">
        <f t="shared" si="5"/>
        <v>314.64190000000002</v>
      </c>
      <c r="AM41" s="2">
        <f t="shared" si="9"/>
        <v>24.852713200000004</v>
      </c>
      <c r="AN41" s="2">
        <f t="shared" si="10"/>
        <v>-17.421896799999999</v>
      </c>
      <c r="AO41" s="2">
        <f t="shared" si="11"/>
        <v>339.4946132</v>
      </c>
    </row>
    <row r="42" spans="1:41" x14ac:dyDescent="0.35">
      <c r="A42" t="s">
        <v>32</v>
      </c>
      <c r="B42" s="4">
        <v>9940378649</v>
      </c>
      <c r="C42" t="s">
        <v>64</v>
      </c>
      <c r="D42" t="s">
        <v>235</v>
      </c>
      <c r="E42" t="s">
        <v>26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/>
      <c r="Q42" s="2"/>
      <c r="R42" s="2">
        <f t="shared" si="0"/>
        <v>0</v>
      </c>
      <c r="S42" s="2">
        <f t="shared" si="1"/>
        <v>0</v>
      </c>
      <c r="T42" s="2">
        <f t="shared" si="2"/>
        <v>0</v>
      </c>
      <c r="U42" s="2">
        <f t="shared" si="6"/>
        <v>0</v>
      </c>
      <c r="V42" s="2">
        <f t="shared" si="7"/>
        <v>0</v>
      </c>
      <c r="W42" s="2">
        <f t="shared" si="8"/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/>
      <c r="AI42" s="2"/>
      <c r="AJ42" s="2">
        <f t="shared" si="3"/>
        <v>0</v>
      </c>
      <c r="AK42" s="2">
        <f t="shared" si="4"/>
        <v>0</v>
      </c>
      <c r="AL42" s="2">
        <f t="shared" si="5"/>
        <v>0</v>
      </c>
      <c r="AM42" s="2">
        <f t="shared" si="9"/>
        <v>0</v>
      </c>
      <c r="AN42" s="2">
        <f t="shared" si="10"/>
        <v>0</v>
      </c>
      <c r="AO42" s="2">
        <f t="shared" si="11"/>
        <v>0</v>
      </c>
    </row>
    <row r="43" spans="1:41" x14ac:dyDescent="0.35">
      <c r="A43" t="s">
        <v>32</v>
      </c>
      <c r="B43" s="4">
        <v>9940464605</v>
      </c>
      <c r="C43" t="s">
        <v>80</v>
      </c>
      <c r="D43" t="s">
        <v>224</v>
      </c>
      <c r="E43" t="s">
        <v>26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/>
      <c r="Q43" s="2"/>
      <c r="R43" s="2">
        <f t="shared" si="0"/>
        <v>0</v>
      </c>
      <c r="S43" s="2">
        <f t="shared" si="1"/>
        <v>0</v>
      </c>
      <c r="T43" s="2">
        <f t="shared" si="2"/>
        <v>0</v>
      </c>
      <c r="U43" s="2">
        <f t="shared" si="6"/>
        <v>0</v>
      </c>
      <c r="V43" s="2">
        <f t="shared" si="7"/>
        <v>0</v>
      </c>
      <c r="W43" s="2">
        <f t="shared" si="8"/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/>
      <c r="AI43" s="2"/>
      <c r="AJ43" s="2">
        <f t="shared" si="3"/>
        <v>0</v>
      </c>
      <c r="AK43" s="2">
        <f t="shared" si="4"/>
        <v>0</v>
      </c>
      <c r="AL43" s="2">
        <f t="shared" si="5"/>
        <v>0</v>
      </c>
      <c r="AM43" s="2">
        <f t="shared" si="9"/>
        <v>0</v>
      </c>
      <c r="AN43" s="2">
        <f t="shared" si="10"/>
        <v>0</v>
      </c>
      <c r="AO43" s="2">
        <f t="shared" si="11"/>
        <v>0</v>
      </c>
    </row>
    <row r="44" spans="1:41" x14ac:dyDescent="0.35">
      <c r="A44" t="s">
        <v>32</v>
      </c>
      <c r="B44" s="4">
        <v>9940493512</v>
      </c>
      <c r="C44" t="s">
        <v>81</v>
      </c>
      <c r="D44" t="s">
        <v>244</v>
      </c>
      <c r="E44" t="s">
        <v>26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/>
      <c r="N44" s="2"/>
      <c r="O44" s="2"/>
      <c r="P44" s="2"/>
      <c r="Q44" s="2"/>
      <c r="R44" s="2">
        <f t="shared" si="0"/>
        <v>0</v>
      </c>
      <c r="S44" s="2">
        <f t="shared" si="1"/>
        <v>0</v>
      </c>
      <c r="T44" s="2">
        <f t="shared" si="2"/>
        <v>0</v>
      </c>
      <c r="U44" s="2">
        <f t="shared" si="6"/>
        <v>0</v>
      </c>
      <c r="V44" s="2">
        <f t="shared" si="7"/>
        <v>0</v>
      </c>
      <c r="W44" s="2">
        <f t="shared" si="8"/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/>
      <c r="AF44" s="2"/>
      <c r="AG44" s="2"/>
      <c r="AH44" s="2"/>
      <c r="AI44" s="2"/>
      <c r="AJ44" s="2">
        <f t="shared" si="3"/>
        <v>0</v>
      </c>
      <c r="AK44" s="2">
        <f t="shared" si="4"/>
        <v>0</v>
      </c>
      <c r="AL44" s="2">
        <f t="shared" si="5"/>
        <v>0</v>
      </c>
      <c r="AM44" s="2">
        <f t="shared" si="9"/>
        <v>0</v>
      </c>
      <c r="AN44" s="2">
        <f t="shared" si="10"/>
        <v>0</v>
      </c>
      <c r="AO44" s="2">
        <f t="shared" si="11"/>
        <v>0</v>
      </c>
    </row>
    <row r="45" spans="1:41" x14ac:dyDescent="0.35">
      <c r="A45" t="s">
        <v>32</v>
      </c>
      <c r="B45" s="4">
        <v>9940503547</v>
      </c>
      <c r="C45" t="s">
        <v>82</v>
      </c>
      <c r="D45" t="s">
        <v>242</v>
      </c>
      <c r="E45" t="s">
        <v>26</v>
      </c>
      <c r="F45" s="2">
        <v>5.1970000000000002E-2</v>
      </c>
      <c r="G45" s="2">
        <v>12.277089999999999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f t="shared" si="0"/>
        <v>12.32906</v>
      </c>
      <c r="S45" s="2">
        <f t="shared" si="1"/>
        <v>0</v>
      </c>
      <c r="T45" s="2">
        <f t="shared" si="2"/>
        <v>0</v>
      </c>
      <c r="U45" s="2">
        <f t="shared" si="6"/>
        <v>0</v>
      </c>
      <c r="V45" s="2">
        <f t="shared" si="7"/>
        <v>0</v>
      </c>
      <c r="W45" s="2">
        <f t="shared" si="8"/>
        <v>12.32906</v>
      </c>
      <c r="X45" s="2">
        <v>-0.89732000000000001</v>
      </c>
      <c r="Y45" s="2">
        <v>4.0953900000000001</v>
      </c>
      <c r="Z45" s="2">
        <v>-1.0579499999999999</v>
      </c>
      <c r="AA45" s="2">
        <v>-1.00895</v>
      </c>
      <c r="AB45" s="2">
        <v>-1.00895</v>
      </c>
      <c r="AC45" s="2">
        <v>-1.00895</v>
      </c>
      <c r="AD45" s="2">
        <v>-0.99895</v>
      </c>
      <c r="AE45" s="2">
        <v>-0.99895</v>
      </c>
      <c r="AF45" s="2">
        <v>-0.99895</v>
      </c>
      <c r="AG45" s="2">
        <v>-0.99895</v>
      </c>
      <c r="AH45" s="2">
        <v>-0.99895</v>
      </c>
      <c r="AI45" s="2">
        <v>-0.99895</v>
      </c>
      <c r="AJ45" s="2">
        <f t="shared" si="3"/>
        <v>2.14012</v>
      </c>
      <c r="AK45" s="2">
        <f t="shared" si="4"/>
        <v>-3.02685</v>
      </c>
      <c r="AL45" s="2">
        <f t="shared" si="5"/>
        <v>-2.9968500000000002</v>
      </c>
      <c r="AM45" s="2">
        <f t="shared" si="9"/>
        <v>-2.9968500000000002</v>
      </c>
      <c r="AN45" s="2">
        <f t="shared" si="10"/>
        <v>-1.9979</v>
      </c>
      <c r="AO45" s="2">
        <f t="shared" si="11"/>
        <v>-6.8804300000000005</v>
      </c>
    </row>
    <row r="46" spans="1:41" x14ac:dyDescent="0.35">
      <c r="A46" t="s">
        <v>32</v>
      </c>
      <c r="B46" s="4">
        <v>9940547135</v>
      </c>
      <c r="C46" t="s">
        <v>83</v>
      </c>
      <c r="D46" t="s">
        <v>240</v>
      </c>
      <c r="E46" t="s">
        <v>26</v>
      </c>
      <c r="F46" s="2">
        <v>162.78502</v>
      </c>
      <c r="G46" s="2">
        <v>594.96178999999995</v>
      </c>
      <c r="H46" s="2">
        <v>335.71620000000001</v>
      </c>
      <c r="I46" s="2">
        <v>277.91658000000001</v>
      </c>
      <c r="J46" s="2">
        <v>324.31171000000001</v>
      </c>
      <c r="K46" s="2">
        <v>244.38533000000001</v>
      </c>
      <c r="L46" s="2">
        <v>226.82628</v>
      </c>
      <c r="M46" s="2">
        <v>215.53785999999999</v>
      </c>
      <c r="N46" s="2">
        <v>52.877510000000001</v>
      </c>
      <c r="O46" s="2">
        <v>0</v>
      </c>
      <c r="P46" s="2">
        <v>-113.09215279999999</v>
      </c>
      <c r="Q46" s="2">
        <v>39.488926399999997</v>
      </c>
      <c r="R46" s="2">
        <f t="shared" si="0"/>
        <v>1093.4630099999999</v>
      </c>
      <c r="S46" s="2">
        <f t="shared" si="1"/>
        <v>846.61362000000008</v>
      </c>
      <c r="T46" s="2">
        <f t="shared" si="2"/>
        <v>495.24165000000005</v>
      </c>
      <c r="U46" s="2">
        <f t="shared" si="6"/>
        <v>-73.603226399999997</v>
      </c>
      <c r="V46" s="2">
        <f t="shared" si="7"/>
        <v>-73.603226399999997</v>
      </c>
      <c r="W46" s="2">
        <f t="shared" si="8"/>
        <v>2361.7150535999999</v>
      </c>
      <c r="X46" s="2">
        <v>56.057459999999999</v>
      </c>
      <c r="Y46" s="2">
        <v>210.85422</v>
      </c>
      <c r="Z46" s="2">
        <v>110.69521</v>
      </c>
      <c r="AA46" s="2">
        <v>88.690860000000001</v>
      </c>
      <c r="AB46" s="2">
        <v>100.28735</v>
      </c>
      <c r="AC46" s="2">
        <v>78.687479999999994</v>
      </c>
      <c r="AD46" s="2">
        <v>72.3446</v>
      </c>
      <c r="AE46" s="2">
        <v>57.913559999999997</v>
      </c>
      <c r="AF46" s="2">
        <v>-45.420059999999999</v>
      </c>
      <c r="AG46" s="2">
        <v>-94.794820000000001</v>
      </c>
      <c r="AH46" s="2">
        <v>170.01464480000001</v>
      </c>
      <c r="AI46" s="2">
        <v>-5.7976776000000001</v>
      </c>
      <c r="AJ46" s="2">
        <f t="shared" si="3"/>
        <v>377.60689000000002</v>
      </c>
      <c r="AK46" s="2">
        <f t="shared" si="4"/>
        <v>267.66568999999998</v>
      </c>
      <c r="AL46" s="2">
        <f t="shared" si="5"/>
        <v>84.838099999999997</v>
      </c>
      <c r="AM46" s="2">
        <f t="shared" si="9"/>
        <v>69.422147200000012</v>
      </c>
      <c r="AN46" s="2">
        <f t="shared" si="10"/>
        <v>164.2169672</v>
      </c>
      <c r="AO46" s="2">
        <f t="shared" si="11"/>
        <v>799.53282720000004</v>
      </c>
    </row>
    <row r="47" spans="1:41" x14ac:dyDescent="0.35">
      <c r="A47" t="s">
        <v>32</v>
      </c>
      <c r="B47" s="4">
        <v>9940548081</v>
      </c>
      <c r="C47" t="s">
        <v>84</v>
      </c>
      <c r="D47" t="s">
        <v>245</v>
      </c>
      <c r="E47" t="s">
        <v>26</v>
      </c>
      <c r="F47" s="2"/>
      <c r="G47" s="2">
        <v>1.6790499999999999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f t="shared" si="0"/>
        <v>1.6790499999999999</v>
      </c>
      <c r="S47" s="2">
        <f t="shared" si="1"/>
        <v>0</v>
      </c>
      <c r="T47" s="2">
        <f t="shared" si="2"/>
        <v>0</v>
      </c>
      <c r="U47" s="2">
        <f t="shared" si="6"/>
        <v>0</v>
      </c>
      <c r="V47" s="2">
        <f t="shared" si="7"/>
        <v>0</v>
      </c>
      <c r="W47" s="2">
        <f t="shared" si="8"/>
        <v>1.6790499999999999</v>
      </c>
      <c r="X47" s="2"/>
      <c r="Y47" s="2">
        <v>1.6790499999999999</v>
      </c>
      <c r="Z47" s="2">
        <v>-6.6159999999999997E-2</v>
      </c>
      <c r="AA47" s="2">
        <v>-6.6250000000000003E-2</v>
      </c>
      <c r="AB47" s="2">
        <v>-6.7970000000000003E-2</v>
      </c>
      <c r="AC47" s="2">
        <v>-7.0830000000000004E-2</v>
      </c>
      <c r="AD47" s="2">
        <v>-1.797E-2</v>
      </c>
      <c r="AE47" s="2">
        <v>-6.6699999999999995E-2</v>
      </c>
      <c r="AF47" s="2">
        <v>-6.8750000000000006E-2</v>
      </c>
      <c r="AG47" s="2">
        <v>-0.11817</v>
      </c>
      <c r="AH47" s="2">
        <v>0.52810999999999997</v>
      </c>
      <c r="AI47" s="2">
        <v>0</v>
      </c>
      <c r="AJ47" s="2">
        <f t="shared" si="3"/>
        <v>1.6128899999999999</v>
      </c>
      <c r="AK47" s="2">
        <f t="shared" si="4"/>
        <v>-0.20505000000000001</v>
      </c>
      <c r="AL47" s="2">
        <f t="shared" si="5"/>
        <v>-0.15342</v>
      </c>
      <c r="AM47" s="2">
        <f t="shared" si="9"/>
        <v>0.40993999999999997</v>
      </c>
      <c r="AN47" s="2">
        <f t="shared" si="10"/>
        <v>0.52810999999999997</v>
      </c>
      <c r="AO47" s="2">
        <f t="shared" si="11"/>
        <v>1.6643600000000001</v>
      </c>
    </row>
    <row r="48" spans="1:41" x14ac:dyDescent="0.35">
      <c r="A48" t="s">
        <v>32</v>
      </c>
      <c r="B48" s="4">
        <v>9940548132</v>
      </c>
      <c r="C48" t="s">
        <v>85</v>
      </c>
      <c r="D48" t="s">
        <v>242</v>
      </c>
      <c r="E48" t="s">
        <v>26</v>
      </c>
      <c r="F48" s="2"/>
      <c r="G48" s="2">
        <v>68.5501</v>
      </c>
      <c r="H48" s="2">
        <v>38.186500000000002</v>
      </c>
      <c r="I48" s="2">
        <v>22.1814</v>
      </c>
      <c r="J48" s="2">
        <v>9.6120000000000001</v>
      </c>
      <c r="K48" s="2">
        <v>3.91</v>
      </c>
      <c r="L48" s="2">
        <v>-11.428100000000001</v>
      </c>
      <c r="M48" s="2">
        <v>0</v>
      </c>
      <c r="N48" s="2">
        <v>0</v>
      </c>
      <c r="O48" s="2">
        <v>0</v>
      </c>
      <c r="P48" s="2">
        <v>31.402000000000001</v>
      </c>
      <c r="Q48" s="2">
        <v>0</v>
      </c>
      <c r="R48" s="2">
        <f t="shared" si="0"/>
        <v>106.73660000000001</v>
      </c>
      <c r="S48" s="2">
        <f t="shared" si="1"/>
        <v>35.703400000000002</v>
      </c>
      <c r="T48" s="2">
        <f t="shared" si="2"/>
        <v>-11.428100000000001</v>
      </c>
      <c r="U48" s="2">
        <f t="shared" si="6"/>
        <v>31.402000000000001</v>
      </c>
      <c r="V48" s="2">
        <f t="shared" si="7"/>
        <v>31.402000000000001</v>
      </c>
      <c r="W48" s="2">
        <f t="shared" si="8"/>
        <v>162.41390000000001</v>
      </c>
      <c r="X48" s="2"/>
      <c r="Y48" s="2">
        <v>60.123939999999997</v>
      </c>
      <c r="Z48" s="2">
        <v>25.221160000000001</v>
      </c>
      <c r="AA48" s="2">
        <v>14.63528</v>
      </c>
      <c r="AB48" s="2">
        <v>0.37635999999999997</v>
      </c>
      <c r="AC48" s="2">
        <v>-7.8044900000000004</v>
      </c>
      <c r="AD48" s="2">
        <v>-18.068110000000001</v>
      </c>
      <c r="AE48" s="2">
        <v>-0.85541999999999996</v>
      </c>
      <c r="AF48" s="2">
        <v>5.1909999999999998E-2</v>
      </c>
      <c r="AG48" s="2">
        <v>5.6680000000000001E-2</v>
      </c>
      <c r="AH48" s="2">
        <v>-8.7224000000000004</v>
      </c>
      <c r="AI48" s="2">
        <v>0</v>
      </c>
      <c r="AJ48" s="2">
        <f t="shared" si="3"/>
        <v>85.345100000000002</v>
      </c>
      <c r="AK48" s="2">
        <f t="shared" si="4"/>
        <v>7.2071499999999995</v>
      </c>
      <c r="AL48" s="2">
        <f t="shared" si="5"/>
        <v>-18.87162</v>
      </c>
      <c r="AM48" s="2">
        <f t="shared" si="9"/>
        <v>-8.6657200000000003</v>
      </c>
      <c r="AN48" s="2">
        <f t="shared" si="10"/>
        <v>-8.7224000000000004</v>
      </c>
      <c r="AO48" s="2">
        <f t="shared" si="11"/>
        <v>65.014910000000015</v>
      </c>
    </row>
    <row r="49" spans="1:41" x14ac:dyDescent="0.35">
      <c r="A49" t="s">
        <v>32</v>
      </c>
      <c r="B49" s="4">
        <v>9940575995</v>
      </c>
      <c r="C49" t="s">
        <v>86</v>
      </c>
      <c r="D49" t="s">
        <v>231</v>
      </c>
      <c r="E49" t="s">
        <v>26</v>
      </c>
      <c r="F49" s="2"/>
      <c r="G49" s="2"/>
      <c r="H49" s="2"/>
      <c r="I49" s="2"/>
      <c r="J49" s="2"/>
      <c r="K49" s="2"/>
      <c r="L49" s="2"/>
      <c r="M49" s="2"/>
      <c r="N49" s="2">
        <v>75.540090000000006</v>
      </c>
      <c r="O49" s="2">
        <v>86.649289999999993</v>
      </c>
      <c r="P49" s="2">
        <v>0</v>
      </c>
      <c r="Q49" s="2">
        <v>0</v>
      </c>
      <c r="R49" s="2">
        <f t="shared" si="0"/>
        <v>0</v>
      </c>
      <c r="S49" s="2">
        <f t="shared" si="1"/>
        <v>0</v>
      </c>
      <c r="T49" s="2">
        <f t="shared" si="2"/>
        <v>75.540090000000006</v>
      </c>
      <c r="U49" s="2">
        <f t="shared" si="6"/>
        <v>86.649289999999993</v>
      </c>
      <c r="V49" s="2">
        <f t="shared" si="7"/>
        <v>0</v>
      </c>
      <c r="W49" s="2">
        <f t="shared" si="8"/>
        <v>162.18938</v>
      </c>
      <c r="X49" s="2"/>
      <c r="Y49" s="2"/>
      <c r="Z49" s="2"/>
      <c r="AA49" s="2"/>
      <c r="AB49" s="2"/>
      <c r="AC49" s="2"/>
      <c r="AD49" s="2"/>
      <c r="AE49" s="2"/>
      <c r="AF49" s="2">
        <v>75.540090000000006</v>
      </c>
      <c r="AG49" s="2">
        <v>-19.700769999999999</v>
      </c>
      <c r="AH49" s="2">
        <v>5.1870450000000003</v>
      </c>
      <c r="AI49" s="2">
        <v>0</v>
      </c>
      <c r="AJ49" s="2">
        <f t="shared" si="3"/>
        <v>0</v>
      </c>
      <c r="AK49" s="2">
        <f t="shared" si="4"/>
        <v>0</v>
      </c>
      <c r="AL49" s="2">
        <f t="shared" si="5"/>
        <v>75.540090000000006</v>
      </c>
      <c r="AM49" s="2">
        <f t="shared" si="9"/>
        <v>-14.513724999999997</v>
      </c>
      <c r="AN49" s="2">
        <f t="shared" si="10"/>
        <v>5.1870450000000003</v>
      </c>
      <c r="AO49" s="2">
        <f t="shared" si="11"/>
        <v>61.026365000000013</v>
      </c>
    </row>
    <row r="50" spans="1:41" x14ac:dyDescent="0.35">
      <c r="A50" t="s">
        <v>32</v>
      </c>
      <c r="B50" s="4">
        <v>9940275286</v>
      </c>
      <c r="C50" t="s">
        <v>88</v>
      </c>
      <c r="D50" t="s">
        <v>246</v>
      </c>
      <c r="E50" t="s">
        <v>26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/>
      <c r="Q50" s="2"/>
      <c r="R50" s="2">
        <f t="shared" si="0"/>
        <v>0</v>
      </c>
      <c r="S50" s="2">
        <f t="shared" si="1"/>
        <v>0</v>
      </c>
      <c r="T50" s="2">
        <f t="shared" si="2"/>
        <v>0</v>
      </c>
      <c r="U50" s="2">
        <f t="shared" si="6"/>
        <v>0</v>
      </c>
      <c r="V50" s="2">
        <f t="shared" si="7"/>
        <v>0</v>
      </c>
      <c r="W50" s="2">
        <f t="shared" si="8"/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/>
      <c r="AI50" s="2"/>
      <c r="AJ50" s="2">
        <f t="shared" si="3"/>
        <v>0</v>
      </c>
      <c r="AK50" s="2">
        <f t="shared" si="4"/>
        <v>0</v>
      </c>
      <c r="AL50" s="2">
        <f t="shared" si="5"/>
        <v>0</v>
      </c>
      <c r="AM50" s="2">
        <f t="shared" si="9"/>
        <v>0</v>
      </c>
      <c r="AN50" s="2">
        <f t="shared" si="10"/>
        <v>0</v>
      </c>
      <c r="AO50" s="2">
        <f t="shared" si="11"/>
        <v>0</v>
      </c>
    </row>
    <row r="51" spans="1:41" x14ac:dyDescent="0.35">
      <c r="A51" t="s">
        <v>32</v>
      </c>
      <c r="B51" s="4">
        <v>9940498656</v>
      </c>
      <c r="C51" t="s">
        <v>89</v>
      </c>
      <c r="D51" t="s">
        <v>227</v>
      </c>
      <c r="E51" t="s">
        <v>26</v>
      </c>
      <c r="F51" s="2">
        <v>0</v>
      </c>
      <c r="G51" s="2">
        <v>-0.44552999999999998</v>
      </c>
      <c r="H51" s="2">
        <v>0</v>
      </c>
      <c r="I51" s="2">
        <v>-27.267669999999999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f t="shared" si="0"/>
        <v>-0.44552999999999998</v>
      </c>
      <c r="S51" s="2">
        <f t="shared" si="1"/>
        <v>-27.267669999999999</v>
      </c>
      <c r="T51" s="2">
        <f t="shared" si="2"/>
        <v>0</v>
      </c>
      <c r="U51" s="2">
        <f t="shared" si="6"/>
        <v>0</v>
      </c>
      <c r="V51" s="2">
        <f t="shared" si="7"/>
        <v>0</v>
      </c>
      <c r="W51" s="2">
        <f t="shared" si="8"/>
        <v>-27.713200000000001</v>
      </c>
      <c r="X51" s="2">
        <v>-4.3899999999999998E-3</v>
      </c>
      <c r="Y51" s="2">
        <v>-0.44999</v>
      </c>
      <c r="Z51" s="2">
        <v>0</v>
      </c>
      <c r="AA51" s="2">
        <v>-27.267669999999999</v>
      </c>
      <c r="AB51" s="2">
        <v>0.32450000000000001</v>
      </c>
      <c r="AC51" s="2">
        <v>0.33816000000000002</v>
      </c>
      <c r="AD51" s="2">
        <v>0.33851999999999999</v>
      </c>
      <c r="AE51" s="2">
        <v>0.32490999999999998</v>
      </c>
      <c r="AF51" s="2">
        <v>0.33492</v>
      </c>
      <c r="AG51" s="2">
        <v>0.33576</v>
      </c>
      <c r="AH51" s="2">
        <v>0</v>
      </c>
      <c r="AI51" s="2">
        <v>0</v>
      </c>
      <c r="AJ51" s="2">
        <f t="shared" si="3"/>
        <v>-0.45438000000000001</v>
      </c>
      <c r="AK51" s="2">
        <f t="shared" si="4"/>
        <v>-26.60501</v>
      </c>
      <c r="AL51" s="2">
        <f t="shared" si="5"/>
        <v>0.99834999999999996</v>
      </c>
      <c r="AM51" s="2">
        <f t="shared" si="9"/>
        <v>0.33576</v>
      </c>
      <c r="AN51" s="2">
        <f t="shared" si="10"/>
        <v>0</v>
      </c>
      <c r="AO51" s="2">
        <f t="shared" si="11"/>
        <v>-25.725280000000001</v>
      </c>
    </row>
    <row r="52" spans="1:41" x14ac:dyDescent="0.35">
      <c r="A52" t="s">
        <v>32</v>
      </c>
      <c r="B52" s="4">
        <v>9940529592</v>
      </c>
      <c r="C52" t="s">
        <v>90</v>
      </c>
      <c r="D52" t="s">
        <v>247</v>
      </c>
      <c r="E52" t="s">
        <v>26</v>
      </c>
      <c r="F52" s="2">
        <v>36.135559999999998</v>
      </c>
      <c r="G52" s="2">
        <v>35.28904</v>
      </c>
      <c r="H52" s="2">
        <v>27.496949999999998</v>
      </c>
      <c r="I52" s="2">
        <v>26.37631</v>
      </c>
      <c r="J52" s="2">
        <v>18.460799999999999</v>
      </c>
      <c r="K52" s="2">
        <v>2.7593700000000001</v>
      </c>
      <c r="L52" s="2">
        <v>-31.318529999999999</v>
      </c>
      <c r="M52" s="2">
        <v>22.621659999999999</v>
      </c>
      <c r="N52" s="2">
        <v>6.9346500000000004</v>
      </c>
      <c r="O52" s="2">
        <v>0.50307999999999997</v>
      </c>
      <c r="P52" s="2">
        <v>33.603479999999998</v>
      </c>
      <c r="Q52" s="2">
        <v>47.955030000000001</v>
      </c>
      <c r="R52" s="2">
        <f t="shared" si="0"/>
        <v>98.921549999999996</v>
      </c>
      <c r="S52" s="2">
        <f t="shared" si="1"/>
        <v>47.596479999999993</v>
      </c>
      <c r="T52" s="2">
        <f t="shared" si="2"/>
        <v>-1.7622200000000001</v>
      </c>
      <c r="U52" s="2">
        <f t="shared" si="6"/>
        <v>82.061589999999995</v>
      </c>
      <c r="V52" s="2">
        <f t="shared" si="7"/>
        <v>81.558509999999998</v>
      </c>
      <c r="W52" s="2">
        <f t="shared" si="8"/>
        <v>226.81739999999996</v>
      </c>
      <c r="X52" s="2">
        <v>27.031089999999999</v>
      </c>
      <c r="Y52" s="2">
        <v>9.0997299999999992</v>
      </c>
      <c r="Z52" s="2">
        <v>7.38713</v>
      </c>
      <c r="AA52" s="2">
        <v>4.7357699999999996</v>
      </c>
      <c r="AB52" s="2">
        <v>2.4106299999999998</v>
      </c>
      <c r="AC52" s="2">
        <v>-3.6731400000000001</v>
      </c>
      <c r="AD52" s="2">
        <v>-37.132060000000003</v>
      </c>
      <c r="AE52" s="2">
        <v>10.228400000000001</v>
      </c>
      <c r="AF52" s="2">
        <v>1.5791500000000001</v>
      </c>
      <c r="AG52" s="2">
        <v>-5.0066199999999998</v>
      </c>
      <c r="AH52" s="2">
        <v>-3.6873999999999998</v>
      </c>
      <c r="AI52" s="2">
        <v>19.477620000000002</v>
      </c>
      <c r="AJ52" s="2">
        <f t="shared" si="3"/>
        <v>43.517949999999999</v>
      </c>
      <c r="AK52" s="2">
        <f t="shared" si="4"/>
        <v>3.4732599999999998</v>
      </c>
      <c r="AL52" s="2">
        <f t="shared" si="5"/>
        <v>-25.324510000000004</v>
      </c>
      <c r="AM52" s="2">
        <f t="shared" si="9"/>
        <v>10.783600000000002</v>
      </c>
      <c r="AN52" s="2">
        <f t="shared" si="10"/>
        <v>15.790220000000001</v>
      </c>
      <c r="AO52" s="2">
        <f t="shared" si="11"/>
        <v>32.450299999999991</v>
      </c>
    </row>
    <row r="53" spans="1:41" x14ac:dyDescent="0.35">
      <c r="A53" t="s">
        <v>32</v>
      </c>
      <c r="B53" s="4">
        <v>9940560429</v>
      </c>
      <c r="C53" t="s">
        <v>91</v>
      </c>
      <c r="D53" t="s">
        <v>248</v>
      </c>
      <c r="E53" t="s">
        <v>26</v>
      </c>
      <c r="F53" s="2"/>
      <c r="G53" s="2"/>
      <c r="H53" s="2"/>
      <c r="I53" s="2"/>
      <c r="J53" s="2">
        <v>31.329519999999999</v>
      </c>
      <c r="K53" s="2">
        <v>2.6325599999999998</v>
      </c>
      <c r="L53" s="2">
        <v>16.186309999999999</v>
      </c>
      <c r="M53" s="2">
        <v>4.3917000000000002</v>
      </c>
      <c r="N53" s="2">
        <v>6.9649200000000002</v>
      </c>
      <c r="O53" s="2">
        <v>0</v>
      </c>
      <c r="P53" s="2"/>
      <c r="Q53" s="2"/>
      <c r="R53" s="2">
        <f t="shared" si="0"/>
        <v>0</v>
      </c>
      <c r="S53" s="2">
        <f t="shared" si="1"/>
        <v>33.96208</v>
      </c>
      <c r="T53" s="2">
        <f t="shared" si="2"/>
        <v>27.542929999999998</v>
      </c>
      <c r="U53" s="2">
        <f t="shared" si="6"/>
        <v>0</v>
      </c>
      <c r="V53" s="2">
        <f t="shared" si="7"/>
        <v>0</v>
      </c>
      <c r="W53" s="2">
        <f t="shared" si="8"/>
        <v>61.505009999999999</v>
      </c>
      <c r="X53" s="2"/>
      <c r="Y53" s="2"/>
      <c r="Z53" s="2"/>
      <c r="AA53" s="2"/>
      <c r="AB53" s="2">
        <v>17.816990000000001</v>
      </c>
      <c r="AC53" s="2">
        <v>-1.7940100000000001</v>
      </c>
      <c r="AD53" s="2">
        <v>12.638870000000001</v>
      </c>
      <c r="AE53" s="2">
        <v>2.2352500000000002</v>
      </c>
      <c r="AF53" s="2">
        <v>7.0345700000000004</v>
      </c>
      <c r="AG53" s="2">
        <v>0</v>
      </c>
      <c r="AH53" s="2"/>
      <c r="AI53" s="2"/>
      <c r="AJ53" s="2">
        <f t="shared" si="3"/>
        <v>0</v>
      </c>
      <c r="AK53" s="2">
        <f t="shared" si="4"/>
        <v>16.02298</v>
      </c>
      <c r="AL53" s="2">
        <f t="shared" si="5"/>
        <v>21.90869</v>
      </c>
      <c r="AM53" s="2">
        <f t="shared" si="9"/>
        <v>0</v>
      </c>
      <c r="AN53" s="2">
        <f t="shared" si="10"/>
        <v>0</v>
      </c>
      <c r="AO53" s="2">
        <f t="shared" si="11"/>
        <v>37.931669999999997</v>
      </c>
    </row>
    <row r="54" spans="1:41" x14ac:dyDescent="0.35">
      <c r="A54" t="s">
        <v>32</v>
      </c>
      <c r="B54" s="4">
        <v>9940457031</v>
      </c>
      <c r="C54" t="s">
        <v>92</v>
      </c>
      <c r="D54" t="s">
        <v>249</v>
      </c>
      <c r="E54" t="s">
        <v>26</v>
      </c>
      <c r="F54" s="2">
        <v>0</v>
      </c>
      <c r="G54" s="2">
        <v>0</v>
      </c>
      <c r="H54" s="2">
        <v>0</v>
      </c>
      <c r="I54" s="2">
        <v>0</v>
      </c>
      <c r="J54" s="2"/>
      <c r="K54" s="2"/>
      <c r="L54" s="2"/>
      <c r="M54" s="2"/>
      <c r="N54" s="2"/>
      <c r="O54" s="2"/>
      <c r="P54" s="2"/>
      <c r="Q54" s="2"/>
      <c r="R54" s="2">
        <f t="shared" si="0"/>
        <v>0</v>
      </c>
      <c r="S54" s="2">
        <f t="shared" si="1"/>
        <v>0</v>
      </c>
      <c r="T54" s="2">
        <f t="shared" si="2"/>
        <v>0</v>
      </c>
      <c r="U54" s="2">
        <f t="shared" si="6"/>
        <v>0</v>
      </c>
      <c r="V54" s="2">
        <f t="shared" si="7"/>
        <v>0</v>
      </c>
      <c r="W54" s="2">
        <f t="shared" si="8"/>
        <v>0</v>
      </c>
      <c r="X54" s="2">
        <v>0</v>
      </c>
      <c r="Y54" s="2">
        <v>0</v>
      </c>
      <c r="Z54" s="2">
        <v>0</v>
      </c>
      <c r="AA54" s="2">
        <v>0</v>
      </c>
      <c r="AB54" s="2"/>
      <c r="AC54" s="2"/>
      <c r="AD54" s="2"/>
      <c r="AE54" s="2"/>
      <c r="AF54" s="2"/>
      <c r="AG54" s="2"/>
      <c r="AH54" s="2"/>
      <c r="AI54" s="2"/>
      <c r="AJ54" s="2">
        <f t="shared" si="3"/>
        <v>0</v>
      </c>
      <c r="AK54" s="2">
        <f t="shared" si="4"/>
        <v>0</v>
      </c>
      <c r="AL54" s="2">
        <f t="shared" si="5"/>
        <v>0</v>
      </c>
      <c r="AM54" s="2">
        <f t="shared" si="9"/>
        <v>0</v>
      </c>
      <c r="AN54" s="2">
        <f t="shared" si="10"/>
        <v>0</v>
      </c>
      <c r="AO54" s="2">
        <f t="shared" si="11"/>
        <v>0</v>
      </c>
    </row>
    <row r="55" spans="1:41" x14ac:dyDescent="0.35">
      <c r="A55" t="s">
        <v>32</v>
      </c>
      <c r="B55" s="4">
        <v>9940541530</v>
      </c>
      <c r="C55" t="s">
        <v>93</v>
      </c>
      <c r="D55" t="s">
        <v>240</v>
      </c>
      <c r="E55" t="s">
        <v>26</v>
      </c>
      <c r="F55" s="2">
        <v>115.27849000000001</v>
      </c>
      <c r="G55" s="2">
        <v>146.34081</v>
      </c>
      <c r="H55" s="2">
        <v>195.79291000000001</v>
      </c>
      <c r="I55" s="2">
        <v>225.19905</v>
      </c>
      <c r="J55" s="2">
        <v>315.32515999999998</v>
      </c>
      <c r="K55" s="2">
        <v>302.92333000000002</v>
      </c>
      <c r="L55" s="2">
        <v>350.76499999999999</v>
      </c>
      <c r="M55" s="2">
        <v>318.39807000000002</v>
      </c>
      <c r="N55" s="2">
        <v>340.75394999999997</v>
      </c>
      <c r="O55" s="2">
        <v>140.99351999999999</v>
      </c>
      <c r="P55" s="2">
        <v>0</v>
      </c>
      <c r="Q55" s="2">
        <v>0</v>
      </c>
      <c r="R55" s="2">
        <f t="shared" si="0"/>
        <v>457.41221000000002</v>
      </c>
      <c r="S55" s="2">
        <f t="shared" si="1"/>
        <v>843.44754000000012</v>
      </c>
      <c r="T55" s="2">
        <f t="shared" si="2"/>
        <v>1009.9170200000001</v>
      </c>
      <c r="U55" s="2">
        <f t="shared" si="6"/>
        <v>140.99351999999999</v>
      </c>
      <c r="V55" s="2">
        <f t="shared" si="7"/>
        <v>0</v>
      </c>
      <c r="W55" s="2">
        <f t="shared" si="8"/>
        <v>2451.7702900000004</v>
      </c>
      <c r="X55" s="2">
        <v>27.245090000000001</v>
      </c>
      <c r="Y55" s="2">
        <v>47.100650000000002</v>
      </c>
      <c r="Z55" s="2">
        <v>62.742449999999998</v>
      </c>
      <c r="AA55" s="2">
        <v>71.439109999999999</v>
      </c>
      <c r="AB55" s="2">
        <v>108.4661</v>
      </c>
      <c r="AC55" s="2">
        <v>86.467920000000007</v>
      </c>
      <c r="AD55" s="2">
        <v>105.76982</v>
      </c>
      <c r="AE55" s="2">
        <v>99.991050000000001</v>
      </c>
      <c r="AF55" s="2">
        <v>96.931340000000006</v>
      </c>
      <c r="AG55" s="2">
        <v>-131.37414000000001</v>
      </c>
      <c r="AH55" s="2">
        <v>-195.48007000000001</v>
      </c>
      <c r="AI55" s="2">
        <v>-93.011480000000006</v>
      </c>
      <c r="AJ55" s="2">
        <f t="shared" si="3"/>
        <v>137.08819</v>
      </c>
      <c r="AK55" s="2">
        <f t="shared" si="4"/>
        <v>266.37313</v>
      </c>
      <c r="AL55" s="2">
        <f t="shared" si="5"/>
        <v>302.69221000000005</v>
      </c>
      <c r="AM55" s="2">
        <f t="shared" si="9"/>
        <v>-419.86569000000003</v>
      </c>
      <c r="AN55" s="2">
        <f t="shared" si="10"/>
        <v>-288.49155000000002</v>
      </c>
      <c r="AO55" s="2">
        <f t="shared" si="11"/>
        <v>286.28784000000002</v>
      </c>
    </row>
    <row r="56" spans="1:41" x14ac:dyDescent="0.35">
      <c r="A56" t="s">
        <v>32</v>
      </c>
      <c r="B56" s="4">
        <v>9940325859</v>
      </c>
      <c r="C56" t="s">
        <v>94</v>
      </c>
      <c r="D56" t="s">
        <v>250</v>
      </c>
      <c r="E56" t="s">
        <v>26</v>
      </c>
      <c r="F56" s="2">
        <v>107.29962</v>
      </c>
      <c r="G56" s="2">
        <v>76.670770000000005</v>
      </c>
      <c r="H56" s="2">
        <v>61.878439999999998</v>
      </c>
      <c r="I56" s="2">
        <v>52.172420000000002</v>
      </c>
      <c r="J56" s="2">
        <v>66.123819999999995</v>
      </c>
      <c r="K56" s="2">
        <v>86.666210000000007</v>
      </c>
      <c r="L56" s="2">
        <v>68.324939999999998</v>
      </c>
      <c r="M56" s="2">
        <v>65.283389999999997</v>
      </c>
      <c r="N56" s="2">
        <v>62.952779999999997</v>
      </c>
      <c r="O56" s="2">
        <v>11.73183</v>
      </c>
      <c r="P56" s="2">
        <v>51.017783100000003</v>
      </c>
      <c r="Q56" s="2">
        <v>16.709454900000001</v>
      </c>
      <c r="R56" s="2">
        <f t="shared" si="0"/>
        <v>245.84883000000002</v>
      </c>
      <c r="S56" s="2">
        <f t="shared" si="1"/>
        <v>204.96244999999999</v>
      </c>
      <c r="T56" s="2">
        <f t="shared" si="2"/>
        <v>196.56110999999999</v>
      </c>
      <c r="U56" s="2">
        <f t="shared" si="6"/>
        <v>79.459068000000002</v>
      </c>
      <c r="V56" s="2">
        <f t="shared" si="7"/>
        <v>67.727238</v>
      </c>
      <c r="W56" s="2">
        <f t="shared" si="8"/>
        <v>726.831458</v>
      </c>
      <c r="X56" s="2">
        <v>58.718800000000002</v>
      </c>
      <c r="Y56" s="2">
        <v>17.610389999999999</v>
      </c>
      <c r="Z56" s="2">
        <v>13.85094</v>
      </c>
      <c r="AA56" s="2">
        <v>12.583019999999999</v>
      </c>
      <c r="AB56" s="2">
        <v>17.065100000000001</v>
      </c>
      <c r="AC56" s="2">
        <v>44.189109999999999</v>
      </c>
      <c r="AD56" s="2">
        <v>18.51709</v>
      </c>
      <c r="AE56" s="2">
        <v>17.27055</v>
      </c>
      <c r="AF56" s="2">
        <v>17.9284</v>
      </c>
      <c r="AG56" s="2">
        <v>-34.922139999999999</v>
      </c>
      <c r="AH56" s="2">
        <v>15.7130961</v>
      </c>
      <c r="AI56" s="2">
        <v>3.1926128999999999</v>
      </c>
      <c r="AJ56" s="2">
        <f t="shared" si="3"/>
        <v>90.180129999999991</v>
      </c>
      <c r="AK56" s="2">
        <f t="shared" si="4"/>
        <v>73.837230000000005</v>
      </c>
      <c r="AL56" s="2">
        <f t="shared" si="5"/>
        <v>53.716039999999992</v>
      </c>
      <c r="AM56" s="2">
        <f t="shared" si="9"/>
        <v>-16.016430999999997</v>
      </c>
      <c r="AN56" s="2">
        <f t="shared" si="10"/>
        <v>18.905708999999998</v>
      </c>
      <c r="AO56" s="2">
        <f t="shared" si="11"/>
        <v>201.71696900000001</v>
      </c>
    </row>
    <row r="57" spans="1:41" x14ac:dyDescent="0.35">
      <c r="A57" t="s">
        <v>32</v>
      </c>
      <c r="B57" s="4">
        <v>9940364931</v>
      </c>
      <c r="C57" t="s">
        <v>95</v>
      </c>
      <c r="D57" t="s">
        <v>225</v>
      </c>
      <c r="E57" t="s">
        <v>26</v>
      </c>
      <c r="F57" s="2">
        <v>28.233129999999999</v>
      </c>
      <c r="G57" s="2">
        <v>30.04222</v>
      </c>
      <c r="H57" s="2">
        <v>25.0823</v>
      </c>
      <c r="I57" s="2">
        <v>23.6038</v>
      </c>
      <c r="J57" s="2">
        <v>30.43535</v>
      </c>
      <c r="K57" s="2">
        <v>28.04617</v>
      </c>
      <c r="L57" s="2">
        <v>29.432880000000001</v>
      </c>
      <c r="M57" s="2">
        <v>24.910699999999999</v>
      </c>
      <c r="N57" s="2">
        <v>37.684539999999998</v>
      </c>
      <c r="O57" s="2">
        <v>23.486329999999999</v>
      </c>
      <c r="P57" s="2">
        <v>32.080726200000001</v>
      </c>
      <c r="Q57" s="2">
        <v>25.8</v>
      </c>
      <c r="R57" s="2">
        <f t="shared" si="0"/>
        <v>83.357650000000007</v>
      </c>
      <c r="S57" s="2">
        <f t="shared" si="1"/>
        <v>82.085319999999996</v>
      </c>
      <c r="T57" s="2">
        <f t="shared" si="2"/>
        <v>92.028120000000001</v>
      </c>
      <c r="U57" s="2">
        <f t="shared" si="6"/>
        <v>81.367056199999993</v>
      </c>
      <c r="V57" s="2">
        <f t="shared" si="7"/>
        <v>57.880726199999998</v>
      </c>
      <c r="W57" s="2">
        <f t="shared" si="8"/>
        <v>338.83814619999998</v>
      </c>
      <c r="X57" s="2">
        <v>9.0136599999999998</v>
      </c>
      <c r="Y57" s="2">
        <v>10.75564</v>
      </c>
      <c r="Z57" s="2">
        <v>6.6210800000000001</v>
      </c>
      <c r="AA57" s="2">
        <v>5.8319999999999999</v>
      </c>
      <c r="AB57" s="2">
        <v>11.88963</v>
      </c>
      <c r="AC57" s="2">
        <v>9.5579499999999999</v>
      </c>
      <c r="AD57" s="2">
        <v>9.8757000000000001</v>
      </c>
      <c r="AE57" s="2">
        <v>5.9637399999999996</v>
      </c>
      <c r="AF57" s="2">
        <v>19.984439999999999</v>
      </c>
      <c r="AG57" s="2">
        <v>5.5979099999999997</v>
      </c>
      <c r="AH57" s="2">
        <v>16.391247400000001</v>
      </c>
      <c r="AI57" s="2">
        <v>3.0837880000000002</v>
      </c>
      <c r="AJ57" s="2">
        <f t="shared" si="3"/>
        <v>26.39038</v>
      </c>
      <c r="AK57" s="2">
        <f t="shared" si="4"/>
        <v>27.279580000000003</v>
      </c>
      <c r="AL57" s="2">
        <f t="shared" si="5"/>
        <v>35.823880000000003</v>
      </c>
      <c r="AM57" s="2">
        <f t="shared" si="9"/>
        <v>25.072945400000002</v>
      </c>
      <c r="AN57" s="2">
        <f t="shared" si="10"/>
        <v>19.475035400000003</v>
      </c>
      <c r="AO57" s="2">
        <f t="shared" si="11"/>
        <v>114.56678540000001</v>
      </c>
    </row>
    <row r="58" spans="1:41" x14ac:dyDescent="0.35">
      <c r="A58" t="s">
        <v>32</v>
      </c>
      <c r="B58" s="4">
        <v>9940554861</v>
      </c>
      <c r="C58" t="s">
        <v>96</v>
      </c>
      <c r="D58" t="s">
        <v>251</v>
      </c>
      <c r="E58" t="s">
        <v>26</v>
      </c>
      <c r="F58" s="2"/>
      <c r="G58" s="2"/>
      <c r="H58" s="2"/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1.7667900000000001</v>
      </c>
      <c r="Q58" s="2">
        <v>0</v>
      </c>
      <c r="R58" s="2">
        <f t="shared" si="0"/>
        <v>0</v>
      </c>
      <c r="S58" s="2">
        <f t="shared" si="1"/>
        <v>0</v>
      </c>
      <c r="T58" s="2">
        <f t="shared" si="2"/>
        <v>0</v>
      </c>
      <c r="U58" s="2">
        <f t="shared" si="6"/>
        <v>1.7667900000000001</v>
      </c>
      <c r="V58" s="2">
        <f t="shared" si="7"/>
        <v>1.7667900000000001</v>
      </c>
      <c r="W58" s="2">
        <f t="shared" si="8"/>
        <v>1.7667900000000001</v>
      </c>
      <c r="X58" s="2"/>
      <c r="Y58" s="2"/>
      <c r="Z58" s="2"/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0.84604000000000001</v>
      </c>
      <c r="AI58" s="2">
        <v>0</v>
      </c>
      <c r="AJ58" s="2">
        <f t="shared" si="3"/>
        <v>0</v>
      </c>
      <c r="AK58" s="2">
        <f t="shared" si="4"/>
        <v>0</v>
      </c>
      <c r="AL58" s="2">
        <f t="shared" si="5"/>
        <v>0</v>
      </c>
      <c r="AM58" s="2">
        <f t="shared" si="9"/>
        <v>0.84604000000000001</v>
      </c>
      <c r="AN58" s="2">
        <f t="shared" si="10"/>
        <v>0.84604000000000001</v>
      </c>
      <c r="AO58" s="2">
        <f t="shared" si="11"/>
        <v>0.84604000000000001</v>
      </c>
    </row>
    <row r="59" spans="1:41" x14ac:dyDescent="0.35">
      <c r="A59" t="s">
        <v>32</v>
      </c>
      <c r="B59" s="4">
        <v>9940435199</v>
      </c>
      <c r="C59" t="s">
        <v>39</v>
      </c>
      <c r="D59" t="s">
        <v>225</v>
      </c>
      <c r="E59" t="s">
        <v>26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-1.45431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f t="shared" si="0"/>
        <v>0</v>
      </c>
      <c r="S59" s="2">
        <f t="shared" si="1"/>
        <v>-1.45431</v>
      </c>
      <c r="T59" s="2">
        <f t="shared" si="2"/>
        <v>0</v>
      </c>
      <c r="U59" s="2">
        <f t="shared" si="6"/>
        <v>0</v>
      </c>
      <c r="V59" s="2">
        <f t="shared" si="7"/>
        <v>0</v>
      </c>
      <c r="W59" s="2">
        <f t="shared" si="8"/>
        <v>-1.45431</v>
      </c>
      <c r="X59" s="2">
        <v>0.33207999999999999</v>
      </c>
      <c r="Y59" s="2">
        <v>0.33678000000000002</v>
      </c>
      <c r="Z59" s="2">
        <v>0.33628000000000002</v>
      </c>
      <c r="AA59" s="2">
        <v>0.33673999999999998</v>
      </c>
      <c r="AB59" s="2">
        <v>0.34547</v>
      </c>
      <c r="AC59" s="2">
        <v>-1.45431</v>
      </c>
      <c r="AD59" s="2">
        <v>0.3604</v>
      </c>
      <c r="AE59" s="2">
        <v>0.34589999999999999</v>
      </c>
      <c r="AF59" s="2">
        <v>0.35655999999999999</v>
      </c>
      <c r="AG59" s="2">
        <v>0.35744999999999999</v>
      </c>
      <c r="AH59" s="2">
        <v>0.35324</v>
      </c>
      <c r="AI59" s="2">
        <v>0.35324</v>
      </c>
      <c r="AJ59" s="2">
        <f t="shared" si="3"/>
        <v>1.0051399999999999</v>
      </c>
      <c r="AK59" s="2">
        <f t="shared" si="4"/>
        <v>-0.77210000000000001</v>
      </c>
      <c r="AL59" s="2">
        <f t="shared" si="5"/>
        <v>1.0628599999999999</v>
      </c>
      <c r="AM59" s="2">
        <f t="shared" si="9"/>
        <v>1.06393</v>
      </c>
      <c r="AN59" s="2">
        <f t="shared" si="10"/>
        <v>0.70648</v>
      </c>
      <c r="AO59" s="2">
        <f t="shared" si="11"/>
        <v>2.3598299999999997</v>
      </c>
    </row>
    <row r="60" spans="1:41" x14ac:dyDescent="0.35">
      <c r="A60" t="s">
        <v>32</v>
      </c>
      <c r="B60" s="4">
        <v>9940327755</v>
      </c>
      <c r="C60" t="s">
        <v>98</v>
      </c>
      <c r="D60" t="s">
        <v>252</v>
      </c>
      <c r="E60" t="s">
        <v>26</v>
      </c>
      <c r="F60" s="2">
        <v>61.780200000000001</v>
      </c>
      <c r="G60" s="2">
        <v>0</v>
      </c>
      <c r="H60" s="2">
        <v>0</v>
      </c>
      <c r="I60" s="2">
        <v>0</v>
      </c>
      <c r="J60" s="2">
        <v>0</v>
      </c>
      <c r="K60" s="2">
        <v>-92.562169999999995</v>
      </c>
      <c r="L60" s="2">
        <v>0</v>
      </c>
      <c r="M60" s="2">
        <v>0</v>
      </c>
      <c r="N60" s="2">
        <v>0</v>
      </c>
      <c r="O60" s="2">
        <v>9.7328399999999995</v>
      </c>
      <c r="P60" s="2">
        <v>0</v>
      </c>
      <c r="Q60" s="2">
        <v>0</v>
      </c>
      <c r="R60" s="2">
        <f t="shared" si="0"/>
        <v>61.780200000000001</v>
      </c>
      <c r="S60" s="2">
        <f t="shared" si="1"/>
        <v>-92.562169999999995</v>
      </c>
      <c r="T60" s="2">
        <f t="shared" si="2"/>
        <v>0</v>
      </c>
      <c r="U60" s="2">
        <f t="shared" si="6"/>
        <v>9.7328399999999995</v>
      </c>
      <c r="V60" s="2">
        <f t="shared" si="7"/>
        <v>0</v>
      </c>
      <c r="W60" s="2">
        <f t="shared" si="8"/>
        <v>-21.049129999999995</v>
      </c>
      <c r="X60" s="2">
        <v>60.947780000000002</v>
      </c>
      <c r="Y60" s="2">
        <v>-1.4411099999999999</v>
      </c>
      <c r="Z60" s="2">
        <v>-1.20956</v>
      </c>
      <c r="AA60" s="2">
        <v>-1.2112099999999999</v>
      </c>
      <c r="AB60" s="2">
        <v>-3.7582100000000001</v>
      </c>
      <c r="AC60" s="2">
        <v>-93.847989999999996</v>
      </c>
      <c r="AD60" s="2">
        <v>-0.33955999999999997</v>
      </c>
      <c r="AE60" s="2">
        <v>-4.5852899999999996</v>
      </c>
      <c r="AF60" s="2">
        <v>-0.91581999999999997</v>
      </c>
      <c r="AG60" s="2">
        <v>9.3753299999999999</v>
      </c>
      <c r="AH60" s="2">
        <v>-7.5719999999999996E-2</v>
      </c>
      <c r="AI60" s="2">
        <v>-9.6180000000000002E-2</v>
      </c>
      <c r="AJ60" s="2">
        <f t="shared" si="3"/>
        <v>58.297109999999996</v>
      </c>
      <c r="AK60" s="2">
        <f t="shared" si="4"/>
        <v>-98.817409999999995</v>
      </c>
      <c r="AL60" s="2">
        <f t="shared" si="5"/>
        <v>-5.8406699999999994</v>
      </c>
      <c r="AM60" s="2">
        <f t="shared" si="9"/>
        <v>9.2034299999999991</v>
      </c>
      <c r="AN60" s="2">
        <f t="shared" si="10"/>
        <v>-0.1719</v>
      </c>
      <c r="AO60" s="2">
        <f t="shared" si="11"/>
        <v>-37.157539999999997</v>
      </c>
    </row>
    <row r="61" spans="1:41" x14ac:dyDescent="0.35">
      <c r="A61" t="s">
        <v>32</v>
      </c>
      <c r="B61" s="4">
        <v>9940406761</v>
      </c>
      <c r="C61" t="s">
        <v>99</v>
      </c>
      <c r="D61" t="s">
        <v>253</v>
      </c>
      <c r="E61" t="s">
        <v>26</v>
      </c>
      <c r="F61" s="2">
        <v>0</v>
      </c>
      <c r="G61" s="2">
        <v>0</v>
      </c>
      <c r="H61" s="2">
        <v>0.50283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/>
      <c r="Q61" s="2"/>
      <c r="R61" s="2">
        <f t="shared" si="0"/>
        <v>0.50283</v>
      </c>
      <c r="S61" s="2">
        <f t="shared" si="1"/>
        <v>0</v>
      </c>
      <c r="T61" s="2">
        <f t="shared" si="2"/>
        <v>0</v>
      </c>
      <c r="U61" s="2">
        <f t="shared" si="6"/>
        <v>0</v>
      </c>
      <c r="V61" s="2">
        <f t="shared" si="7"/>
        <v>0</v>
      </c>
      <c r="W61" s="2">
        <f t="shared" si="8"/>
        <v>0.50283</v>
      </c>
      <c r="X61" s="2">
        <v>-0.55528</v>
      </c>
      <c r="Y61" s="2">
        <v>-0.53922999999999999</v>
      </c>
      <c r="Z61" s="2">
        <v>0.46438000000000001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/>
      <c r="AI61" s="2"/>
      <c r="AJ61" s="2">
        <f t="shared" si="3"/>
        <v>-0.63013000000000008</v>
      </c>
      <c r="AK61" s="2">
        <f t="shared" si="4"/>
        <v>0</v>
      </c>
      <c r="AL61" s="2">
        <f t="shared" si="5"/>
        <v>0</v>
      </c>
      <c r="AM61" s="2">
        <f t="shared" si="9"/>
        <v>0</v>
      </c>
      <c r="AN61" s="2">
        <f t="shared" si="10"/>
        <v>0</v>
      </c>
      <c r="AO61" s="2">
        <f t="shared" si="11"/>
        <v>-0.63013000000000008</v>
      </c>
    </row>
    <row r="62" spans="1:41" x14ac:dyDescent="0.35">
      <c r="A62" t="s">
        <v>281</v>
      </c>
      <c r="B62" s="4">
        <v>9940435199</v>
      </c>
      <c r="C62" t="s">
        <v>39</v>
      </c>
      <c r="D62" t="s">
        <v>225</v>
      </c>
      <c r="E62" t="s">
        <v>26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f t="shared" si="0"/>
        <v>0</v>
      </c>
      <c r="S62" s="2">
        <f t="shared" si="1"/>
        <v>0</v>
      </c>
      <c r="T62" s="2">
        <f t="shared" si="2"/>
        <v>0</v>
      </c>
      <c r="U62" s="2">
        <f t="shared" si="6"/>
        <v>0</v>
      </c>
      <c r="V62" s="2">
        <f t="shared" si="7"/>
        <v>0</v>
      </c>
      <c r="W62" s="2">
        <f t="shared" si="8"/>
        <v>0</v>
      </c>
      <c r="X62" s="2">
        <v>0.35324</v>
      </c>
      <c r="Y62" s="2">
        <v>0.35324</v>
      </c>
      <c r="Z62" s="2">
        <v>0.35324</v>
      </c>
      <c r="AA62" s="2">
        <v>0.35324</v>
      </c>
      <c r="AB62" s="2">
        <v>0.35324</v>
      </c>
      <c r="AC62" s="2">
        <v>0.35324</v>
      </c>
      <c r="AD62" s="2">
        <v>0.35324</v>
      </c>
      <c r="AE62" s="2">
        <v>0.35324</v>
      </c>
      <c r="AF62" s="2">
        <v>0.35324</v>
      </c>
      <c r="AG62" s="2">
        <v>0.35324</v>
      </c>
      <c r="AH62" s="2">
        <v>0.35324</v>
      </c>
      <c r="AI62" s="2">
        <v>0.35324</v>
      </c>
      <c r="AJ62" s="2">
        <f t="shared" si="3"/>
        <v>1.05972</v>
      </c>
      <c r="AK62" s="2">
        <f t="shared" si="4"/>
        <v>1.05972</v>
      </c>
      <c r="AL62" s="2">
        <f t="shared" si="5"/>
        <v>1.05972</v>
      </c>
      <c r="AM62" s="2">
        <f t="shared" si="9"/>
        <v>1.05972</v>
      </c>
      <c r="AN62" s="2">
        <f t="shared" si="10"/>
        <v>0.70648</v>
      </c>
      <c r="AO62" s="2">
        <f t="shared" si="11"/>
        <v>4.23888</v>
      </c>
    </row>
    <row r="63" spans="1:41" x14ac:dyDescent="0.35">
      <c r="A63" t="s">
        <v>32</v>
      </c>
      <c r="B63" s="4">
        <v>9940435383</v>
      </c>
      <c r="C63" t="s">
        <v>114</v>
      </c>
      <c r="D63" t="s">
        <v>225</v>
      </c>
      <c r="E63" t="s">
        <v>26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f t="shared" si="0"/>
        <v>0</v>
      </c>
      <c r="S63" s="2">
        <f t="shared" si="1"/>
        <v>0</v>
      </c>
      <c r="T63" s="2">
        <f t="shared" si="2"/>
        <v>0</v>
      </c>
      <c r="U63" s="2">
        <f t="shared" si="6"/>
        <v>0</v>
      </c>
      <c r="V63" s="2">
        <f t="shared" si="7"/>
        <v>0</v>
      </c>
      <c r="W63" s="2">
        <f t="shared" si="8"/>
        <v>0</v>
      </c>
      <c r="X63" s="2">
        <v>0.16345000000000001</v>
      </c>
      <c r="Y63" s="2">
        <v>0.16345000000000001</v>
      </c>
      <c r="Z63" s="2">
        <v>0.25930999999999998</v>
      </c>
      <c r="AA63" s="2">
        <v>0.25930999999999998</v>
      </c>
      <c r="AB63" s="2">
        <v>0.17105000000000001</v>
      </c>
      <c r="AC63" s="2">
        <v>0.20058999999999999</v>
      </c>
      <c r="AD63" s="2">
        <v>0.20058999999999999</v>
      </c>
      <c r="AE63" s="2">
        <v>0.19084000000000001</v>
      </c>
      <c r="AF63" s="2">
        <v>0.20058999999999999</v>
      </c>
      <c r="AG63" s="2">
        <v>0.20058999999999999</v>
      </c>
      <c r="AH63" s="2">
        <v>-0.20532</v>
      </c>
      <c r="AI63" s="2">
        <v>0.1641</v>
      </c>
      <c r="AJ63" s="2">
        <f t="shared" si="3"/>
        <v>0.58621000000000001</v>
      </c>
      <c r="AK63" s="2">
        <f t="shared" si="4"/>
        <v>0.6309499999999999</v>
      </c>
      <c r="AL63" s="2">
        <f t="shared" si="5"/>
        <v>0.59201999999999999</v>
      </c>
      <c r="AM63" s="2">
        <f t="shared" si="9"/>
        <v>0.15936999999999998</v>
      </c>
      <c r="AN63" s="2">
        <f t="shared" si="10"/>
        <v>-4.1220000000000007E-2</v>
      </c>
      <c r="AO63" s="2">
        <f t="shared" si="11"/>
        <v>1.9685499999999998</v>
      </c>
    </row>
    <row r="64" spans="1:41" x14ac:dyDescent="0.35">
      <c r="A64" t="s">
        <v>32</v>
      </c>
      <c r="B64" s="4">
        <v>9940494556</v>
      </c>
      <c r="C64" t="s">
        <v>101</v>
      </c>
      <c r="D64" t="s">
        <v>224</v>
      </c>
      <c r="E64" t="s">
        <v>26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/>
      <c r="Q64" s="2"/>
      <c r="R64" s="2">
        <f t="shared" si="0"/>
        <v>0</v>
      </c>
      <c r="S64" s="2">
        <f t="shared" si="1"/>
        <v>0</v>
      </c>
      <c r="T64" s="2">
        <f t="shared" si="2"/>
        <v>0</v>
      </c>
      <c r="U64" s="2">
        <f t="shared" si="6"/>
        <v>0</v>
      </c>
      <c r="V64" s="2">
        <f t="shared" si="7"/>
        <v>0</v>
      </c>
      <c r="W64" s="2">
        <f t="shared" si="8"/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/>
      <c r="AI64" s="2"/>
      <c r="AJ64" s="2">
        <f t="shared" si="3"/>
        <v>0</v>
      </c>
      <c r="AK64" s="2">
        <f t="shared" si="4"/>
        <v>0</v>
      </c>
      <c r="AL64" s="2">
        <f t="shared" si="5"/>
        <v>0</v>
      </c>
      <c r="AM64" s="2">
        <f t="shared" si="9"/>
        <v>0</v>
      </c>
      <c r="AN64" s="2">
        <f t="shared" si="10"/>
        <v>0</v>
      </c>
      <c r="AO64" s="2">
        <f t="shared" si="11"/>
        <v>0</v>
      </c>
    </row>
    <row r="65" spans="1:41" x14ac:dyDescent="0.35">
      <c r="A65" t="s">
        <v>32</v>
      </c>
      <c r="B65" s="4">
        <v>9940529552</v>
      </c>
      <c r="C65" t="s">
        <v>102</v>
      </c>
      <c r="D65" t="s">
        <v>254</v>
      </c>
      <c r="E65" t="s">
        <v>26</v>
      </c>
      <c r="F65" s="2">
        <v>0.29376000000000002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/>
      <c r="Q65" s="2"/>
      <c r="R65" s="2">
        <f t="shared" si="0"/>
        <v>0.29376000000000002</v>
      </c>
      <c r="S65" s="2">
        <f t="shared" si="1"/>
        <v>0</v>
      </c>
      <c r="T65" s="2">
        <f t="shared" si="2"/>
        <v>0</v>
      </c>
      <c r="U65" s="2">
        <f t="shared" si="6"/>
        <v>0</v>
      </c>
      <c r="V65" s="2">
        <f t="shared" si="7"/>
        <v>0</v>
      </c>
      <c r="W65" s="2">
        <f t="shared" si="8"/>
        <v>0.29376000000000002</v>
      </c>
      <c r="X65" s="2">
        <v>-0.83501000000000003</v>
      </c>
      <c r="Y65" s="2">
        <v>-0.18346999999999999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/>
      <c r="AI65" s="2"/>
      <c r="AJ65" s="2">
        <f t="shared" si="3"/>
        <v>-1.0184800000000001</v>
      </c>
      <c r="AK65" s="2">
        <f t="shared" si="4"/>
        <v>0</v>
      </c>
      <c r="AL65" s="2">
        <f t="shared" si="5"/>
        <v>0</v>
      </c>
      <c r="AM65" s="2">
        <f t="shared" si="9"/>
        <v>0</v>
      </c>
      <c r="AN65" s="2">
        <f t="shared" si="10"/>
        <v>0</v>
      </c>
      <c r="AO65" s="2">
        <f t="shared" si="11"/>
        <v>-1.0184800000000001</v>
      </c>
    </row>
    <row r="66" spans="1:41" x14ac:dyDescent="0.35">
      <c r="A66" t="s">
        <v>281</v>
      </c>
      <c r="B66" s="4">
        <v>9940435383</v>
      </c>
      <c r="C66" t="s">
        <v>114</v>
      </c>
      <c r="D66" t="s">
        <v>225</v>
      </c>
      <c r="E66" t="s">
        <v>26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f t="shared" si="0"/>
        <v>0</v>
      </c>
      <c r="S66" s="2">
        <f t="shared" si="1"/>
        <v>0</v>
      </c>
      <c r="T66" s="2">
        <f t="shared" si="2"/>
        <v>0</v>
      </c>
      <c r="U66" s="2">
        <f t="shared" si="6"/>
        <v>0</v>
      </c>
      <c r="V66" s="2">
        <f t="shared" si="7"/>
        <v>0</v>
      </c>
      <c r="W66" s="2">
        <f t="shared" si="8"/>
        <v>0</v>
      </c>
      <c r="X66" s="2">
        <v>0.1641</v>
      </c>
      <c r="Y66" s="2">
        <v>0.1641</v>
      </c>
      <c r="Z66" s="2">
        <v>0.1641</v>
      </c>
      <c r="AA66" s="2">
        <v>0.1641</v>
      </c>
      <c r="AB66" s="2">
        <v>0.1641</v>
      </c>
      <c r="AC66" s="2">
        <v>0.1641</v>
      </c>
      <c r="AD66" s="2">
        <v>0.1641</v>
      </c>
      <c r="AE66" s="2">
        <v>0.1641</v>
      </c>
      <c r="AF66" s="2">
        <v>0.1641</v>
      </c>
      <c r="AG66" s="2">
        <v>0.1641</v>
      </c>
      <c r="AH66" s="2">
        <v>0.1641</v>
      </c>
      <c r="AI66" s="2">
        <v>0.1641</v>
      </c>
      <c r="AJ66" s="2">
        <f t="shared" si="3"/>
        <v>0.49229999999999996</v>
      </c>
      <c r="AK66" s="2">
        <f t="shared" si="4"/>
        <v>0.49229999999999996</v>
      </c>
      <c r="AL66" s="2">
        <f t="shared" si="5"/>
        <v>0.49229999999999996</v>
      </c>
      <c r="AM66" s="2">
        <f t="shared" si="9"/>
        <v>0.49229999999999996</v>
      </c>
      <c r="AN66" s="2">
        <f t="shared" si="10"/>
        <v>0.32819999999999999</v>
      </c>
      <c r="AO66" s="2">
        <f t="shared" si="11"/>
        <v>1.9691999999999998</v>
      </c>
    </row>
    <row r="67" spans="1:41" x14ac:dyDescent="0.35">
      <c r="A67" t="s">
        <v>32</v>
      </c>
      <c r="B67" s="4">
        <v>9940534372</v>
      </c>
      <c r="C67" t="s">
        <v>103</v>
      </c>
      <c r="D67" t="s">
        <v>235</v>
      </c>
      <c r="E67" t="s">
        <v>26</v>
      </c>
      <c r="F67" s="2">
        <v>29.667110000000001</v>
      </c>
      <c r="G67" s="2">
        <v>35.406610000000001</v>
      </c>
      <c r="H67" s="2">
        <v>30.910450000000001</v>
      </c>
      <c r="I67" s="2">
        <v>10.4795</v>
      </c>
      <c r="J67" s="2">
        <v>0</v>
      </c>
      <c r="K67" s="2">
        <v>0</v>
      </c>
      <c r="L67" s="2">
        <v>29.752739999999999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f t="shared" ref="R67:R130" si="12">F67+G67+H67</f>
        <v>95.984170000000006</v>
      </c>
      <c r="S67" s="2">
        <f t="shared" ref="S67:S130" si="13">I67+J67+K67</f>
        <v>10.4795</v>
      </c>
      <c r="T67" s="2">
        <f t="shared" ref="T67:T130" si="14">L67+M67+N67</f>
        <v>29.752739999999999</v>
      </c>
      <c r="U67" s="2">
        <f t="shared" ref="U67:U130" si="15">O67+P67+Q67</f>
        <v>0</v>
      </c>
      <c r="V67" s="2">
        <f t="shared" si="7"/>
        <v>0</v>
      </c>
      <c r="W67" s="2">
        <f t="shared" si="8"/>
        <v>136.21641</v>
      </c>
      <c r="X67" s="2">
        <v>8.2257300000000004</v>
      </c>
      <c r="Y67" s="2">
        <v>10.77159</v>
      </c>
      <c r="Z67" s="2">
        <v>8.5102899999999995</v>
      </c>
      <c r="AA67" s="2">
        <v>-12.42957</v>
      </c>
      <c r="AB67" s="2">
        <v>-6.11029</v>
      </c>
      <c r="AC67" s="2">
        <v>-1.3584400000000001</v>
      </c>
      <c r="AD67" s="2">
        <v>27.096699999999998</v>
      </c>
      <c r="AE67" s="2">
        <v>-1.5288900000000001</v>
      </c>
      <c r="AF67" s="2">
        <v>-0.58208000000000004</v>
      </c>
      <c r="AG67" s="2">
        <v>-0.58353999999999995</v>
      </c>
      <c r="AH67" s="2">
        <v>-0.24088999999999999</v>
      </c>
      <c r="AI67" s="2">
        <v>0</v>
      </c>
      <c r="AJ67" s="2">
        <f t="shared" ref="AJ67:AJ130" si="16">X67+Y67+Z67</f>
        <v>27.50761</v>
      </c>
      <c r="AK67" s="2">
        <f t="shared" ref="AK67:AK130" si="17">AA67+AB67+AC67</f>
        <v>-19.898300000000003</v>
      </c>
      <c r="AL67" s="2">
        <f t="shared" ref="AL67:AL130" si="18">AD67+AE67+AF67</f>
        <v>24.985729999999997</v>
      </c>
      <c r="AM67" s="2">
        <f t="shared" ref="AM67:AM130" si="19">AG67+AH67+AI67</f>
        <v>-0.82443</v>
      </c>
      <c r="AN67" s="2">
        <f t="shared" si="10"/>
        <v>-0.24088999999999999</v>
      </c>
      <c r="AO67" s="2">
        <f t="shared" si="11"/>
        <v>31.770609999999998</v>
      </c>
    </row>
    <row r="68" spans="1:41" x14ac:dyDescent="0.35">
      <c r="A68" t="s">
        <v>32</v>
      </c>
      <c r="B68" s="4">
        <v>9940536891</v>
      </c>
      <c r="C68" t="s">
        <v>104</v>
      </c>
      <c r="D68" t="s">
        <v>242</v>
      </c>
      <c r="E68" t="s">
        <v>26</v>
      </c>
      <c r="F68" s="2">
        <v>21.712399999999999</v>
      </c>
      <c r="G68" s="2">
        <v>19.879000000000001</v>
      </c>
      <c r="H68" s="2">
        <v>29.588999999999999</v>
      </c>
      <c r="I68" s="2">
        <v>39.261000000000003</v>
      </c>
      <c r="J68" s="2">
        <v>24.733000000000001</v>
      </c>
      <c r="K68" s="2">
        <v>27.010750000000002</v>
      </c>
      <c r="L68" s="2">
        <v>50.523479999999999</v>
      </c>
      <c r="M68" s="2">
        <v>31.203510000000001</v>
      </c>
      <c r="N68" s="2">
        <v>29.54139</v>
      </c>
      <c r="O68" s="2">
        <v>-0.43443999999999999</v>
      </c>
      <c r="P68" s="2">
        <v>0</v>
      </c>
      <c r="Q68" s="2">
        <v>0</v>
      </c>
      <c r="R68" s="2">
        <f t="shared" si="12"/>
        <v>71.180399999999992</v>
      </c>
      <c r="S68" s="2">
        <f t="shared" si="13"/>
        <v>91.004750000000001</v>
      </c>
      <c r="T68" s="2">
        <f t="shared" si="14"/>
        <v>111.26838000000001</v>
      </c>
      <c r="U68" s="2">
        <f t="shared" si="15"/>
        <v>-0.43443999999999999</v>
      </c>
      <c r="V68" s="2">
        <f t="shared" ref="V68:V131" si="20">P68+Q68</f>
        <v>0</v>
      </c>
      <c r="W68" s="2">
        <f t="shared" ref="W68:W131" si="21">R68+S68+T68+U68</f>
        <v>273.01909000000001</v>
      </c>
      <c r="X68" s="2">
        <v>-4.8884299999999996</v>
      </c>
      <c r="Y68" s="2">
        <v>12.442909999999999</v>
      </c>
      <c r="Z68" s="2">
        <v>18.48019</v>
      </c>
      <c r="AA68" s="2">
        <v>16.397290000000002</v>
      </c>
      <c r="AB68" s="2">
        <v>5.4910699999999997</v>
      </c>
      <c r="AC68" s="2">
        <v>4.2213700000000003</v>
      </c>
      <c r="AD68" s="2">
        <v>24.89423</v>
      </c>
      <c r="AE68" s="2">
        <v>13.471310000000001</v>
      </c>
      <c r="AF68" s="2">
        <v>38.944459999999999</v>
      </c>
      <c r="AG68" s="2">
        <v>-16.317209999999999</v>
      </c>
      <c r="AH68" s="2">
        <v>-20.015219999999999</v>
      </c>
      <c r="AI68" s="2">
        <v>0</v>
      </c>
      <c r="AJ68" s="2">
        <f t="shared" si="16"/>
        <v>26.034669999999998</v>
      </c>
      <c r="AK68" s="2">
        <f t="shared" si="17"/>
        <v>26.109730000000003</v>
      </c>
      <c r="AL68" s="2">
        <f t="shared" si="18"/>
        <v>77.31</v>
      </c>
      <c r="AM68" s="2">
        <f t="shared" si="19"/>
        <v>-36.332430000000002</v>
      </c>
      <c r="AN68" s="2">
        <f t="shared" ref="AN68:AN131" si="22">AH68+AI68</f>
        <v>-20.015219999999999</v>
      </c>
      <c r="AO68" s="2">
        <f t="shared" ref="AO68:AO131" si="23">AJ68+AK68+AL68+AM68</f>
        <v>93.121970000000019</v>
      </c>
    </row>
    <row r="69" spans="1:41" x14ac:dyDescent="0.35">
      <c r="A69" t="s">
        <v>32</v>
      </c>
      <c r="B69" s="4">
        <v>9940575842</v>
      </c>
      <c r="C69" t="s">
        <v>105</v>
      </c>
      <c r="D69" t="s">
        <v>231</v>
      </c>
      <c r="E69" t="s">
        <v>26</v>
      </c>
      <c r="F69" s="2"/>
      <c r="G69" s="2"/>
      <c r="H69" s="2"/>
      <c r="I69" s="2"/>
      <c r="J69" s="2"/>
      <c r="K69" s="2"/>
      <c r="L69" s="2"/>
      <c r="M69" s="2"/>
      <c r="N69" s="2">
        <v>16.05555</v>
      </c>
      <c r="O69" s="2">
        <v>20.319240000000001</v>
      </c>
      <c r="P69" s="2">
        <v>32.856319999999997</v>
      </c>
      <c r="Q69" s="2">
        <v>13.391372499999999</v>
      </c>
      <c r="R69" s="2">
        <f t="shared" si="12"/>
        <v>0</v>
      </c>
      <c r="S69" s="2">
        <f t="shared" si="13"/>
        <v>0</v>
      </c>
      <c r="T69" s="2">
        <f t="shared" si="14"/>
        <v>16.05555</v>
      </c>
      <c r="U69" s="2">
        <f t="shared" si="15"/>
        <v>66.566932499999993</v>
      </c>
      <c r="V69" s="2">
        <f t="shared" si="20"/>
        <v>46.247692499999999</v>
      </c>
      <c r="W69" s="2">
        <f t="shared" si="21"/>
        <v>82.62248249999999</v>
      </c>
      <c r="X69" s="2"/>
      <c r="Y69" s="2"/>
      <c r="Z69" s="2"/>
      <c r="AA69" s="2"/>
      <c r="AB69" s="2"/>
      <c r="AC69" s="2"/>
      <c r="AD69" s="2"/>
      <c r="AE69" s="2"/>
      <c r="AF69" s="2">
        <v>8.5294899999999991</v>
      </c>
      <c r="AG69" s="2">
        <v>-3.67849</v>
      </c>
      <c r="AH69" s="2">
        <v>25.89264</v>
      </c>
      <c r="AI69" s="2">
        <v>-1.1529575000000001</v>
      </c>
      <c r="AJ69" s="2">
        <f t="shared" si="16"/>
        <v>0</v>
      </c>
      <c r="AK69" s="2">
        <f t="shared" si="17"/>
        <v>0</v>
      </c>
      <c r="AL69" s="2">
        <f t="shared" si="18"/>
        <v>8.5294899999999991</v>
      </c>
      <c r="AM69" s="2">
        <f t="shared" si="19"/>
        <v>21.061192500000001</v>
      </c>
      <c r="AN69" s="2">
        <f t="shared" si="22"/>
        <v>24.739682500000001</v>
      </c>
      <c r="AO69" s="2">
        <f t="shared" si="23"/>
        <v>29.5906825</v>
      </c>
    </row>
    <row r="70" spans="1:41" x14ac:dyDescent="0.35">
      <c r="A70" t="s">
        <v>32</v>
      </c>
      <c r="B70" s="4">
        <v>9940151900</v>
      </c>
      <c r="C70" t="s">
        <v>106</v>
      </c>
      <c r="D70" t="s">
        <v>221</v>
      </c>
      <c r="E70" t="s">
        <v>26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/>
      <c r="Q70" s="2"/>
      <c r="R70" s="2">
        <f t="shared" si="12"/>
        <v>0</v>
      </c>
      <c r="S70" s="2">
        <f t="shared" si="13"/>
        <v>0</v>
      </c>
      <c r="T70" s="2">
        <f t="shared" si="14"/>
        <v>0</v>
      </c>
      <c r="U70" s="2">
        <f t="shared" si="15"/>
        <v>0</v>
      </c>
      <c r="V70" s="2">
        <f t="shared" si="20"/>
        <v>0</v>
      </c>
      <c r="W70" s="2">
        <f t="shared" si="21"/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/>
      <c r="AI70" s="2"/>
      <c r="AJ70" s="2">
        <f t="shared" si="16"/>
        <v>0</v>
      </c>
      <c r="AK70" s="2">
        <f t="shared" si="17"/>
        <v>0</v>
      </c>
      <c r="AL70" s="2">
        <f t="shared" si="18"/>
        <v>0</v>
      </c>
      <c r="AM70" s="2">
        <f t="shared" si="19"/>
        <v>0</v>
      </c>
      <c r="AN70" s="2">
        <f t="shared" si="22"/>
        <v>0</v>
      </c>
      <c r="AO70" s="2">
        <f t="shared" si="23"/>
        <v>0</v>
      </c>
    </row>
    <row r="71" spans="1:41" x14ac:dyDescent="0.35">
      <c r="A71" t="s">
        <v>32</v>
      </c>
      <c r="B71" s="4">
        <v>9940441209</v>
      </c>
      <c r="C71" t="s">
        <v>50</v>
      </c>
      <c r="D71" t="s">
        <v>225</v>
      </c>
      <c r="E71" t="s">
        <v>26</v>
      </c>
      <c r="F71" s="2">
        <v>4.5555399999999997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/>
      <c r="Q71" s="2"/>
      <c r="R71" s="2">
        <f t="shared" si="12"/>
        <v>4.5555399999999997</v>
      </c>
      <c r="S71" s="2">
        <f t="shared" si="13"/>
        <v>0</v>
      </c>
      <c r="T71" s="2">
        <f t="shared" si="14"/>
        <v>0</v>
      </c>
      <c r="U71" s="2">
        <f t="shared" si="15"/>
        <v>0</v>
      </c>
      <c r="V71" s="2">
        <f t="shared" si="20"/>
        <v>0</v>
      </c>
      <c r="W71" s="2">
        <f t="shared" si="21"/>
        <v>4.5555399999999997</v>
      </c>
      <c r="X71" s="2">
        <v>4.5962500000000004</v>
      </c>
      <c r="Y71" s="2">
        <v>-4.8500000000000001E-3</v>
      </c>
      <c r="Z71" s="2">
        <v>-4.8500000000000001E-3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/>
      <c r="AI71" s="2"/>
      <c r="AJ71" s="2">
        <f t="shared" si="16"/>
        <v>4.5865499999999999</v>
      </c>
      <c r="AK71" s="2">
        <f t="shared" si="17"/>
        <v>0</v>
      </c>
      <c r="AL71" s="2">
        <f t="shared" si="18"/>
        <v>0</v>
      </c>
      <c r="AM71" s="2">
        <f t="shared" si="19"/>
        <v>0</v>
      </c>
      <c r="AN71" s="2">
        <f t="shared" si="22"/>
        <v>0</v>
      </c>
      <c r="AO71" s="2">
        <f t="shared" si="23"/>
        <v>4.5865499999999999</v>
      </c>
    </row>
    <row r="72" spans="1:41" x14ac:dyDescent="0.35">
      <c r="A72" t="s">
        <v>32</v>
      </c>
      <c r="B72" s="4">
        <v>9940490968</v>
      </c>
      <c r="C72" t="s">
        <v>107</v>
      </c>
      <c r="D72" t="s">
        <v>255</v>
      </c>
      <c r="E72" t="s">
        <v>26</v>
      </c>
      <c r="F72" s="2">
        <v>139.24074999999999</v>
      </c>
      <c r="G72" s="2">
        <v>115.19512</v>
      </c>
      <c r="H72" s="2">
        <v>26.315429999999999</v>
      </c>
      <c r="I72" s="2">
        <v>147.08656999999999</v>
      </c>
      <c r="J72" s="2">
        <v>169.30789999999999</v>
      </c>
      <c r="K72" s="2">
        <v>35.573740000000001</v>
      </c>
      <c r="L72" s="2">
        <v>77.768000000000001</v>
      </c>
      <c r="M72" s="2">
        <v>57.660359999999997</v>
      </c>
      <c r="N72" s="2">
        <v>55.782440000000001</v>
      </c>
      <c r="O72" s="2">
        <v>12.883050000000001</v>
      </c>
      <c r="P72" s="2">
        <v>0</v>
      </c>
      <c r="Q72" s="2">
        <v>0</v>
      </c>
      <c r="R72" s="2">
        <f t="shared" si="12"/>
        <v>280.75130000000001</v>
      </c>
      <c r="S72" s="2">
        <f t="shared" si="13"/>
        <v>351.96820999999994</v>
      </c>
      <c r="T72" s="2">
        <f t="shared" si="14"/>
        <v>191.21080000000001</v>
      </c>
      <c r="U72" s="2">
        <f t="shared" si="15"/>
        <v>12.883050000000001</v>
      </c>
      <c r="V72" s="2">
        <f t="shared" si="20"/>
        <v>0</v>
      </c>
      <c r="W72" s="2">
        <f t="shared" si="21"/>
        <v>836.81335999999999</v>
      </c>
      <c r="X72" s="2">
        <v>45.635680000000001</v>
      </c>
      <c r="Y72" s="2">
        <v>24.668279999999999</v>
      </c>
      <c r="Z72" s="2">
        <v>-53.416969999999999</v>
      </c>
      <c r="AA72" s="2">
        <v>98.680660000000003</v>
      </c>
      <c r="AB72" s="2">
        <v>118.40522</v>
      </c>
      <c r="AC72" s="2">
        <v>-0.81862000000000001</v>
      </c>
      <c r="AD72" s="2">
        <v>32.249879999999997</v>
      </c>
      <c r="AE72" s="2">
        <v>6.7230299999999996</v>
      </c>
      <c r="AF72" s="2">
        <v>9.2890599999999992</v>
      </c>
      <c r="AG72" s="2">
        <v>-21.87556</v>
      </c>
      <c r="AH72" s="2">
        <v>25.318670000000001</v>
      </c>
      <c r="AI72" s="2">
        <v>-0.74666999999999994</v>
      </c>
      <c r="AJ72" s="2">
        <f t="shared" si="16"/>
        <v>16.886990000000004</v>
      </c>
      <c r="AK72" s="2">
        <f t="shared" si="17"/>
        <v>216.26725999999999</v>
      </c>
      <c r="AL72" s="2">
        <f t="shared" si="18"/>
        <v>48.261969999999998</v>
      </c>
      <c r="AM72" s="2">
        <f t="shared" si="19"/>
        <v>2.6964400000000008</v>
      </c>
      <c r="AN72" s="2">
        <f t="shared" si="22"/>
        <v>24.572000000000003</v>
      </c>
      <c r="AO72" s="2">
        <f t="shared" si="23"/>
        <v>284.11266000000001</v>
      </c>
    </row>
    <row r="73" spans="1:41" x14ac:dyDescent="0.35">
      <c r="A73" t="s">
        <v>32</v>
      </c>
      <c r="B73" s="4">
        <v>9940529079</v>
      </c>
      <c r="C73" t="s">
        <v>108</v>
      </c>
      <c r="D73" t="s">
        <v>256</v>
      </c>
      <c r="E73" t="s">
        <v>26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/>
      <c r="Q73" s="2"/>
      <c r="R73" s="2">
        <f t="shared" si="12"/>
        <v>0</v>
      </c>
      <c r="S73" s="2">
        <f t="shared" si="13"/>
        <v>0</v>
      </c>
      <c r="T73" s="2">
        <f t="shared" si="14"/>
        <v>0</v>
      </c>
      <c r="U73" s="2">
        <f t="shared" si="15"/>
        <v>0</v>
      </c>
      <c r="V73" s="2">
        <f t="shared" si="20"/>
        <v>0</v>
      </c>
      <c r="W73" s="2">
        <f t="shared" si="21"/>
        <v>0</v>
      </c>
      <c r="X73" s="2">
        <v>0</v>
      </c>
      <c r="Y73" s="2">
        <v>0</v>
      </c>
      <c r="Z73" s="2">
        <v>-0.18278</v>
      </c>
      <c r="AA73" s="2">
        <v>-0.43641000000000002</v>
      </c>
      <c r="AB73" s="2">
        <v>-0.36796000000000001</v>
      </c>
      <c r="AC73" s="2">
        <v>-1.274E-2</v>
      </c>
      <c r="AD73" s="2">
        <v>0</v>
      </c>
      <c r="AE73" s="2">
        <v>0</v>
      </c>
      <c r="AF73" s="2">
        <v>0</v>
      </c>
      <c r="AG73" s="2">
        <v>0</v>
      </c>
      <c r="AH73" s="2"/>
      <c r="AI73" s="2"/>
      <c r="AJ73" s="2">
        <f t="shared" si="16"/>
        <v>-0.18278</v>
      </c>
      <c r="AK73" s="2">
        <f t="shared" si="17"/>
        <v>-0.81711</v>
      </c>
      <c r="AL73" s="2">
        <f t="shared" si="18"/>
        <v>0</v>
      </c>
      <c r="AM73" s="2">
        <f t="shared" si="19"/>
        <v>0</v>
      </c>
      <c r="AN73" s="2">
        <f t="shared" si="22"/>
        <v>0</v>
      </c>
      <c r="AO73" s="2">
        <f t="shared" si="23"/>
        <v>-0.99988999999999995</v>
      </c>
    </row>
    <row r="74" spans="1:41" x14ac:dyDescent="0.35">
      <c r="A74" t="s">
        <v>32</v>
      </c>
      <c r="B74" s="4">
        <v>9940567562</v>
      </c>
      <c r="C74" t="s">
        <v>109</v>
      </c>
      <c r="D74" t="s">
        <v>231</v>
      </c>
      <c r="E74" t="s">
        <v>26</v>
      </c>
      <c r="F74" s="2"/>
      <c r="G74" s="2"/>
      <c r="H74" s="2"/>
      <c r="I74" s="2"/>
      <c r="J74" s="2"/>
      <c r="K74" s="2"/>
      <c r="L74" s="2">
        <v>20.778680000000001</v>
      </c>
      <c r="M74" s="2">
        <v>-0.81730000000000003</v>
      </c>
      <c r="N74" s="2">
        <v>4.1277699999999999</v>
      </c>
      <c r="O74" s="2">
        <v>15.129659999999999</v>
      </c>
      <c r="P74" s="2">
        <v>11.313190000000001</v>
      </c>
      <c r="Q74" s="2">
        <v>0</v>
      </c>
      <c r="R74" s="2">
        <f t="shared" si="12"/>
        <v>0</v>
      </c>
      <c r="S74" s="2">
        <f t="shared" si="13"/>
        <v>0</v>
      </c>
      <c r="T74" s="2">
        <f t="shared" si="14"/>
        <v>24.089150000000004</v>
      </c>
      <c r="U74" s="2">
        <f t="shared" si="15"/>
        <v>26.44285</v>
      </c>
      <c r="V74" s="2">
        <f t="shared" si="20"/>
        <v>11.313190000000001</v>
      </c>
      <c r="W74" s="2">
        <f t="shared" si="21"/>
        <v>50.532000000000004</v>
      </c>
      <c r="X74" s="2"/>
      <c r="Y74" s="2"/>
      <c r="Z74" s="2"/>
      <c r="AA74" s="2"/>
      <c r="AB74" s="2"/>
      <c r="AC74" s="2"/>
      <c r="AD74" s="2">
        <v>4.4030500000000004</v>
      </c>
      <c r="AE74" s="2">
        <v>-0.63802999999999999</v>
      </c>
      <c r="AF74" s="2">
        <v>0.66249999999999998</v>
      </c>
      <c r="AG74" s="2">
        <v>5.9575500000000003</v>
      </c>
      <c r="AH74" s="2">
        <v>8.2136300000000002</v>
      </c>
      <c r="AI74" s="2">
        <v>-0.13531000000000001</v>
      </c>
      <c r="AJ74" s="2">
        <f t="shared" si="16"/>
        <v>0</v>
      </c>
      <c r="AK74" s="2">
        <f t="shared" si="17"/>
        <v>0</v>
      </c>
      <c r="AL74" s="2">
        <f t="shared" si="18"/>
        <v>4.4275200000000003</v>
      </c>
      <c r="AM74" s="2">
        <f t="shared" si="19"/>
        <v>14.035869999999999</v>
      </c>
      <c r="AN74" s="2">
        <f t="shared" si="22"/>
        <v>8.0783199999999997</v>
      </c>
      <c r="AO74" s="2">
        <f t="shared" si="23"/>
        <v>18.46339</v>
      </c>
    </row>
    <row r="75" spans="1:41" x14ac:dyDescent="0.35">
      <c r="A75" t="s">
        <v>32</v>
      </c>
      <c r="B75" s="4">
        <v>9940457933</v>
      </c>
      <c r="C75" t="s">
        <v>100</v>
      </c>
      <c r="D75" t="s">
        <v>235</v>
      </c>
      <c r="E75" t="s">
        <v>26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/>
      <c r="Q75" s="2"/>
      <c r="R75" s="2">
        <f t="shared" si="12"/>
        <v>0</v>
      </c>
      <c r="S75" s="2">
        <f t="shared" si="13"/>
        <v>0</v>
      </c>
      <c r="T75" s="2">
        <f t="shared" si="14"/>
        <v>0</v>
      </c>
      <c r="U75" s="2">
        <f t="shared" si="15"/>
        <v>0</v>
      </c>
      <c r="V75" s="2">
        <f t="shared" si="20"/>
        <v>0</v>
      </c>
      <c r="W75" s="2">
        <f t="shared" si="21"/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/>
      <c r="AI75" s="2"/>
      <c r="AJ75" s="2">
        <f t="shared" si="16"/>
        <v>0</v>
      </c>
      <c r="AK75" s="2">
        <f t="shared" si="17"/>
        <v>0</v>
      </c>
      <c r="AL75" s="2">
        <f t="shared" si="18"/>
        <v>0</v>
      </c>
      <c r="AM75" s="2">
        <f t="shared" si="19"/>
        <v>0</v>
      </c>
      <c r="AN75" s="2">
        <f t="shared" si="22"/>
        <v>0</v>
      </c>
      <c r="AO75" s="2">
        <f t="shared" si="23"/>
        <v>0</v>
      </c>
    </row>
    <row r="76" spans="1:41" x14ac:dyDescent="0.35">
      <c r="A76" t="s">
        <v>32</v>
      </c>
      <c r="B76" s="4">
        <v>9940250928</v>
      </c>
      <c r="C76" t="s">
        <v>111</v>
      </c>
      <c r="D76" t="s">
        <v>232</v>
      </c>
      <c r="E76" t="s">
        <v>26</v>
      </c>
      <c r="F76" s="2">
        <v>73.252799999999993</v>
      </c>
      <c r="G76" s="2">
        <v>75.671760000000006</v>
      </c>
      <c r="H76" s="2">
        <v>67.881410000000002</v>
      </c>
      <c r="I76" s="2">
        <v>58.784930000000003</v>
      </c>
      <c r="J76" s="2">
        <v>69.743729999999999</v>
      </c>
      <c r="K76" s="2">
        <v>71.722620000000006</v>
      </c>
      <c r="L76" s="2">
        <v>73.728470000000002</v>
      </c>
      <c r="M76" s="2">
        <v>70.262370000000004</v>
      </c>
      <c r="N76" s="2">
        <v>74.890870000000007</v>
      </c>
      <c r="O76" s="2">
        <v>77.01952</v>
      </c>
      <c r="P76" s="2">
        <v>79.660200000000003</v>
      </c>
      <c r="Q76" s="2">
        <v>80.167019999999994</v>
      </c>
      <c r="R76" s="2">
        <f t="shared" si="12"/>
        <v>216.80597</v>
      </c>
      <c r="S76" s="2">
        <f t="shared" si="13"/>
        <v>200.25128000000001</v>
      </c>
      <c r="T76" s="2">
        <f t="shared" si="14"/>
        <v>218.88171</v>
      </c>
      <c r="U76" s="2">
        <f t="shared" si="15"/>
        <v>236.84674000000001</v>
      </c>
      <c r="V76" s="2">
        <f t="shared" si="20"/>
        <v>159.82722000000001</v>
      </c>
      <c r="W76" s="2">
        <f t="shared" si="21"/>
        <v>872.78569999999991</v>
      </c>
      <c r="X76" s="2">
        <v>37.709589999999999</v>
      </c>
      <c r="Y76" s="2">
        <v>40.020780000000002</v>
      </c>
      <c r="Z76" s="2">
        <v>32.318199999999997</v>
      </c>
      <c r="AA76" s="2">
        <v>23.727049999999998</v>
      </c>
      <c r="AB76" s="2">
        <v>42.924039999999998</v>
      </c>
      <c r="AC76" s="2">
        <v>43.228859999999997</v>
      </c>
      <c r="AD76" s="2">
        <v>36.905430000000003</v>
      </c>
      <c r="AE76" s="2">
        <v>35.333480000000002</v>
      </c>
      <c r="AF76" s="2">
        <v>38.948880000000003</v>
      </c>
      <c r="AG76" s="2">
        <v>40.00394</v>
      </c>
      <c r="AH76" s="2">
        <v>53.291179999999997</v>
      </c>
      <c r="AI76" s="2">
        <v>53.90016</v>
      </c>
      <c r="AJ76" s="2">
        <f t="shared" si="16"/>
        <v>110.04856999999998</v>
      </c>
      <c r="AK76" s="2">
        <f t="shared" si="17"/>
        <v>109.87994999999999</v>
      </c>
      <c r="AL76" s="2">
        <f t="shared" si="18"/>
        <v>111.18779000000001</v>
      </c>
      <c r="AM76" s="2">
        <f t="shared" si="19"/>
        <v>147.19528</v>
      </c>
      <c r="AN76" s="2">
        <f t="shared" si="22"/>
        <v>107.19134</v>
      </c>
      <c r="AO76" s="2">
        <f t="shared" si="23"/>
        <v>478.31159000000002</v>
      </c>
    </row>
    <row r="77" spans="1:41" x14ac:dyDescent="0.35">
      <c r="A77" t="s">
        <v>32</v>
      </c>
      <c r="B77" s="4">
        <v>9940274183</v>
      </c>
      <c r="C77" t="s">
        <v>112</v>
      </c>
      <c r="D77" t="s">
        <v>222</v>
      </c>
      <c r="E77" t="s">
        <v>26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/>
      <c r="Q77" s="2"/>
      <c r="R77" s="2">
        <f t="shared" si="12"/>
        <v>0</v>
      </c>
      <c r="S77" s="2">
        <f t="shared" si="13"/>
        <v>0</v>
      </c>
      <c r="T77" s="2">
        <f t="shared" si="14"/>
        <v>0</v>
      </c>
      <c r="U77" s="2">
        <f t="shared" si="15"/>
        <v>0</v>
      </c>
      <c r="V77" s="2">
        <f t="shared" si="20"/>
        <v>0</v>
      </c>
      <c r="W77" s="2">
        <f t="shared" si="21"/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/>
      <c r="AI77" s="2"/>
      <c r="AJ77" s="2">
        <f t="shared" si="16"/>
        <v>0</v>
      </c>
      <c r="AK77" s="2">
        <f t="shared" si="17"/>
        <v>0</v>
      </c>
      <c r="AL77" s="2">
        <f t="shared" si="18"/>
        <v>0</v>
      </c>
      <c r="AM77" s="2">
        <f t="shared" si="19"/>
        <v>0</v>
      </c>
      <c r="AN77" s="2">
        <f t="shared" si="22"/>
        <v>0</v>
      </c>
      <c r="AO77" s="2">
        <f t="shared" si="23"/>
        <v>0</v>
      </c>
    </row>
    <row r="78" spans="1:41" x14ac:dyDescent="0.35">
      <c r="A78" t="s">
        <v>32</v>
      </c>
      <c r="B78" s="4">
        <v>9940429153</v>
      </c>
      <c r="C78" t="s">
        <v>113</v>
      </c>
      <c r="D78" t="s">
        <v>232</v>
      </c>
      <c r="E78" t="s">
        <v>26</v>
      </c>
      <c r="F78" s="2">
        <v>79.251360000000005</v>
      </c>
      <c r="G78" s="2">
        <v>0</v>
      </c>
      <c r="H78" s="2">
        <v>116.45726000000001</v>
      </c>
      <c r="I78" s="2">
        <v>53.798209999999997</v>
      </c>
      <c r="J78" s="2">
        <v>60.425400000000003</v>
      </c>
      <c r="K78" s="2">
        <v>144.97264999999999</v>
      </c>
      <c r="L78" s="2">
        <v>0</v>
      </c>
      <c r="M78" s="2">
        <v>0</v>
      </c>
      <c r="N78" s="2">
        <v>0</v>
      </c>
      <c r="O78" s="2">
        <v>0</v>
      </c>
      <c r="P78" s="2"/>
      <c r="Q78" s="2"/>
      <c r="R78" s="2">
        <f t="shared" si="12"/>
        <v>195.70862</v>
      </c>
      <c r="S78" s="2">
        <f t="shared" si="13"/>
        <v>259.19626</v>
      </c>
      <c r="T78" s="2">
        <f t="shared" si="14"/>
        <v>0</v>
      </c>
      <c r="U78" s="2">
        <f t="shared" si="15"/>
        <v>0</v>
      </c>
      <c r="V78" s="2">
        <f t="shared" si="20"/>
        <v>0</v>
      </c>
      <c r="W78" s="2">
        <f t="shared" si="21"/>
        <v>454.90487999999999</v>
      </c>
      <c r="X78" s="2">
        <v>25.09845</v>
      </c>
      <c r="Y78" s="2">
        <v>-35.269570000000002</v>
      </c>
      <c r="Z78" s="2">
        <v>81.687029999999993</v>
      </c>
      <c r="AA78" s="2">
        <v>18.713560000000001</v>
      </c>
      <c r="AB78" s="2">
        <v>22.668949999999999</v>
      </c>
      <c r="AC78" s="2">
        <v>52.324599999999997</v>
      </c>
      <c r="AD78" s="2">
        <v>-1.6758299999999999</v>
      </c>
      <c r="AE78" s="2">
        <v>0</v>
      </c>
      <c r="AF78" s="2">
        <v>0</v>
      </c>
      <c r="AG78" s="2">
        <v>0</v>
      </c>
      <c r="AH78" s="2"/>
      <c r="AI78" s="2"/>
      <c r="AJ78" s="2">
        <f t="shared" si="16"/>
        <v>71.515909999999991</v>
      </c>
      <c r="AK78" s="2">
        <f t="shared" si="17"/>
        <v>93.70711</v>
      </c>
      <c r="AL78" s="2">
        <f t="shared" si="18"/>
        <v>-1.6758299999999999</v>
      </c>
      <c r="AM78" s="2">
        <f t="shared" si="19"/>
        <v>0</v>
      </c>
      <c r="AN78" s="2">
        <f t="shared" si="22"/>
        <v>0</v>
      </c>
      <c r="AO78" s="2">
        <f t="shared" si="23"/>
        <v>163.54719</v>
      </c>
    </row>
    <row r="79" spans="1:41" x14ac:dyDescent="0.35">
      <c r="A79" t="s">
        <v>32</v>
      </c>
      <c r="B79" s="4">
        <v>9940465445</v>
      </c>
      <c r="C79" t="s">
        <v>115</v>
      </c>
      <c r="D79" t="s">
        <v>235</v>
      </c>
      <c r="E79" t="s">
        <v>26</v>
      </c>
      <c r="F79" s="2">
        <v>202.95823999999999</v>
      </c>
      <c r="G79" s="2">
        <v>184.59683000000001</v>
      </c>
      <c r="H79" s="2">
        <v>237.67</v>
      </c>
      <c r="I79" s="2">
        <v>134.28832</v>
      </c>
      <c r="J79" s="2">
        <v>186.31899999999999</v>
      </c>
      <c r="K79" s="2">
        <v>227.75013000000001</v>
      </c>
      <c r="L79" s="2">
        <v>1.0000000000000001E-5</v>
      </c>
      <c r="M79" s="2">
        <v>-4.4639999999999999E-2</v>
      </c>
      <c r="N79" s="2">
        <v>4.6399999999999997E-2</v>
      </c>
      <c r="O79" s="2">
        <v>0</v>
      </c>
      <c r="P79" s="2">
        <v>0</v>
      </c>
      <c r="Q79" s="2">
        <v>0</v>
      </c>
      <c r="R79" s="2">
        <f t="shared" si="12"/>
        <v>625.22506999999996</v>
      </c>
      <c r="S79" s="2">
        <f t="shared" si="13"/>
        <v>548.35744999999997</v>
      </c>
      <c r="T79" s="2">
        <f t="shared" si="14"/>
        <v>1.7700000000000007E-3</v>
      </c>
      <c r="U79" s="2">
        <f t="shared" si="15"/>
        <v>0</v>
      </c>
      <c r="V79" s="2">
        <f t="shared" si="20"/>
        <v>0</v>
      </c>
      <c r="W79" s="2">
        <f t="shared" si="21"/>
        <v>1173.58429</v>
      </c>
      <c r="X79" s="2">
        <v>3.9379499999999998</v>
      </c>
      <c r="Y79" s="2">
        <v>-2.6117300000000001</v>
      </c>
      <c r="Z79" s="2">
        <v>105.26621</v>
      </c>
      <c r="AA79" s="2">
        <v>-5.1639900000000001</v>
      </c>
      <c r="AB79" s="2">
        <v>56.023150000000001</v>
      </c>
      <c r="AC79" s="2">
        <v>119.5715</v>
      </c>
      <c r="AD79" s="2">
        <v>-27.223610000000001</v>
      </c>
      <c r="AE79" s="2">
        <v>-30.316230000000001</v>
      </c>
      <c r="AF79" s="2">
        <v>-31.185359999999999</v>
      </c>
      <c r="AG79" s="2">
        <v>-31.310680000000001</v>
      </c>
      <c r="AH79" s="2">
        <v>2.4539259000000002</v>
      </c>
      <c r="AI79" s="2">
        <v>0</v>
      </c>
      <c r="AJ79" s="2">
        <f t="shared" si="16"/>
        <v>106.59243000000001</v>
      </c>
      <c r="AK79" s="2">
        <f t="shared" si="17"/>
        <v>170.43065999999999</v>
      </c>
      <c r="AL79" s="2">
        <f t="shared" si="18"/>
        <v>-88.725200000000001</v>
      </c>
      <c r="AM79" s="2">
        <f t="shared" si="19"/>
        <v>-28.8567541</v>
      </c>
      <c r="AN79" s="2">
        <f t="shared" si="22"/>
        <v>2.4539259000000002</v>
      </c>
      <c r="AO79" s="2">
        <f t="shared" si="23"/>
        <v>159.44113590000003</v>
      </c>
    </row>
    <row r="80" spans="1:41" x14ac:dyDescent="0.35">
      <c r="A80" t="s">
        <v>32</v>
      </c>
      <c r="B80" s="4">
        <v>9940505266</v>
      </c>
      <c r="C80" t="s">
        <v>116</v>
      </c>
      <c r="D80" t="s">
        <v>223</v>
      </c>
      <c r="E80" t="s">
        <v>26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f t="shared" si="12"/>
        <v>0</v>
      </c>
      <c r="S80" s="2">
        <f t="shared" si="13"/>
        <v>0</v>
      </c>
      <c r="T80" s="2">
        <f t="shared" si="14"/>
        <v>0</v>
      </c>
      <c r="U80" s="2">
        <f t="shared" si="15"/>
        <v>0</v>
      </c>
      <c r="V80" s="2">
        <f t="shared" si="20"/>
        <v>0</v>
      </c>
      <c r="W80" s="2">
        <f t="shared" si="21"/>
        <v>0</v>
      </c>
      <c r="X80" s="2">
        <v>-4.0698600000000003</v>
      </c>
      <c r="Y80" s="2">
        <v>-1.08501</v>
      </c>
      <c r="Z80" s="2">
        <v>-1.0834299999999999</v>
      </c>
      <c r="AA80" s="2">
        <v>10.20078</v>
      </c>
      <c r="AB80" s="2">
        <v>10.464969999999999</v>
      </c>
      <c r="AC80" s="2">
        <v>10.90551</v>
      </c>
      <c r="AD80" s="2">
        <v>2.7268500000000002</v>
      </c>
      <c r="AE80" s="2">
        <v>0.12103</v>
      </c>
      <c r="AF80" s="2">
        <v>0.12476</v>
      </c>
      <c r="AG80" s="2">
        <v>0.12506999999999999</v>
      </c>
      <c r="AH80" s="2">
        <v>10.403230000000001</v>
      </c>
      <c r="AI80" s="2">
        <v>0</v>
      </c>
      <c r="AJ80" s="2">
        <f t="shared" si="16"/>
        <v>-6.2383000000000006</v>
      </c>
      <c r="AK80" s="2">
        <f t="shared" si="17"/>
        <v>31.571259999999999</v>
      </c>
      <c r="AL80" s="2">
        <f t="shared" si="18"/>
        <v>2.9726400000000006</v>
      </c>
      <c r="AM80" s="2">
        <f t="shared" si="19"/>
        <v>10.5283</v>
      </c>
      <c r="AN80" s="2">
        <f t="shared" si="22"/>
        <v>10.403230000000001</v>
      </c>
      <c r="AO80" s="2">
        <f t="shared" si="23"/>
        <v>38.8339</v>
      </c>
    </row>
    <row r="81" spans="1:41" x14ac:dyDescent="0.35">
      <c r="A81" t="s">
        <v>32</v>
      </c>
      <c r="B81" s="4">
        <v>9940523865</v>
      </c>
      <c r="C81" t="s">
        <v>117</v>
      </c>
      <c r="D81" t="s">
        <v>257</v>
      </c>
      <c r="E81" t="s">
        <v>26</v>
      </c>
      <c r="F81" s="2">
        <v>165.45702</v>
      </c>
      <c r="G81" s="2">
        <v>159.67408</v>
      </c>
      <c r="H81" s="2">
        <v>118.07844</v>
      </c>
      <c r="I81" s="2">
        <v>104.72163</v>
      </c>
      <c r="J81" s="2">
        <v>91.705349999999996</v>
      </c>
      <c r="K81" s="2">
        <v>52.377220000000001</v>
      </c>
      <c r="L81" s="2">
        <v>13.37893</v>
      </c>
      <c r="M81" s="2">
        <v>1.06467</v>
      </c>
      <c r="N81" s="2">
        <v>0</v>
      </c>
      <c r="O81" s="2">
        <v>0</v>
      </c>
      <c r="P81" s="2">
        <v>0</v>
      </c>
      <c r="Q81" s="2">
        <v>0</v>
      </c>
      <c r="R81" s="2">
        <f t="shared" si="12"/>
        <v>443.20954</v>
      </c>
      <c r="S81" s="2">
        <f t="shared" si="13"/>
        <v>248.80420000000001</v>
      </c>
      <c r="T81" s="2">
        <f t="shared" si="14"/>
        <v>14.4436</v>
      </c>
      <c r="U81" s="2">
        <f t="shared" si="15"/>
        <v>0</v>
      </c>
      <c r="V81" s="2">
        <f t="shared" si="20"/>
        <v>0</v>
      </c>
      <c r="W81" s="2">
        <f t="shared" si="21"/>
        <v>706.45733999999993</v>
      </c>
      <c r="X81" s="2">
        <v>55.378259999999997</v>
      </c>
      <c r="Y81" s="2">
        <v>51.996609999999997</v>
      </c>
      <c r="Z81" s="2">
        <v>44.058399999999999</v>
      </c>
      <c r="AA81" s="2">
        <v>41.575130000000001</v>
      </c>
      <c r="AB81" s="2">
        <v>38.506120000000003</v>
      </c>
      <c r="AC81" s="2">
        <v>22.007580000000001</v>
      </c>
      <c r="AD81" s="2">
        <v>-1.76735</v>
      </c>
      <c r="AE81" s="2">
        <v>-10.715479999999999</v>
      </c>
      <c r="AF81" s="2">
        <v>-0.28350999999999998</v>
      </c>
      <c r="AG81" s="2">
        <v>-0.65639999999999998</v>
      </c>
      <c r="AH81" s="2">
        <v>2.7088199999999998</v>
      </c>
      <c r="AI81" s="2">
        <v>0</v>
      </c>
      <c r="AJ81" s="2">
        <f t="shared" si="16"/>
        <v>151.43326999999999</v>
      </c>
      <c r="AK81" s="2">
        <f t="shared" si="17"/>
        <v>102.08883000000002</v>
      </c>
      <c r="AL81" s="2">
        <f t="shared" si="18"/>
        <v>-12.76634</v>
      </c>
      <c r="AM81" s="2">
        <f t="shared" si="19"/>
        <v>2.0524199999999997</v>
      </c>
      <c r="AN81" s="2">
        <f t="shared" si="22"/>
        <v>2.7088199999999998</v>
      </c>
      <c r="AO81" s="2">
        <f t="shared" si="23"/>
        <v>242.80818000000002</v>
      </c>
    </row>
    <row r="82" spans="1:41" x14ac:dyDescent="0.35">
      <c r="A82" t="s">
        <v>32</v>
      </c>
      <c r="B82" s="4">
        <v>9940529235</v>
      </c>
      <c r="C82" t="s">
        <v>118</v>
      </c>
      <c r="D82" t="s">
        <v>256</v>
      </c>
      <c r="E82" t="s">
        <v>26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/>
      <c r="Q82" s="2"/>
      <c r="R82" s="2">
        <f t="shared" si="12"/>
        <v>0</v>
      </c>
      <c r="S82" s="2">
        <f t="shared" si="13"/>
        <v>0</v>
      </c>
      <c r="T82" s="2">
        <f t="shared" si="14"/>
        <v>0</v>
      </c>
      <c r="U82" s="2">
        <f t="shared" si="15"/>
        <v>0</v>
      </c>
      <c r="V82" s="2">
        <f t="shared" si="20"/>
        <v>0</v>
      </c>
      <c r="W82" s="2">
        <f t="shared" si="21"/>
        <v>0</v>
      </c>
      <c r="X82" s="2">
        <v>0</v>
      </c>
      <c r="Y82" s="2">
        <v>0</v>
      </c>
      <c r="Z82" s="2">
        <v>-0.18278</v>
      </c>
      <c r="AA82" s="2">
        <v>-0.43641000000000002</v>
      </c>
      <c r="AB82" s="2">
        <v>-0.39390999999999998</v>
      </c>
      <c r="AC82" s="2">
        <v>-1.274E-2</v>
      </c>
      <c r="AD82" s="2">
        <v>0</v>
      </c>
      <c r="AE82" s="2">
        <v>0</v>
      </c>
      <c r="AF82" s="2">
        <v>0</v>
      </c>
      <c r="AG82" s="2">
        <v>0</v>
      </c>
      <c r="AH82" s="2"/>
      <c r="AI82" s="2"/>
      <c r="AJ82" s="2">
        <f t="shared" si="16"/>
        <v>-0.18278</v>
      </c>
      <c r="AK82" s="2">
        <f t="shared" si="17"/>
        <v>-0.84305999999999992</v>
      </c>
      <c r="AL82" s="2">
        <f t="shared" si="18"/>
        <v>0</v>
      </c>
      <c r="AM82" s="2">
        <f t="shared" si="19"/>
        <v>0</v>
      </c>
      <c r="AN82" s="2">
        <f t="shared" si="22"/>
        <v>0</v>
      </c>
      <c r="AO82" s="2">
        <f t="shared" si="23"/>
        <v>-1.0258399999999999</v>
      </c>
    </row>
    <row r="83" spans="1:41" x14ac:dyDescent="0.35">
      <c r="A83" t="s">
        <v>32</v>
      </c>
      <c r="B83" s="4">
        <v>9940537104</v>
      </c>
      <c r="C83" t="s">
        <v>119</v>
      </c>
      <c r="D83" t="s">
        <v>240</v>
      </c>
      <c r="E83" t="s">
        <v>26</v>
      </c>
      <c r="F83" s="2"/>
      <c r="G83" s="2"/>
      <c r="H83" s="2"/>
      <c r="I83" s="2"/>
      <c r="J83" s="2"/>
      <c r="K83" s="2">
        <v>44.28</v>
      </c>
      <c r="L83" s="2">
        <v>44.28</v>
      </c>
      <c r="M83" s="2">
        <v>44.28</v>
      </c>
      <c r="N83" s="2">
        <v>44.28</v>
      </c>
      <c r="O83" s="2">
        <v>44.28</v>
      </c>
      <c r="P83" s="2">
        <v>44.28</v>
      </c>
      <c r="Q83" s="2">
        <v>44.28</v>
      </c>
      <c r="R83" s="2">
        <f t="shared" si="12"/>
        <v>0</v>
      </c>
      <c r="S83" s="2">
        <f t="shared" si="13"/>
        <v>44.28</v>
      </c>
      <c r="T83" s="2">
        <f t="shared" si="14"/>
        <v>132.84</v>
      </c>
      <c r="U83" s="2">
        <f t="shared" si="15"/>
        <v>132.84</v>
      </c>
      <c r="V83" s="2">
        <f t="shared" si="20"/>
        <v>88.56</v>
      </c>
      <c r="W83" s="2">
        <f t="shared" si="21"/>
        <v>309.96000000000004</v>
      </c>
      <c r="X83" s="2"/>
      <c r="Y83" s="2"/>
      <c r="Z83" s="2"/>
      <c r="AA83" s="2"/>
      <c r="AB83" s="2"/>
      <c r="AC83" s="2">
        <v>44.28</v>
      </c>
      <c r="AD83" s="2">
        <v>43.69614</v>
      </c>
      <c r="AE83" s="2">
        <v>2.5396999999999998</v>
      </c>
      <c r="AF83" s="2">
        <v>-8.6853099999999994</v>
      </c>
      <c r="AG83" s="2">
        <v>-15.6701</v>
      </c>
      <c r="AH83" s="2">
        <v>23.124434600000001</v>
      </c>
      <c r="AI83" s="2">
        <v>12.8472311</v>
      </c>
      <c r="AJ83" s="2">
        <f t="shared" si="16"/>
        <v>0</v>
      </c>
      <c r="AK83" s="2">
        <f t="shared" si="17"/>
        <v>44.28</v>
      </c>
      <c r="AL83" s="2">
        <f t="shared" si="18"/>
        <v>37.550529999999995</v>
      </c>
      <c r="AM83" s="2">
        <f t="shared" si="19"/>
        <v>20.301565700000001</v>
      </c>
      <c r="AN83" s="2">
        <f t="shared" si="22"/>
        <v>35.971665700000003</v>
      </c>
      <c r="AO83" s="2">
        <f t="shared" si="23"/>
        <v>102.13209569999999</v>
      </c>
    </row>
    <row r="84" spans="1:41" x14ac:dyDescent="0.35">
      <c r="A84" t="s">
        <v>32</v>
      </c>
      <c r="B84" s="4">
        <v>9940328991</v>
      </c>
      <c r="C84" t="s">
        <v>121</v>
      </c>
      <c r="D84" t="s">
        <v>232</v>
      </c>
      <c r="E84" t="s">
        <v>26</v>
      </c>
      <c r="F84" s="2">
        <v>36.695569999999996</v>
      </c>
      <c r="G84" s="2">
        <v>38.256439999999998</v>
      </c>
      <c r="H84" s="2">
        <v>30.07808</v>
      </c>
      <c r="I84" s="2">
        <v>24.972490000000001</v>
      </c>
      <c r="J84" s="2">
        <v>27.700060000000001</v>
      </c>
      <c r="K84" s="2">
        <v>29.302299999999999</v>
      </c>
      <c r="L84" s="2">
        <v>23.388089999999998</v>
      </c>
      <c r="M84" s="2">
        <v>22.46923</v>
      </c>
      <c r="N84" s="2">
        <v>31.65128</v>
      </c>
      <c r="O84" s="2">
        <v>24.354189999999999</v>
      </c>
      <c r="P84" s="2">
        <v>19.3211592</v>
      </c>
      <c r="Q84" s="2">
        <v>13.4641308</v>
      </c>
      <c r="R84" s="2">
        <f t="shared" si="12"/>
        <v>105.03009</v>
      </c>
      <c r="S84" s="2">
        <f t="shared" si="13"/>
        <v>81.974850000000004</v>
      </c>
      <c r="T84" s="2">
        <f t="shared" si="14"/>
        <v>77.508600000000001</v>
      </c>
      <c r="U84" s="2">
        <f t="shared" si="15"/>
        <v>57.139479999999999</v>
      </c>
      <c r="V84" s="2">
        <f t="shared" si="20"/>
        <v>32.785290000000003</v>
      </c>
      <c r="W84" s="2">
        <f t="shared" si="21"/>
        <v>321.65302000000003</v>
      </c>
      <c r="X84" s="2">
        <v>14.85314</v>
      </c>
      <c r="Y84" s="2">
        <v>10.532439999999999</v>
      </c>
      <c r="Z84" s="2">
        <v>10.52614</v>
      </c>
      <c r="AA84" s="2">
        <v>6.5091299999999999</v>
      </c>
      <c r="AB84" s="2">
        <v>8.7371300000000005</v>
      </c>
      <c r="AC84" s="2">
        <v>8.2142199999999992</v>
      </c>
      <c r="AD84" s="2">
        <v>4.5025700000000004</v>
      </c>
      <c r="AE84" s="2">
        <v>8.9661899999999992</v>
      </c>
      <c r="AF84" s="2">
        <v>16.253160000000001</v>
      </c>
      <c r="AG84" s="2">
        <v>7.2938099999999997</v>
      </c>
      <c r="AH84" s="2">
        <v>5.7763352000000001</v>
      </c>
      <c r="AI84" s="2">
        <v>5.2510415999999998</v>
      </c>
      <c r="AJ84" s="2">
        <f t="shared" si="16"/>
        <v>35.911719999999995</v>
      </c>
      <c r="AK84" s="2">
        <f t="shared" si="17"/>
        <v>23.460479999999997</v>
      </c>
      <c r="AL84" s="2">
        <f t="shared" si="18"/>
        <v>29.721920000000001</v>
      </c>
      <c r="AM84" s="2">
        <f t="shared" si="19"/>
        <v>18.3211868</v>
      </c>
      <c r="AN84" s="2">
        <f t="shared" si="22"/>
        <v>11.027376799999999</v>
      </c>
      <c r="AO84" s="2">
        <f t="shared" si="23"/>
        <v>107.4153068</v>
      </c>
    </row>
    <row r="85" spans="1:41" x14ac:dyDescent="0.35">
      <c r="A85" t="s">
        <v>32</v>
      </c>
      <c r="B85" s="4">
        <v>9940486103</v>
      </c>
      <c r="C85" t="s">
        <v>122</v>
      </c>
      <c r="D85" t="s">
        <v>221</v>
      </c>
      <c r="E85" t="s">
        <v>26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/>
      <c r="Q85" s="2"/>
      <c r="R85" s="2">
        <f t="shared" si="12"/>
        <v>0</v>
      </c>
      <c r="S85" s="2">
        <f t="shared" si="13"/>
        <v>0</v>
      </c>
      <c r="T85" s="2">
        <f t="shared" si="14"/>
        <v>0</v>
      </c>
      <c r="U85" s="2">
        <f t="shared" si="15"/>
        <v>0</v>
      </c>
      <c r="V85" s="2">
        <f t="shared" si="20"/>
        <v>0</v>
      </c>
      <c r="W85" s="2">
        <f t="shared" si="21"/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/>
      <c r="AI85" s="2"/>
      <c r="AJ85" s="2">
        <f t="shared" si="16"/>
        <v>0</v>
      </c>
      <c r="AK85" s="2">
        <f t="shared" si="17"/>
        <v>0</v>
      </c>
      <c r="AL85" s="2">
        <f t="shared" si="18"/>
        <v>0</v>
      </c>
      <c r="AM85" s="2">
        <f t="shared" si="19"/>
        <v>0</v>
      </c>
      <c r="AN85" s="2">
        <f t="shared" si="22"/>
        <v>0</v>
      </c>
      <c r="AO85" s="2">
        <f t="shared" si="23"/>
        <v>0</v>
      </c>
    </row>
    <row r="86" spans="1:41" x14ac:dyDescent="0.35">
      <c r="A86" t="s">
        <v>32</v>
      </c>
      <c r="B86" s="4">
        <v>9940468282</v>
      </c>
      <c r="C86" t="s">
        <v>66</v>
      </c>
      <c r="D86" t="s">
        <v>235</v>
      </c>
      <c r="E86" t="s">
        <v>26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/>
      <c r="Q86" s="2"/>
      <c r="R86" s="2">
        <f t="shared" si="12"/>
        <v>0</v>
      </c>
      <c r="S86" s="2">
        <f t="shared" si="13"/>
        <v>0</v>
      </c>
      <c r="T86" s="2">
        <f t="shared" si="14"/>
        <v>0</v>
      </c>
      <c r="U86" s="2">
        <f t="shared" si="15"/>
        <v>0</v>
      </c>
      <c r="V86" s="2">
        <f t="shared" si="20"/>
        <v>0</v>
      </c>
      <c r="W86" s="2">
        <f t="shared" si="21"/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/>
      <c r="AI86" s="2"/>
      <c r="AJ86" s="2">
        <f t="shared" si="16"/>
        <v>0</v>
      </c>
      <c r="AK86" s="2">
        <f t="shared" si="17"/>
        <v>0</v>
      </c>
      <c r="AL86" s="2">
        <f t="shared" si="18"/>
        <v>0</v>
      </c>
      <c r="AM86" s="2">
        <f t="shared" si="19"/>
        <v>0</v>
      </c>
      <c r="AN86" s="2">
        <f t="shared" si="22"/>
        <v>0</v>
      </c>
      <c r="AO86" s="2">
        <f t="shared" si="23"/>
        <v>0</v>
      </c>
    </row>
    <row r="87" spans="1:41" x14ac:dyDescent="0.35">
      <c r="A87" t="s">
        <v>32</v>
      </c>
      <c r="B87" s="4">
        <v>9940501370</v>
      </c>
      <c r="C87" t="s">
        <v>123</v>
      </c>
      <c r="D87" t="s">
        <v>258</v>
      </c>
      <c r="E87" t="s">
        <v>26</v>
      </c>
      <c r="F87" s="2">
        <v>0</v>
      </c>
      <c r="G87" s="2">
        <v>0</v>
      </c>
      <c r="H87" s="2">
        <v>-6.2071899999999998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/>
      <c r="Q87" s="2"/>
      <c r="R87" s="2">
        <f t="shared" si="12"/>
        <v>-6.2071899999999998</v>
      </c>
      <c r="S87" s="2">
        <f t="shared" si="13"/>
        <v>0</v>
      </c>
      <c r="T87" s="2">
        <f t="shared" si="14"/>
        <v>0</v>
      </c>
      <c r="U87" s="2">
        <f t="shared" si="15"/>
        <v>0</v>
      </c>
      <c r="V87" s="2">
        <f t="shared" si="20"/>
        <v>0</v>
      </c>
      <c r="W87" s="2">
        <f t="shared" si="21"/>
        <v>-6.2071899999999998</v>
      </c>
      <c r="X87" s="2">
        <v>1.7410000000000001</v>
      </c>
      <c r="Y87" s="2">
        <v>-25.694030000000001</v>
      </c>
      <c r="Z87" s="2">
        <v>-8.0571400000000004</v>
      </c>
      <c r="AA87" s="2">
        <v>-3.9336000000000002</v>
      </c>
      <c r="AB87" s="2">
        <v>0.96747000000000005</v>
      </c>
      <c r="AC87" s="2">
        <v>-4.3356599999999998</v>
      </c>
      <c r="AD87" s="2">
        <v>1.43205</v>
      </c>
      <c r="AE87" s="2">
        <v>-81.978340000000003</v>
      </c>
      <c r="AF87" s="2">
        <v>95.535300000000007</v>
      </c>
      <c r="AG87" s="2">
        <v>0.69049000000000005</v>
      </c>
      <c r="AH87" s="2"/>
      <c r="AI87" s="2"/>
      <c r="AJ87" s="2">
        <f t="shared" si="16"/>
        <v>-32.010170000000002</v>
      </c>
      <c r="AK87" s="2">
        <f t="shared" si="17"/>
        <v>-7.3017900000000004</v>
      </c>
      <c r="AL87" s="2">
        <f t="shared" si="18"/>
        <v>14.989010000000007</v>
      </c>
      <c r="AM87" s="2">
        <f t="shared" si="19"/>
        <v>0.69049000000000005</v>
      </c>
      <c r="AN87" s="2">
        <f t="shared" si="22"/>
        <v>0</v>
      </c>
      <c r="AO87" s="2">
        <f t="shared" si="23"/>
        <v>-23.632459999999991</v>
      </c>
    </row>
    <row r="88" spans="1:41" x14ac:dyDescent="0.35">
      <c r="A88" t="s">
        <v>32</v>
      </c>
      <c r="B88" s="4">
        <v>9940522145</v>
      </c>
      <c r="C88" t="s">
        <v>124</v>
      </c>
      <c r="D88" t="s">
        <v>223</v>
      </c>
      <c r="E88" t="s">
        <v>26</v>
      </c>
      <c r="F88" s="2">
        <v>8.6506600000000002</v>
      </c>
      <c r="G88" s="2">
        <v>7.2261199999999999</v>
      </c>
      <c r="H88" s="2">
        <v>9.5437899999999996</v>
      </c>
      <c r="I88" s="2">
        <v>9.3824299999999994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/>
      <c r="Q88" s="2"/>
      <c r="R88" s="2">
        <f t="shared" si="12"/>
        <v>25.420569999999998</v>
      </c>
      <c r="S88" s="2">
        <f t="shared" si="13"/>
        <v>9.3824299999999994</v>
      </c>
      <c r="T88" s="2">
        <f t="shared" si="14"/>
        <v>0</v>
      </c>
      <c r="U88" s="2">
        <f t="shared" si="15"/>
        <v>0</v>
      </c>
      <c r="V88" s="2">
        <f t="shared" si="20"/>
        <v>0</v>
      </c>
      <c r="W88" s="2">
        <f t="shared" si="21"/>
        <v>34.802999999999997</v>
      </c>
      <c r="X88" s="2">
        <v>3.7255699999999998</v>
      </c>
      <c r="Y88" s="2">
        <v>1.4722900000000001</v>
      </c>
      <c r="Z88" s="2">
        <v>3.82606</v>
      </c>
      <c r="AA88" s="2">
        <v>3.69611</v>
      </c>
      <c r="AB88" s="2">
        <v>-0.18479999999999999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/>
      <c r="AI88" s="2"/>
      <c r="AJ88" s="2">
        <f t="shared" si="16"/>
        <v>9.0239200000000004</v>
      </c>
      <c r="AK88" s="2">
        <f t="shared" si="17"/>
        <v>3.5113099999999999</v>
      </c>
      <c r="AL88" s="2">
        <f t="shared" si="18"/>
        <v>0</v>
      </c>
      <c r="AM88" s="2">
        <f t="shared" si="19"/>
        <v>0</v>
      </c>
      <c r="AN88" s="2">
        <f t="shared" si="22"/>
        <v>0</v>
      </c>
      <c r="AO88" s="2">
        <f t="shared" si="23"/>
        <v>12.53523</v>
      </c>
    </row>
    <row r="89" spans="1:41" x14ac:dyDescent="0.35">
      <c r="A89" t="s">
        <v>32</v>
      </c>
      <c r="B89" s="4">
        <v>9940523454</v>
      </c>
      <c r="C89" t="s">
        <v>125</v>
      </c>
      <c r="D89" t="s">
        <v>232</v>
      </c>
      <c r="E89" t="s">
        <v>26</v>
      </c>
      <c r="F89" s="2">
        <v>1.3806499999999999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/>
      <c r="Q89" s="2"/>
      <c r="R89" s="2">
        <f t="shared" si="12"/>
        <v>1.3806499999999999</v>
      </c>
      <c r="S89" s="2">
        <f t="shared" si="13"/>
        <v>0</v>
      </c>
      <c r="T89" s="2">
        <f t="shared" si="14"/>
        <v>0</v>
      </c>
      <c r="U89" s="2">
        <f t="shared" si="15"/>
        <v>0</v>
      </c>
      <c r="V89" s="2">
        <f t="shared" si="20"/>
        <v>0</v>
      </c>
      <c r="W89" s="2">
        <f t="shared" si="21"/>
        <v>1.3806499999999999</v>
      </c>
      <c r="X89" s="2">
        <v>1.3869499999999999</v>
      </c>
      <c r="Y89" s="2">
        <v>-4.8039999999999999E-2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/>
      <c r="AI89" s="2"/>
      <c r="AJ89" s="2">
        <f t="shared" si="16"/>
        <v>1.3389099999999998</v>
      </c>
      <c r="AK89" s="2">
        <f t="shared" si="17"/>
        <v>0</v>
      </c>
      <c r="AL89" s="2">
        <f t="shared" si="18"/>
        <v>0</v>
      </c>
      <c r="AM89" s="2">
        <f t="shared" si="19"/>
        <v>0</v>
      </c>
      <c r="AN89" s="2">
        <f t="shared" si="22"/>
        <v>0</v>
      </c>
      <c r="AO89" s="2">
        <f t="shared" si="23"/>
        <v>1.3389099999999998</v>
      </c>
    </row>
    <row r="90" spans="1:41" x14ac:dyDescent="0.35">
      <c r="A90" t="s">
        <v>32</v>
      </c>
      <c r="B90" s="4">
        <v>9940554229</v>
      </c>
      <c r="C90" t="s">
        <v>126</v>
      </c>
      <c r="D90" t="s">
        <v>241</v>
      </c>
      <c r="E90" t="s">
        <v>26</v>
      </c>
      <c r="F90" s="2"/>
      <c r="G90" s="2"/>
      <c r="H90" s="2">
        <v>0</v>
      </c>
      <c r="I90" s="2">
        <v>0.92400000000000004</v>
      </c>
      <c r="J90" s="2">
        <v>3.0079999999999999E-2</v>
      </c>
      <c r="K90" s="2">
        <v>0.13258</v>
      </c>
      <c r="L90" s="2">
        <v>0</v>
      </c>
      <c r="M90" s="2">
        <v>0</v>
      </c>
      <c r="N90" s="2">
        <v>0</v>
      </c>
      <c r="O90" s="2">
        <v>0</v>
      </c>
      <c r="P90" s="2"/>
      <c r="Q90" s="2"/>
      <c r="R90" s="2">
        <f t="shared" si="12"/>
        <v>0</v>
      </c>
      <c r="S90" s="2">
        <f t="shared" si="13"/>
        <v>1.08666</v>
      </c>
      <c r="T90" s="2">
        <f t="shared" si="14"/>
        <v>0</v>
      </c>
      <c r="U90" s="2">
        <f t="shared" si="15"/>
        <v>0</v>
      </c>
      <c r="V90" s="2">
        <f t="shared" si="20"/>
        <v>0</v>
      </c>
      <c r="W90" s="2">
        <f t="shared" si="21"/>
        <v>1.08666</v>
      </c>
      <c r="X90" s="2"/>
      <c r="Y90" s="2"/>
      <c r="Z90" s="2">
        <v>0</v>
      </c>
      <c r="AA90" s="2">
        <v>0.34036</v>
      </c>
      <c r="AB90" s="2">
        <v>-1.357E-2</v>
      </c>
      <c r="AC90" s="2">
        <v>0.13400999999999999</v>
      </c>
      <c r="AD90" s="2">
        <v>0</v>
      </c>
      <c r="AE90" s="2">
        <v>0</v>
      </c>
      <c r="AF90" s="2">
        <v>0</v>
      </c>
      <c r="AG90" s="2">
        <v>0</v>
      </c>
      <c r="AH90" s="2"/>
      <c r="AI90" s="2"/>
      <c r="AJ90" s="2">
        <f t="shared" si="16"/>
        <v>0</v>
      </c>
      <c r="AK90" s="2">
        <f t="shared" si="17"/>
        <v>0.46079999999999999</v>
      </c>
      <c r="AL90" s="2">
        <f t="shared" si="18"/>
        <v>0</v>
      </c>
      <c r="AM90" s="2">
        <f t="shared" si="19"/>
        <v>0</v>
      </c>
      <c r="AN90" s="2">
        <f t="shared" si="22"/>
        <v>0</v>
      </c>
      <c r="AO90" s="2">
        <f t="shared" si="23"/>
        <v>0.46079999999999999</v>
      </c>
    </row>
    <row r="91" spans="1:41" x14ac:dyDescent="0.35">
      <c r="A91" t="s">
        <v>32</v>
      </c>
      <c r="B91" s="4">
        <v>9940288969</v>
      </c>
      <c r="C91" t="s">
        <v>127</v>
      </c>
      <c r="D91" t="s">
        <v>231</v>
      </c>
      <c r="E91" t="s">
        <v>26</v>
      </c>
      <c r="F91" s="2">
        <v>58.582549999999998</v>
      </c>
      <c r="G91" s="2">
        <v>76.524600000000007</v>
      </c>
      <c r="H91" s="2">
        <v>116.69571000000001</v>
      </c>
      <c r="I91" s="2">
        <v>84.440470000000005</v>
      </c>
      <c r="J91" s="2">
        <v>84.387680000000003</v>
      </c>
      <c r="K91" s="2">
        <v>113.0658</v>
      </c>
      <c r="L91" s="2">
        <v>137.61651000000001</v>
      </c>
      <c r="M91" s="2">
        <v>139.1317</v>
      </c>
      <c r="N91" s="2">
        <v>146.74222</v>
      </c>
      <c r="O91" s="2">
        <v>141.84047000000001</v>
      </c>
      <c r="P91" s="2">
        <v>10.7896041</v>
      </c>
      <c r="Q91" s="2">
        <v>0</v>
      </c>
      <c r="R91" s="2">
        <f t="shared" si="12"/>
        <v>251.80286000000001</v>
      </c>
      <c r="S91" s="2">
        <f t="shared" si="13"/>
        <v>281.89395000000002</v>
      </c>
      <c r="T91" s="2">
        <f t="shared" si="14"/>
        <v>423.49042999999995</v>
      </c>
      <c r="U91" s="2">
        <f t="shared" si="15"/>
        <v>152.6300741</v>
      </c>
      <c r="V91" s="2">
        <f t="shared" si="20"/>
        <v>10.7896041</v>
      </c>
      <c r="W91" s="2">
        <f t="shared" si="21"/>
        <v>1109.8173141</v>
      </c>
      <c r="X91" s="2">
        <v>19.698029999999999</v>
      </c>
      <c r="Y91" s="2">
        <v>26.599910000000001</v>
      </c>
      <c r="Z91" s="2">
        <v>56.384520000000002</v>
      </c>
      <c r="AA91" s="2">
        <v>29.74945</v>
      </c>
      <c r="AB91" s="2">
        <v>38.42154</v>
      </c>
      <c r="AC91" s="2">
        <v>41.358089999999997</v>
      </c>
      <c r="AD91" s="2">
        <v>50.511029999999998</v>
      </c>
      <c r="AE91" s="2">
        <v>53.82302</v>
      </c>
      <c r="AF91" s="2">
        <v>58.10042</v>
      </c>
      <c r="AG91" s="2">
        <v>50.492730000000002</v>
      </c>
      <c r="AH91" s="2">
        <v>-2.2801086000000002</v>
      </c>
      <c r="AI91" s="2">
        <v>-4.2706026000000001</v>
      </c>
      <c r="AJ91" s="2">
        <f t="shared" si="16"/>
        <v>102.68245999999999</v>
      </c>
      <c r="AK91" s="2">
        <f t="shared" si="17"/>
        <v>109.52907999999999</v>
      </c>
      <c r="AL91" s="2">
        <f t="shared" si="18"/>
        <v>162.43446999999998</v>
      </c>
      <c r="AM91" s="2">
        <f t="shared" si="19"/>
        <v>43.9420188</v>
      </c>
      <c r="AN91" s="2">
        <f t="shared" si="22"/>
        <v>-6.5507112000000003</v>
      </c>
      <c r="AO91" s="2">
        <f t="shared" si="23"/>
        <v>418.58802879999996</v>
      </c>
    </row>
    <row r="92" spans="1:41" x14ac:dyDescent="0.35">
      <c r="A92" t="s">
        <v>32</v>
      </c>
      <c r="B92" s="4">
        <v>9940465210</v>
      </c>
      <c r="C92" t="s">
        <v>128</v>
      </c>
      <c r="D92" t="s">
        <v>235</v>
      </c>
      <c r="E92" t="s">
        <v>26</v>
      </c>
      <c r="F92" s="2">
        <v>156.93573000000001</v>
      </c>
      <c r="G92" s="2">
        <v>181.93142</v>
      </c>
      <c r="H92" s="2">
        <v>66.968050000000005</v>
      </c>
      <c r="I92" s="2">
        <v>42.71705</v>
      </c>
      <c r="J92" s="2">
        <v>249.13535999999999</v>
      </c>
      <c r="K92" s="2">
        <v>194.21406999999999</v>
      </c>
      <c r="L92" s="2">
        <v>92.308189999999996</v>
      </c>
      <c r="M92" s="2">
        <v>21.558759999999999</v>
      </c>
      <c r="N92" s="2">
        <v>57.453569999999999</v>
      </c>
      <c r="O92" s="2">
        <v>218.60775000000001</v>
      </c>
      <c r="P92" s="2">
        <v>153.74955</v>
      </c>
      <c r="Q92" s="2">
        <v>157.08435</v>
      </c>
      <c r="R92" s="2">
        <f t="shared" si="12"/>
        <v>405.83520000000004</v>
      </c>
      <c r="S92" s="2">
        <f t="shared" si="13"/>
        <v>486.06647999999996</v>
      </c>
      <c r="T92" s="2">
        <f t="shared" si="14"/>
        <v>171.32051999999999</v>
      </c>
      <c r="U92" s="2">
        <f t="shared" si="15"/>
        <v>529.44164999999998</v>
      </c>
      <c r="V92" s="2">
        <f t="shared" si="20"/>
        <v>310.83389999999997</v>
      </c>
      <c r="W92" s="2">
        <f t="shared" si="21"/>
        <v>1592.6638499999999</v>
      </c>
      <c r="X92" s="2">
        <v>42.998919999999998</v>
      </c>
      <c r="Y92" s="2">
        <v>39.536540000000002</v>
      </c>
      <c r="Z92" s="2">
        <v>2.4518200000000001</v>
      </c>
      <c r="AA92" s="2">
        <v>-0.88392000000000004</v>
      </c>
      <c r="AB92" s="2">
        <v>126.62519</v>
      </c>
      <c r="AC92" s="2">
        <v>50.953279999999999</v>
      </c>
      <c r="AD92" s="2">
        <v>18.999479999999998</v>
      </c>
      <c r="AE92" s="2">
        <v>-11.649279999999999</v>
      </c>
      <c r="AF92" s="2">
        <v>19.12219</v>
      </c>
      <c r="AG92" s="2">
        <v>70.887190000000004</v>
      </c>
      <c r="AH92" s="2">
        <v>52.829430000000002</v>
      </c>
      <c r="AI92" s="2">
        <v>49.846179999999997</v>
      </c>
      <c r="AJ92" s="2">
        <f t="shared" si="16"/>
        <v>84.987279999999998</v>
      </c>
      <c r="AK92" s="2">
        <f t="shared" si="17"/>
        <v>176.69454999999999</v>
      </c>
      <c r="AL92" s="2">
        <f t="shared" si="18"/>
        <v>26.472389999999997</v>
      </c>
      <c r="AM92" s="2">
        <f t="shared" si="19"/>
        <v>173.56280000000001</v>
      </c>
      <c r="AN92" s="2">
        <f t="shared" si="22"/>
        <v>102.67561000000001</v>
      </c>
      <c r="AO92" s="2">
        <f t="shared" si="23"/>
        <v>461.71702000000005</v>
      </c>
    </row>
    <row r="93" spans="1:41" x14ac:dyDescent="0.35">
      <c r="A93" t="s">
        <v>32</v>
      </c>
      <c r="B93" s="4">
        <v>9940505235</v>
      </c>
      <c r="C93" t="s">
        <v>129</v>
      </c>
      <c r="D93" t="s">
        <v>223</v>
      </c>
      <c r="E93" t="s">
        <v>26</v>
      </c>
      <c r="F93" s="2">
        <v>6.1311600000000004</v>
      </c>
      <c r="G93" s="2">
        <v>1.9123399999999999</v>
      </c>
      <c r="H93" s="2">
        <v>0.96569000000000005</v>
      </c>
      <c r="I93" s="2">
        <v>8.43445</v>
      </c>
      <c r="J93" s="2">
        <v>0.24922</v>
      </c>
      <c r="K93" s="2">
        <v>0.26155</v>
      </c>
      <c r="L93" s="2">
        <v>32.3643</v>
      </c>
      <c r="M93" s="2">
        <v>0.28946</v>
      </c>
      <c r="N93" s="2">
        <v>0.30367</v>
      </c>
      <c r="O93" s="2">
        <v>12.44528</v>
      </c>
      <c r="P93" s="2">
        <v>19.1096</v>
      </c>
      <c r="Q93" s="2">
        <v>6.9843099999999998</v>
      </c>
      <c r="R93" s="2">
        <f t="shared" si="12"/>
        <v>9.0091900000000003</v>
      </c>
      <c r="S93" s="2">
        <f t="shared" si="13"/>
        <v>8.9452199999999991</v>
      </c>
      <c r="T93" s="2">
        <f t="shared" si="14"/>
        <v>32.957429999999995</v>
      </c>
      <c r="U93" s="2">
        <f t="shared" si="15"/>
        <v>38.539189999999998</v>
      </c>
      <c r="V93" s="2">
        <f t="shared" si="20"/>
        <v>26.093910000000001</v>
      </c>
      <c r="W93" s="2">
        <f t="shared" si="21"/>
        <v>89.451030000000003</v>
      </c>
      <c r="X93" s="2">
        <v>-13.300050000000001</v>
      </c>
      <c r="Y93" s="2">
        <v>0.25979000000000002</v>
      </c>
      <c r="Z93" s="2">
        <v>-7.4720399999999998</v>
      </c>
      <c r="AA93" s="2">
        <v>0.24365999999999999</v>
      </c>
      <c r="AB93" s="2">
        <v>-8.1499600000000001</v>
      </c>
      <c r="AC93" s="2">
        <v>-8.4897399999999994</v>
      </c>
      <c r="AD93" s="2">
        <v>27.8796</v>
      </c>
      <c r="AE93" s="2">
        <v>-0.99461999999999995</v>
      </c>
      <c r="AF93" s="2">
        <v>-1.01993</v>
      </c>
      <c r="AG93" s="2">
        <v>6.1977099999999998</v>
      </c>
      <c r="AH93" s="2">
        <v>5.77712</v>
      </c>
      <c r="AI93" s="2">
        <v>1.91185</v>
      </c>
      <c r="AJ93" s="2">
        <f t="shared" si="16"/>
        <v>-20.5123</v>
      </c>
      <c r="AK93" s="2">
        <f t="shared" si="17"/>
        <v>-16.396039999999999</v>
      </c>
      <c r="AL93" s="2">
        <f t="shared" si="18"/>
        <v>25.86505</v>
      </c>
      <c r="AM93" s="2">
        <f t="shared" si="19"/>
        <v>13.88668</v>
      </c>
      <c r="AN93" s="2">
        <f t="shared" si="22"/>
        <v>7.6889700000000003</v>
      </c>
      <c r="AO93" s="2">
        <f t="shared" si="23"/>
        <v>2.8433900000000047</v>
      </c>
    </row>
    <row r="94" spans="1:41" x14ac:dyDescent="0.35">
      <c r="A94" t="s">
        <v>32</v>
      </c>
      <c r="B94" s="4">
        <v>9940523857</v>
      </c>
      <c r="C94" t="s">
        <v>130</v>
      </c>
      <c r="D94" t="s">
        <v>259</v>
      </c>
      <c r="E94" t="s">
        <v>26</v>
      </c>
      <c r="F94" s="2">
        <v>119.24433999999999</v>
      </c>
      <c r="G94" s="2">
        <v>151.83270999999999</v>
      </c>
      <c r="H94" s="2">
        <v>105.72150999999999</v>
      </c>
      <c r="I94" s="2">
        <v>86.110919999999993</v>
      </c>
      <c r="J94" s="2">
        <v>102.54836</v>
      </c>
      <c r="K94" s="2">
        <v>80.321820000000002</v>
      </c>
      <c r="L94" s="2">
        <v>97.582819999999998</v>
      </c>
      <c r="M94" s="2">
        <v>69.583309999999997</v>
      </c>
      <c r="N94" s="2">
        <v>38.137149999999998</v>
      </c>
      <c r="O94" s="2">
        <v>8.9643700000000006</v>
      </c>
      <c r="P94" s="2">
        <v>8.8274299999999997</v>
      </c>
      <c r="Q94" s="2">
        <v>0</v>
      </c>
      <c r="R94" s="2">
        <f t="shared" si="12"/>
        <v>376.79855999999995</v>
      </c>
      <c r="S94" s="2">
        <f t="shared" si="13"/>
        <v>268.98109999999997</v>
      </c>
      <c r="T94" s="2">
        <f t="shared" si="14"/>
        <v>205.30328</v>
      </c>
      <c r="U94" s="2">
        <f t="shared" si="15"/>
        <v>17.791800000000002</v>
      </c>
      <c r="V94" s="2">
        <f t="shared" si="20"/>
        <v>8.8274299999999997</v>
      </c>
      <c r="W94" s="2">
        <f t="shared" si="21"/>
        <v>868.87473999999986</v>
      </c>
      <c r="X94" s="2">
        <v>51.390169999999998</v>
      </c>
      <c r="Y94" s="2">
        <v>61.690980000000003</v>
      </c>
      <c r="Z94" s="2">
        <v>42.193930000000002</v>
      </c>
      <c r="AA94" s="2">
        <v>30.963239999999999</v>
      </c>
      <c r="AB94" s="2">
        <v>40.535089999999997</v>
      </c>
      <c r="AC94" s="2">
        <v>36.001249999999999</v>
      </c>
      <c r="AD94" s="2">
        <v>50.284059999999997</v>
      </c>
      <c r="AE94" s="2">
        <v>27.015409999999999</v>
      </c>
      <c r="AF94" s="2">
        <v>9.7409400000000002</v>
      </c>
      <c r="AG94" s="2">
        <v>2.33432</v>
      </c>
      <c r="AH94" s="2">
        <v>2.2137699999999998</v>
      </c>
      <c r="AI94" s="2">
        <v>-0.83218000000000003</v>
      </c>
      <c r="AJ94" s="2">
        <f t="shared" si="16"/>
        <v>155.27508</v>
      </c>
      <c r="AK94" s="2">
        <f t="shared" si="17"/>
        <v>107.49957999999999</v>
      </c>
      <c r="AL94" s="2">
        <f t="shared" si="18"/>
        <v>87.040409999999994</v>
      </c>
      <c r="AM94" s="2">
        <f t="shared" si="19"/>
        <v>3.71591</v>
      </c>
      <c r="AN94" s="2">
        <f t="shared" si="22"/>
        <v>1.3815899999999997</v>
      </c>
      <c r="AO94" s="2">
        <f t="shared" si="23"/>
        <v>353.53098</v>
      </c>
    </row>
    <row r="95" spans="1:41" x14ac:dyDescent="0.35">
      <c r="A95" t="s">
        <v>32</v>
      </c>
      <c r="B95" s="4">
        <v>9940556382</v>
      </c>
      <c r="C95" t="s">
        <v>131</v>
      </c>
      <c r="D95" t="s">
        <v>223</v>
      </c>
      <c r="E95" t="s">
        <v>26</v>
      </c>
      <c r="F95" s="2"/>
      <c r="G95" s="2"/>
      <c r="H95" s="2"/>
      <c r="I95" s="2">
        <v>439.3689</v>
      </c>
      <c r="J95" s="2">
        <v>0</v>
      </c>
      <c r="K95" s="2">
        <v>1.0499999999999999E-3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f t="shared" si="12"/>
        <v>0</v>
      </c>
      <c r="S95" s="2">
        <f t="shared" si="13"/>
        <v>439.36995000000002</v>
      </c>
      <c r="T95" s="2">
        <f t="shared" si="14"/>
        <v>0</v>
      </c>
      <c r="U95" s="2">
        <f t="shared" si="15"/>
        <v>0</v>
      </c>
      <c r="V95" s="2">
        <f t="shared" si="20"/>
        <v>0</v>
      </c>
      <c r="W95" s="2">
        <f t="shared" si="21"/>
        <v>439.36995000000002</v>
      </c>
      <c r="X95" s="2"/>
      <c r="Y95" s="2"/>
      <c r="Z95" s="2"/>
      <c r="AA95" s="2">
        <v>399.82569999999998</v>
      </c>
      <c r="AB95" s="2">
        <v>-4.3626199999999997</v>
      </c>
      <c r="AC95" s="2">
        <v>10.556229999999999</v>
      </c>
      <c r="AD95" s="2">
        <v>-7.5639900000000004</v>
      </c>
      <c r="AE95" s="2">
        <v>-9.5663499999999999</v>
      </c>
      <c r="AF95" s="2">
        <v>-7.54908</v>
      </c>
      <c r="AG95" s="2">
        <v>-12.79968</v>
      </c>
      <c r="AH95" s="2">
        <v>-27.67379</v>
      </c>
      <c r="AI95" s="2">
        <v>0</v>
      </c>
      <c r="AJ95" s="2">
        <f t="shared" si="16"/>
        <v>0</v>
      </c>
      <c r="AK95" s="2">
        <f t="shared" si="17"/>
        <v>406.01931000000002</v>
      </c>
      <c r="AL95" s="2">
        <f t="shared" si="18"/>
        <v>-24.67942</v>
      </c>
      <c r="AM95" s="2">
        <f t="shared" si="19"/>
        <v>-40.473469999999999</v>
      </c>
      <c r="AN95" s="2">
        <f t="shared" si="22"/>
        <v>-27.67379</v>
      </c>
      <c r="AO95" s="2">
        <f t="shared" si="23"/>
        <v>340.86642000000001</v>
      </c>
    </row>
    <row r="96" spans="1:41" x14ac:dyDescent="0.35">
      <c r="A96" t="s">
        <v>32</v>
      </c>
      <c r="B96" s="4">
        <v>9940572525</v>
      </c>
      <c r="C96" t="s">
        <v>132</v>
      </c>
      <c r="D96" t="s">
        <v>237</v>
      </c>
      <c r="E96" t="s">
        <v>26</v>
      </c>
      <c r="F96" s="2"/>
      <c r="G96" s="2"/>
      <c r="H96" s="2"/>
      <c r="I96" s="2"/>
      <c r="J96" s="2"/>
      <c r="K96" s="2"/>
      <c r="L96" s="2"/>
      <c r="M96" s="2">
        <v>0</v>
      </c>
      <c r="N96" s="2">
        <v>0</v>
      </c>
      <c r="O96" s="2">
        <v>95.474649999999997</v>
      </c>
      <c r="P96" s="2">
        <v>3.7496599999999998E-2</v>
      </c>
      <c r="Q96" s="2">
        <v>52.791236599999998</v>
      </c>
      <c r="R96" s="2">
        <f t="shared" si="12"/>
        <v>0</v>
      </c>
      <c r="S96" s="2">
        <f t="shared" si="13"/>
        <v>0</v>
      </c>
      <c r="T96" s="2">
        <f t="shared" si="14"/>
        <v>0</v>
      </c>
      <c r="U96" s="2">
        <f t="shared" si="15"/>
        <v>148.30338319999998</v>
      </c>
      <c r="V96" s="2">
        <f t="shared" si="20"/>
        <v>52.828733199999995</v>
      </c>
      <c r="W96" s="2">
        <f t="shared" si="21"/>
        <v>148.30338319999998</v>
      </c>
      <c r="X96" s="2"/>
      <c r="Y96" s="2"/>
      <c r="Z96" s="2"/>
      <c r="AA96" s="2"/>
      <c r="AB96" s="2"/>
      <c r="AC96" s="2"/>
      <c r="AD96" s="2"/>
      <c r="AE96" s="2">
        <v>0</v>
      </c>
      <c r="AF96" s="2">
        <v>0</v>
      </c>
      <c r="AG96" s="2">
        <v>45.960949999999997</v>
      </c>
      <c r="AH96" s="2">
        <v>4.9874049999999999</v>
      </c>
      <c r="AI96" s="2">
        <v>28.485308799999999</v>
      </c>
      <c r="AJ96" s="2">
        <f t="shared" si="16"/>
        <v>0</v>
      </c>
      <c r="AK96" s="2">
        <f t="shared" si="17"/>
        <v>0</v>
      </c>
      <c r="AL96" s="2">
        <f t="shared" si="18"/>
        <v>0</v>
      </c>
      <c r="AM96" s="2">
        <f t="shared" si="19"/>
        <v>79.433663800000005</v>
      </c>
      <c r="AN96" s="2">
        <f t="shared" si="22"/>
        <v>33.472713800000001</v>
      </c>
      <c r="AO96" s="2">
        <f t="shared" si="23"/>
        <v>79.433663800000005</v>
      </c>
    </row>
    <row r="97" spans="1:41" x14ac:dyDescent="0.35">
      <c r="A97" t="s">
        <v>32</v>
      </c>
      <c r="B97" s="4">
        <v>9940457475</v>
      </c>
      <c r="C97" t="s">
        <v>133</v>
      </c>
      <c r="D97" t="s">
        <v>231</v>
      </c>
      <c r="E97" t="s">
        <v>26</v>
      </c>
      <c r="F97" s="2">
        <v>95.262500000000003</v>
      </c>
      <c r="G97" s="2">
        <v>125.67034</v>
      </c>
      <c r="H97" s="2">
        <v>118.87345999999999</v>
      </c>
      <c r="I97" s="2">
        <v>117.03373000000001</v>
      </c>
      <c r="J97" s="2">
        <v>80.885990000000007</v>
      </c>
      <c r="K97" s="2">
        <v>0</v>
      </c>
      <c r="L97" s="2">
        <v>0</v>
      </c>
      <c r="M97" s="2">
        <v>0.70043999999999995</v>
      </c>
      <c r="N97" s="2">
        <v>0</v>
      </c>
      <c r="O97" s="2">
        <v>0</v>
      </c>
      <c r="P97" s="2"/>
      <c r="Q97" s="2"/>
      <c r="R97" s="2">
        <f t="shared" si="12"/>
        <v>339.80629999999996</v>
      </c>
      <c r="S97" s="2">
        <f t="shared" si="13"/>
        <v>197.91972000000001</v>
      </c>
      <c r="T97" s="2">
        <f t="shared" si="14"/>
        <v>0.70043999999999995</v>
      </c>
      <c r="U97" s="2">
        <f t="shared" si="15"/>
        <v>0</v>
      </c>
      <c r="V97" s="2">
        <f t="shared" si="20"/>
        <v>0</v>
      </c>
      <c r="W97" s="2">
        <f t="shared" si="21"/>
        <v>538.42645999999991</v>
      </c>
      <c r="X97" s="2">
        <v>35.881219999999999</v>
      </c>
      <c r="Y97" s="2">
        <v>43.351390000000002</v>
      </c>
      <c r="Z97" s="2">
        <v>45.171669999999999</v>
      </c>
      <c r="AA97" s="2">
        <v>46.884459999999997</v>
      </c>
      <c r="AB97" s="2">
        <v>29.640229999999999</v>
      </c>
      <c r="AC97" s="2">
        <v>-5.1171100000000003</v>
      </c>
      <c r="AD97" s="2">
        <v>-0.29842000000000002</v>
      </c>
      <c r="AE97" s="2">
        <v>0.98929</v>
      </c>
      <c r="AF97" s="2">
        <v>0</v>
      </c>
      <c r="AG97" s="2">
        <v>0</v>
      </c>
      <c r="AH97" s="2"/>
      <c r="AI97" s="2"/>
      <c r="AJ97" s="2">
        <f t="shared" si="16"/>
        <v>124.40428</v>
      </c>
      <c r="AK97" s="2">
        <f t="shared" si="17"/>
        <v>71.407579999999996</v>
      </c>
      <c r="AL97" s="2">
        <f t="shared" si="18"/>
        <v>0.69086999999999998</v>
      </c>
      <c r="AM97" s="2">
        <f t="shared" si="19"/>
        <v>0</v>
      </c>
      <c r="AN97" s="2">
        <f t="shared" si="22"/>
        <v>0</v>
      </c>
      <c r="AO97" s="2">
        <f t="shared" si="23"/>
        <v>196.50272999999999</v>
      </c>
    </row>
    <row r="98" spans="1:41" x14ac:dyDescent="0.35">
      <c r="A98" t="s">
        <v>32</v>
      </c>
      <c r="B98" s="4">
        <v>9940467325</v>
      </c>
      <c r="C98" t="s">
        <v>134</v>
      </c>
      <c r="D98" t="s">
        <v>260</v>
      </c>
      <c r="E98" t="s">
        <v>26</v>
      </c>
      <c r="F98" s="2">
        <v>719.88598999999999</v>
      </c>
      <c r="G98" s="2">
        <v>901.63115000000005</v>
      </c>
      <c r="H98" s="2">
        <v>-1655.82419</v>
      </c>
      <c r="I98" s="2">
        <v>645.00951999999995</v>
      </c>
      <c r="J98" s="2">
        <v>685.08897999999999</v>
      </c>
      <c r="K98" s="2">
        <v>-1786.4833100000001</v>
      </c>
      <c r="L98" s="2">
        <v>617.05614000000003</v>
      </c>
      <c r="M98" s="2">
        <v>538.92277999999999</v>
      </c>
      <c r="N98" s="2">
        <v>410.71758999999997</v>
      </c>
      <c r="O98" s="2">
        <v>554.81723</v>
      </c>
      <c r="P98" s="2">
        <v>388.29757999999998</v>
      </c>
      <c r="Q98" s="2">
        <v>540.80281000000002</v>
      </c>
      <c r="R98" s="2">
        <f t="shared" si="12"/>
        <v>-34.307050000000118</v>
      </c>
      <c r="S98" s="2">
        <f t="shared" si="13"/>
        <v>-456.38481000000002</v>
      </c>
      <c r="T98" s="2">
        <f t="shared" si="14"/>
        <v>1566.69651</v>
      </c>
      <c r="U98" s="2">
        <f t="shared" si="15"/>
        <v>1483.9176200000002</v>
      </c>
      <c r="V98" s="2">
        <f t="shared" si="20"/>
        <v>929.10039000000006</v>
      </c>
      <c r="W98" s="2">
        <f t="shared" si="21"/>
        <v>2559.92227</v>
      </c>
      <c r="X98" s="2">
        <v>141.81881000000001</v>
      </c>
      <c r="Y98" s="2">
        <v>164.41865000000001</v>
      </c>
      <c r="Z98" s="2">
        <v>-2283.5323800000001</v>
      </c>
      <c r="AA98" s="2">
        <v>4.2869000000000002</v>
      </c>
      <c r="AB98" s="2">
        <v>27.917470000000002</v>
      </c>
      <c r="AC98" s="2">
        <v>-2372.3803600000001</v>
      </c>
      <c r="AD98" s="2">
        <v>-66.918499999999995</v>
      </c>
      <c r="AE98" s="2">
        <v>-56.479559999999999</v>
      </c>
      <c r="AF98" s="2">
        <v>-64.982429999999994</v>
      </c>
      <c r="AG98" s="2">
        <v>-75.693619999999996</v>
      </c>
      <c r="AH98" s="2">
        <v>-6.6603000000000003</v>
      </c>
      <c r="AI98" s="2">
        <v>-97.396630000000002</v>
      </c>
      <c r="AJ98" s="2">
        <f t="shared" si="16"/>
        <v>-1977.29492</v>
      </c>
      <c r="AK98" s="2">
        <f t="shared" si="17"/>
        <v>-2340.1759900000002</v>
      </c>
      <c r="AL98" s="2">
        <f t="shared" si="18"/>
        <v>-188.38048999999998</v>
      </c>
      <c r="AM98" s="2">
        <f t="shared" si="19"/>
        <v>-179.75055</v>
      </c>
      <c r="AN98" s="2">
        <f t="shared" si="22"/>
        <v>-104.05693000000001</v>
      </c>
      <c r="AO98" s="2">
        <f t="shared" si="23"/>
        <v>-4685.6019499999993</v>
      </c>
    </row>
    <row r="99" spans="1:41" x14ac:dyDescent="0.35">
      <c r="A99" t="s">
        <v>32</v>
      </c>
      <c r="B99" s="4">
        <v>9940531641</v>
      </c>
      <c r="C99" t="s">
        <v>135</v>
      </c>
      <c r="D99" t="s">
        <v>240</v>
      </c>
      <c r="E99" t="s">
        <v>26</v>
      </c>
      <c r="F99" s="2">
        <v>115.48007</v>
      </c>
      <c r="G99" s="2">
        <v>126.31485000000001</v>
      </c>
      <c r="H99" s="2">
        <v>109.95325</v>
      </c>
      <c r="I99" s="2">
        <v>50.808210000000003</v>
      </c>
      <c r="J99" s="2">
        <v>87.79083</v>
      </c>
      <c r="K99" s="2">
        <v>105.20335</v>
      </c>
      <c r="L99" s="2">
        <v>90.105459999999994</v>
      </c>
      <c r="M99" s="2">
        <v>93.798310000000001</v>
      </c>
      <c r="N99" s="2">
        <v>97.860789999999994</v>
      </c>
      <c r="O99" s="2">
        <v>107.39528</v>
      </c>
      <c r="P99" s="2">
        <v>109.40452000000001</v>
      </c>
      <c r="Q99" s="2">
        <v>103.08793</v>
      </c>
      <c r="R99" s="2">
        <f t="shared" si="12"/>
        <v>351.74816999999996</v>
      </c>
      <c r="S99" s="2">
        <f t="shared" si="13"/>
        <v>243.80239</v>
      </c>
      <c r="T99" s="2">
        <f t="shared" si="14"/>
        <v>281.76456000000002</v>
      </c>
      <c r="U99" s="2">
        <f t="shared" si="15"/>
        <v>319.88773000000003</v>
      </c>
      <c r="V99" s="2">
        <f t="shared" si="20"/>
        <v>212.49245000000002</v>
      </c>
      <c r="W99" s="2">
        <f t="shared" si="21"/>
        <v>1197.2028500000001</v>
      </c>
      <c r="X99" s="2">
        <v>35.092370000000003</v>
      </c>
      <c r="Y99" s="2">
        <v>42.162140000000001</v>
      </c>
      <c r="Z99" s="2">
        <v>34.301389999999998</v>
      </c>
      <c r="AA99" s="2">
        <v>12.763999999999999</v>
      </c>
      <c r="AB99" s="2">
        <v>25.8658</v>
      </c>
      <c r="AC99" s="2">
        <v>36.390009999999997</v>
      </c>
      <c r="AD99" s="2">
        <v>25.430160000000001</v>
      </c>
      <c r="AE99" s="2">
        <v>27.345580000000002</v>
      </c>
      <c r="AF99" s="2">
        <v>29.475390000000001</v>
      </c>
      <c r="AG99" s="2">
        <v>24.079560000000001</v>
      </c>
      <c r="AH99" s="2">
        <v>37.440330000000003</v>
      </c>
      <c r="AI99" s="2">
        <v>28.13045</v>
      </c>
      <c r="AJ99" s="2">
        <f t="shared" si="16"/>
        <v>111.55590000000001</v>
      </c>
      <c r="AK99" s="2">
        <f t="shared" si="17"/>
        <v>75.019810000000007</v>
      </c>
      <c r="AL99" s="2">
        <f t="shared" si="18"/>
        <v>82.251130000000003</v>
      </c>
      <c r="AM99" s="2">
        <f t="shared" si="19"/>
        <v>89.65034</v>
      </c>
      <c r="AN99" s="2">
        <f t="shared" si="22"/>
        <v>65.570779999999999</v>
      </c>
      <c r="AO99" s="2">
        <f t="shared" si="23"/>
        <v>358.47717999999998</v>
      </c>
    </row>
    <row r="100" spans="1:41" x14ac:dyDescent="0.35">
      <c r="A100" t="s">
        <v>32</v>
      </c>
      <c r="B100" s="4">
        <v>9940547078</v>
      </c>
      <c r="C100" t="s">
        <v>136</v>
      </c>
      <c r="D100" t="s">
        <v>232</v>
      </c>
      <c r="E100" t="s">
        <v>26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f t="shared" si="12"/>
        <v>0</v>
      </c>
      <c r="S100" s="2">
        <f t="shared" si="13"/>
        <v>0</v>
      </c>
      <c r="T100" s="2">
        <f t="shared" si="14"/>
        <v>0</v>
      </c>
      <c r="U100" s="2">
        <f t="shared" si="15"/>
        <v>0</v>
      </c>
      <c r="V100" s="2">
        <f t="shared" si="20"/>
        <v>0</v>
      </c>
      <c r="W100" s="2">
        <f t="shared" si="21"/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f t="shared" si="16"/>
        <v>0</v>
      </c>
      <c r="AK100" s="2">
        <f t="shared" si="17"/>
        <v>0</v>
      </c>
      <c r="AL100" s="2">
        <f t="shared" si="18"/>
        <v>0</v>
      </c>
      <c r="AM100" s="2">
        <f t="shared" si="19"/>
        <v>0</v>
      </c>
      <c r="AN100" s="2">
        <f t="shared" si="22"/>
        <v>0</v>
      </c>
      <c r="AO100" s="2">
        <f t="shared" si="23"/>
        <v>0</v>
      </c>
    </row>
    <row r="101" spans="1:41" x14ac:dyDescent="0.35">
      <c r="A101" t="s">
        <v>32</v>
      </c>
      <c r="B101" s="4">
        <v>9940548855</v>
      </c>
      <c r="C101" t="s">
        <v>137</v>
      </c>
      <c r="D101" t="s">
        <v>221</v>
      </c>
      <c r="E101" t="s">
        <v>26</v>
      </c>
      <c r="F101" s="2"/>
      <c r="G101" s="2">
        <v>11.21231</v>
      </c>
      <c r="H101" s="2">
        <v>19.278870000000001</v>
      </c>
      <c r="I101" s="2">
        <v>15.008839999999999</v>
      </c>
      <c r="J101" s="2">
        <v>23.890989999999999</v>
      </c>
      <c r="K101" s="2">
        <v>21.257180000000002</v>
      </c>
      <c r="L101" s="2">
        <v>11.962820000000001</v>
      </c>
      <c r="M101" s="2">
        <v>16.578810000000001</v>
      </c>
      <c r="N101" s="2">
        <v>10.670970000000001</v>
      </c>
      <c r="O101" s="2">
        <v>2.50379</v>
      </c>
      <c r="P101" s="2">
        <v>0</v>
      </c>
      <c r="Q101" s="2">
        <v>0</v>
      </c>
      <c r="R101" s="2">
        <f t="shared" si="12"/>
        <v>30.49118</v>
      </c>
      <c r="S101" s="2">
        <f t="shared" si="13"/>
        <v>60.15701</v>
      </c>
      <c r="T101" s="2">
        <f t="shared" si="14"/>
        <v>39.212600000000002</v>
      </c>
      <c r="U101" s="2">
        <f t="shared" si="15"/>
        <v>2.50379</v>
      </c>
      <c r="V101" s="2">
        <f t="shared" si="20"/>
        <v>0</v>
      </c>
      <c r="W101" s="2">
        <f t="shared" si="21"/>
        <v>132.36458000000002</v>
      </c>
      <c r="X101" s="2"/>
      <c r="Y101" s="2">
        <v>4.7921500000000004</v>
      </c>
      <c r="Z101" s="2">
        <v>9.3500200000000007</v>
      </c>
      <c r="AA101" s="2">
        <v>6.2062999999999997</v>
      </c>
      <c r="AB101" s="2">
        <v>13.27591</v>
      </c>
      <c r="AC101" s="2">
        <v>10.7933</v>
      </c>
      <c r="AD101" s="2">
        <v>-0.52025999999999994</v>
      </c>
      <c r="AE101" s="2">
        <v>10.845359999999999</v>
      </c>
      <c r="AF101" s="2">
        <v>5.6711200000000002</v>
      </c>
      <c r="AG101" s="2">
        <v>-0.65100000000000002</v>
      </c>
      <c r="AH101" s="2">
        <v>-2.2612751000000002</v>
      </c>
      <c r="AI101" s="2">
        <v>-0.46414759999999999</v>
      </c>
      <c r="AJ101" s="2">
        <f t="shared" si="16"/>
        <v>14.14217</v>
      </c>
      <c r="AK101" s="2">
        <f t="shared" si="17"/>
        <v>30.275509999999997</v>
      </c>
      <c r="AL101" s="2">
        <f t="shared" si="18"/>
        <v>15.996219999999999</v>
      </c>
      <c r="AM101" s="2">
        <f t="shared" si="19"/>
        <v>-3.3764227000000004</v>
      </c>
      <c r="AN101" s="2">
        <f t="shared" si="22"/>
        <v>-2.7254227000000002</v>
      </c>
      <c r="AO101" s="2">
        <f t="shared" si="23"/>
        <v>57.037477299999999</v>
      </c>
    </row>
    <row r="102" spans="1:41" x14ac:dyDescent="0.35">
      <c r="A102" t="s">
        <v>281</v>
      </c>
      <c r="B102" s="4">
        <v>9940486464</v>
      </c>
      <c r="C102" t="s">
        <v>68</v>
      </c>
      <c r="D102" t="s">
        <v>234</v>
      </c>
      <c r="E102" t="s">
        <v>26</v>
      </c>
      <c r="F102" s="2">
        <v>4.8600000000000002E-5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f t="shared" si="12"/>
        <v>4.8600000000000002E-5</v>
      </c>
      <c r="S102" s="2">
        <f t="shared" si="13"/>
        <v>0</v>
      </c>
      <c r="T102" s="2">
        <f t="shared" si="14"/>
        <v>0</v>
      </c>
      <c r="U102" s="2">
        <f t="shared" si="15"/>
        <v>0</v>
      </c>
      <c r="V102" s="2">
        <f t="shared" si="20"/>
        <v>0</v>
      </c>
      <c r="W102" s="2">
        <f t="shared" si="21"/>
        <v>4.8600000000000002E-5</v>
      </c>
      <c r="X102" s="2">
        <v>-21.3726114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f t="shared" si="16"/>
        <v>-21.3726114</v>
      </c>
      <c r="AK102" s="2">
        <f t="shared" si="17"/>
        <v>0</v>
      </c>
      <c r="AL102" s="2">
        <f t="shared" si="18"/>
        <v>0</v>
      </c>
      <c r="AM102" s="2">
        <f t="shared" si="19"/>
        <v>0</v>
      </c>
      <c r="AN102" s="2">
        <f t="shared" si="22"/>
        <v>0</v>
      </c>
      <c r="AO102" s="2">
        <f t="shared" si="23"/>
        <v>-21.3726114</v>
      </c>
    </row>
    <row r="103" spans="1:41" x14ac:dyDescent="0.35">
      <c r="A103" t="s">
        <v>32</v>
      </c>
      <c r="B103" s="4">
        <v>9940572613</v>
      </c>
      <c r="C103" t="s">
        <v>140</v>
      </c>
      <c r="D103" t="s">
        <v>261</v>
      </c>
      <c r="E103" t="s">
        <v>26</v>
      </c>
      <c r="F103" s="2"/>
      <c r="G103" s="2"/>
      <c r="H103" s="2"/>
      <c r="I103" s="2"/>
      <c r="J103" s="2"/>
      <c r="K103" s="2"/>
      <c r="L103" s="2"/>
      <c r="M103" s="2">
        <v>36.286149999999999</v>
      </c>
      <c r="N103" s="2">
        <v>51.943860000000001</v>
      </c>
      <c r="O103" s="2">
        <v>7.8978299999999999</v>
      </c>
      <c r="P103" s="2">
        <v>0</v>
      </c>
      <c r="Q103" s="2">
        <v>0</v>
      </c>
      <c r="R103" s="2">
        <f t="shared" si="12"/>
        <v>0</v>
      </c>
      <c r="S103" s="2">
        <f t="shared" si="13"/>
        <v>0</v>
      </c>
      <c r="T103" s="2">
        <f t="shared" si="14"/>
        <v>88.230009999999993</v>
      </c>
      <c r="U103" s="2">
        <f t="shared" si="15"/>
        <v>7.8978299999999999</v>
      </c>
      <c r="V103" s="2">
        <f t="shared" si="20"/>
        <v>0</v>
      </c>
      <c r="W103" s="2">
        <f t="shared" si="21"/>
        <v>96.127839999999992</v>
      </c>
      <c r="X103" s="2"/>
      <c r="Y103" s="2"/>
      <c r="Z103" s="2"/>
      <c r="AA103" s="2"/>
      <c r="AB103" s="2"/>
      <c r="AC103" s="2"/>
      <c r="AD103" s="2"/>
      <c r="AE103" s="2">
        <v>15.78558</v>
      </c>
      <c r="AF103" s="2">
        <v>27.954270000000001</v>
      </c>
      <c r="AG103" s="2">
        <v>5.4421999999999997</v>
      </c>
      <c r="AH103" s="2">
        <v>1.3642799999999999</v>
      </c>
      <c r="AI103" s="2">
        <v>0</v>
      </c>
      <c r="AJ103" s="2">
        <f t="shared" si="16"/>
        <v>0</v>
      </c>
      <c r="AK103" s="2">
        <f t="shared" si="17"/>
        <v>0</v>
      </c>
      <c r="AL103" s="2">
        <f t="shared" si="18"/>
        <v>43.739850000000004</v>
      </c>
      <c r="AM103" s="2">
        <f t="shared" si="19"/>
        <v>6.8064799999999996</v>
      </c>
      <c r="AN103" s="2">
        <f t="shared" si="22"/>
        <v>1.3642799999999999</v>
      </c>
      <c r="AO103" s="2">
        <f t="shared" si="23"/>
        <v>50.546330000000005</v>
      </c>
    </row>
    <row r="104" spans="1:41" x14ac:dyDescent="0.35">
      <c r="A104" t="s">
        <v>32</v>
      </c>
      <c r="B104" s="4">
        <v>9940574640</v>
      </c>
      <c r="C104" t="s">
        <v>141</v>
      </c>
      <c r="D104" t="s">
        <v>230</v>
      </c>
      <c r="E104" t="s">
        <v>26</v>
      </c>
      <c r="F104" s="2"/>
      <c r="G104" s="2"/>
      <c r="H104" s="2"/>
      <c r="I104" s="2"/>
      <c r="J104" s="2"/>
      <c r="K104" s="2"/>
      <c r="L104" s="2"/>
      <c r="M104" s="2"/>
      <c r="N104" s="2">
        <v>36.502299999999998</v>
      </c>
      <c r="O104" s="2">
        <v>0</v>
      </c>
      <c r="P104" s="2">
        <v>0</v>
      </c>
      <c r="Q104" s="2">
        <v>0</v>
      </c>
      <c r="R104" s="2">
        <f t="shared" si="12"/>
        <v>0</v>
      </c>
      <c r="S104" s="2">
        <f t="shared" si="13"/>
        <v>0</v>
      </c>
      <c r="T104" s="2">
        <f t="shared" si="14"/>
        <v>36.502299999999998</v>
      </c>
      <c r="U104" s="2">
        <f t="shared" si="15"/>
        <v>0</v>
      </c>
      <c r="V104" s="2">
        <f t="shared" si="20"/>
        <v>0</v>
      </c>
      <c r="W104" s="2">
        <f t="shared" si="21"/>
        <v>36.502299999999998</v>
      </c>
      <c r="X104" s="2"/>
      <c r="Y104" s="2"/>
      <c r="Z104" s="2"/>
      <c r="AA104" s="2"/>
      <c r="AB104" s="2"/>
      <c r="AC104" s="2"/>
      <c r="AD104" s="2"/>
      <c r="AE104" s="2"/>
      <c r="AF104" s="2">
        <v>33.197740000000003</v>
      </c>
      <c r="AG104" s="2">
        <v>-2.01708</v>
      </c>
      <c r="AH104" s="2">
        <v>-5.5899599999999996</v>
      </c>
      <c r="AI104" s="2">
        <v>0</v>
      </c>
      <c r="AJ104" s="2">
        <f t="shared" si="16"/>
        <v>0</v>
      </c>
      <c r="AK104" s="2">
        <f t="shared" si="17"/>
        <v>0</v>
      </c>
      <c r="AL104" s="2">
        <f t="shared" si="18"/>
        <v>33.197740000000003</v>
      </c>
      <c r="AM104" s="2">
        <f t="shared" si="19"/>
        <v>-7.6070399999999996</v>
      </c>
      <c r="AN104" s="2">
        <f t="shared" si="22"/>
        <v>-5.5899599999999996</v>
      </c>
      <c r="AO104" s="2">
        <f t="shared" si="23"/>
        <v>25.590700000000005</v>
      </c>
    </row>
    <row r="105" spans="1:41" x14ac:dyDescent="0.35">
      <c r="A105" t="s">
        <v>32</v>
      </c>
      <c r="B105" s="4">
        <v>9940451484</v>
      </c>
      <c r="C105" t="s">
        <v>142</v>
      </c>
      <c r="D105" t="s">
        <v>231</v>
      </c>
      <c r="E105" t="s">
        <v>26</v>
      </c>
      <c r="F105" s="2">
        <v>0</v>
      </c>
      <c r="G105" s="2">
        <v>10.592610000000001</v>
      </c>
      <c r="H105" s="2">
        <v>0</v>
      </c>
      <c r="I105" s="2">
        <v>-15.065200000000001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/>
      <c r="Q105" s="2"/>
      <c r="R105" s="2">
        <f t="shared" si="12"/>
        <v>10.592610000000001</v>
      </c>
      <c r="S105" s="2">
        <f t="shared" si="13"/>
        <v>-15.065200000000001</v>
      </c>
      <c r="T105" s="2">
        <f t="shared" si="14"/>
        <v>0</v>
      </c>
      <c r="U105" s="2">
        <f t="shared" si="15"/>
        <v>0</v>
      </c>
      <c r="V105" s="2">
        <f t="shared" si="20"/>
        <v>0</v>
      </c>
      <c r="W105" s="2">
        <f t="shared" si="21"/>
        <v>-4.4725900000000003</v>
      </c>
      <c r="X105" s="2">
        <v>-8.0152699999999992</v>
      </c>
      <c r="Y105" s="2">
        <v>2.0785200000000001</v>
      </c>
      <c r="Z105" s="2">
        <v>-5.2257199999999999</v>
      </c>
      <c r="AA105" s="2">
        <v>-21.928989999999999</v>
      </c>
      <c r="AB105" s="2">
        <v>-0.34789999999999999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/>
      <c r="AI105" s="2"/>
      <c r="AJ105" s="2">
        <f t="shared" si="16"/>
        <v>-11.162469999999999</v>
      </c>
      <c r="AK105" s="2">
        <f t="shared" si="17"/>
        <v>-22.276889999999998</v>
      </c>
      <c r="AL105" s="2">
        <f t="shared" si="18"/>
        <v>0</v>
      </c>
      <c r="AM105" s="2">
        <f t="shared" si="19"/>
        <v>0</v>
      </c>
      <c r="AN105" s="2">
        <f t="shared" si="22"/>
        <v>0</v>
      </c>
      <c r="AO105" s="2">
        <f t="shared" si="23"/>
        <v>-33.439359999999994</v>
      </c>
    </row>
    <row r="106" spans="1:41" x14ac:dyDescent="0.35">
      <c r="A106" t="s">
        <v>32</v>
      </c>
      <c r="B106" s="4">
        <v>9940457514</v>
      </c>
      <c r="C106" t="s">
        <v>143</v>
      </c>
      <c r="D106" t="s">
        <v>230</v>
      </c>
      <c r="E106" t="s">
        <v>26</v>
      </c>
      <c r="F106" s="2">
        <v>50.596550000000001</v>
      </c>
      <c r="G106" s="2">
        <v>42.877110000000002</v>
      </c>
      <c r="H106" s="2">
        <v>18.352630000000001</v>
      </c>
      <c r="I106" s="2">
        <v>6.0000000000000002E-5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/>
      <c r="Q106" s="2"/>
      <c r="R106" s="2">
        <f t="shared" si="12"/>
        <v>111.82629</v>
      </c>
      <c r="S106" s="2">
        <f t="shared" si="13"/>
        <v>6.0000000000000002E-5</v>
      </c>
      <c r="T106" s="2">
        <f t="shared" si="14"/>
        <v>0</v>
      </c>
      <c r="U106" s="2">
        <f t="shared" si="15"/>
        <v>0</v>
      </c>
      <c r="V106" s="2">
        <f t="shared" si="20"/>
        <v>0</v>
      </c>
      <c r="W106" s="2">
        <f t="shared" si="21"/>
        <v>111.82635000000001</v>
      </c>
      <c r="X106" s="2">
        <v>24.42568</v>
      </c>
      <c r="Y106" s="2">
        <v>20.915929999999999</v>
      </c>
      <c r="Z106" s="2">
        <v>6.3490700000000002</v>
      </c>
      <c r="AA106" s="2">
        <v>2.7546300000000001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/>
      <c r="AI106" s="2"/>
      <c r="AJ106" s="2">
        <f t="shared" si="16"/>
        <v>51.69068</v>
      </c>
      <c r="AK106" s="2">
        <f t="shared" si="17"/>
        <v>2.7546300000000001</v>
      </c>
      <c r="AL106" s="2">
        <f t="shared" si="18"/>
        <v>0</v>
      </c>
      <c r="AM106" s="2">
        <f t="shared" si="19"/>
        <v>0</v>
      </c>
      <c r="AN106" s="2">
        <f t="shared" si="22"/>
        <v>0</v>
      </c>
      <c r="AO106" s="2">
        <f t="shared" si="23"/>
        <v>54.445309999999999</v>
      </c>
    </row>
    <row r="107" spans="1:41" x14ac:dyDescent="0.35">
      <c r="A107" t="s">
        <v>32</v>
      </c>
      <c r="B107" s="4">
        <v>9940471929</v>
      </c>
      <c r="C107" t="s">
        <v>144</v>
      </c>
      <c r="D107" t="s">
        <v>262</v>
      </c>
      <c r="E107" t="s">
        <v>26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f t="shared" si="12"/>
        <v>0</v>
      </c>
      <c r="S107" s="2">
        <f t="shared" si="13"/>
        <v>0</v>
      </c>
      <c r="T107" s="2">
        <f t="shared" si="14"/>
        <v>0</v>
      </c>
      <c r="U107" s="2">
        <f t="shared" si="15"/>
        <v>0</v>
      </c>
      <c r="V107" s="2">
        <f t="shared" si="20"/>
        <v>0</v>
      </c>
      <c r="W107" s="2">
        <f t="shared" si="21"/>
        <v>0</v>
      </c>
      <c r="X107" s="2">
        <v>-0.75060000000000004</v>
      </c>
      <c r="Y107" s="2">
        <v>-0.45551999999999998</v>
      </c>
      <c r="Z107" s="2">
        <v>-0.45484999999999998</v>
      </c>
      <c r="AA107" s="2">
        <v>-0.45548</v>
      </c>
      <c r="AB107" s="2">
        <v>1.3457300000000001</v>
      </c>
      <c r="AC107" s="2">
        <v>-0.17380999999999999</v>
      </c>
      <c r="AD107" s="2">
        <v>-0.17399000000000001</v>
      </c>
      <c r="AE107" s="2">
        <v>-0.16700000000000001</v>
      </c>
      <c r="AF107" s="2">
        <v>-0.17213999999999999</v>
      </c>
      <c r="AG107" s="2">
        <v>-0.17258000000000001</v>
      </c>
      <c r="AH107" s="2">
        <v>9.6992999999999991</v>
      </c>
      <c r="AI107" s="2">
        <v>0</v>
      </c>
      <c r="AJ107" s="2">
        <f t="shared" si="16"/>
        <v>-1.6609700000000001</v>
      </c>
      <c r="AK107" s="2">
        <f t="shared" si="17"/>
        <v>0.71644000000000008</v>
      </c>
      <c r="AL107" s="2">
        <f t="shared" si="18"/>
        <v>-0.51312999999999998</v>
      </c>
      <c r="AM107" s="2">
        <f t="shared" si="19"/>
        <v>9.5267199999999992</v>
      </c>
      <c r="AN107" s="2">
        <f t="shared" si="22"/>
        <v>9.6992999999999991</v>
      </c>
      <c r="AO107" s="2">
        <f t="shared" si="23"/>
        <v>8.0690599999999986</v>
      </c>
    </row>
    <row r="108" spans="1:41" x14ac:dyDescent="0.35">
      <c r="A108" t="s">
        <v>32</v>
      </c>
      <c r="B108" s="4">
        <v>9940479947</v>
      </c>
      <c r="C108" t="s">
        <v>145</v>
      </c>
      <c r="D108" t="s">
        <v>263</v>
      </c>
      <c r="E108" t="s">
        <v>26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/>
      <c r="Q108" s="2"/>
      <c r="R108" s="2">
        <f t="shared" si="12"/>
        <v>0</v>
      </c>
      <c r="S108" s="2">
        <f t="shared" si="13"/>
        <v>0</v>
      </c>
      <c r="T108" s="2">
        <f t="shared" si="14"/>
        <v>0</v>
      </c>
      <c r="U108" s="2">
        <f t="shared" si="15"/>
        <v>0</v>
      </c>
      <c r="V108" s="2">
        <f t="shared" si="20"/>
        <v>0</v>
      </c>
      <c r="W108" s="2">
        <f t="shared" si="21"/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/>
      <c r="AI108" s="2"/>
      <c r="AJ108" s="2">
        <f t="shared" si="16"/>
        <v>0</v>
      </c>
      <c r="AK108" s="2">
        <f t="shared" si="17"/>
        <v>0</v>
      </c>
      <c r="AL108" s="2">
        <f t="shared" si="18"/>
        <v>0</v>
      </c>
      <c r="AM108" s="2">
        <f t="shared" si="19"/>
        <v>0</v>
      </c>
      <c r="AN108" s="2">
        <f t="shared" si="22"/>
        <v>0</v>
      </c>
      <c r="AO108" s="2">
        <f t="shared" si="23"/>
        <v>0</v>
      </c>
    </row>
    <row r="109" spans="1:41" x14ac:dyDescent="0.35">
      <c r="A109" t="s">
        <v>32</v>
      </c>
      <c r="B109" s="4">
        <v>9940528274</v>
      </c>
      <c r="C109" t="s">
        <v>146</v>
      </c>
      <c r="D109" t="s">
        <v>241</v>
      </c>
      <c r="E109" t="s">
        <v>26</v>
      </c>
      <c r="F109" s="2">
        <v>8.7489699999999999</v>
      </c>
      <c r="G109" s="2">
        <v>74.095050000000001</v>
      </c>
      <c r="H109" s="2">
        <v>0.70228999999999997</v>
      </c>
      <c r="I109" s="2">
        <v>0.31669000000000003</v>
      </c>
      <c r="J109" s="2">
        <v>0.32435000000000003</v>
      </c>
      <c r="K109" s="2">
        <v>34.820169999999997</v>
      </c>
      <c r="L109" s="2">
        <v>6.3710000000000003E-2</v>
      </c>
      <c r="M109" s="2">
        <v>-3.9629999999999999E-2</v>
      </c>
      <c r="N109" s="2">
        <v>-3.29E-3</v>
      </c>
      <c r="O109" s="2">
        <v>-31.75892</v>
      </c>
      <c r="P109" s="2">
        <v>56.802639999999997</v>
      </c>
      <c r="Q109" s="2">
        <v>83.056790000000007</v>
      </c>
      <c r="R109" s="2">
        <f t="shared" si="12"/>
        <v>83.546310000000005</v>
      </c>
      <c r="S109" s="2">
        <f t="shared" si="13"/>
        <v>35.461209999999994</v>
      </c>
      <c r="T109" s="2">
        <f t="shared" si="14"/>
        <v>2.0790000000000003E-2</v>
      </c>
      <c r="U109" s="2">
        <f t="shared" si="15"/>
        <v>108.10051</v>
      </c>
      <c r="V109" s="2">
        <f t="shared" si="20"/>
        <v>139.85943</v>
      </c>
      <c r="W109" s="2">
        <f t="shared" si="21"/>
        <v>227.12882000000002</v>
      </c>
      <c r="X109" s="2">
        <v>-78.450659999999999</v>
      </c>
      <c r="Y109" s="2">
        <v>61.113880000000002</v>
      </c>
      <c r="Z109" s="2">
        <v>-3.3469699999999998</v>
      </c>
      <c r="AA109" s="2">
        <v>-0.77244999999999997</v>
      </c>
      <c r="AB109" s="2">
        <v>-0.60814999999999997</v>
      </c>
      <c r="AC109" s="2">
        <v>34.300609999999999</v>
      </c>
      <c r="AD109" s="2">
        <v>-0.79962999999999995</v>
      </c>
      <c r="AE109" s="2">
        <v>-0.87672000000000005</v>
      </c>
      <c r="AF109" s="2">
        <v>-0.86667000000000005</v>
      </c>
      <c r="AG109" s="2">
        <v>-32.624470000000002</v>
      </c>
      <c r="AH109" s="2">
        <v>3.2721499999999999</v>
      </c>
      <c r="AI109" s="2">
        <v>3.3416299999999999</v>
      </c>
      <c r="AJ109" s="2">
        <f t="shared" si="16"/>
        <v>-20.683749999999996</v>
      </c>
      <c r="AK109" s="2">
        <f t="shared" si="17"/>
        <v>32.920009999999998</v>
      </c>
      <c r="AL109" s="2">
        <f t="shared" si="18"/>
        <v>-2.5430200000000003</v>
      </c>
      <c r="AM109" s="2">
        <f t="shared" si="19"/>
        <v>-26.010690000000004</v>
      </c>
      <c r="AN109" s="2">
        <f t="shared" si="22"/>
        <v>6.6137800000000002</v>
      </c>
      <c r="AO109" s="2">
        <f t="shared" si="23"/>
        <v>-16.317450000000001</v>
      </c>
    </row>
    <row r="110" spans="1:41" x14ac:dyDescent="0.35">
      <c r="A110" t="s">
        <v>32</v>
      </c>
      <c r="B110" s="4">
        <v>9940531034</v>
      </c>
      <c r="C110" t="s">
        <v>147</v>
      </c>
      <c r="D110" t="s">
        <v>264</v>
      </c>
      <c r="E110" t="s">
        <v>26</v>
      </c>
      <c r="F110" s="2">
        <v>14.51468</v>
      </c>
      <c r="G110" s="2">
        <v>11.934850000000001</v>
      </c>
      <c r="H110" s="2">
        <v>12.888769999999999</v>
      </c>
      <c r="I110" s="2">
        <v>10.99896</v>
      </c>
      <c r="J110" s="2">
        <v>11.98141</v>
      </c>
      <c r="K110" s="2">
        <v>13.46115</v>
      </c>
      <c r="L110" s="2">
        <v>5.1932400000000003</v>
      </c>
      <c r="M110" s="2">
        <v>5.0457999999999998</v>
      </c>
      <c r="N110" s="2">
        <v>6.7580600000000004</v>
      </c>
      <c r="O110" s="2">
        <v>1.0000000000000001E-5</v>
      </c>
      <c r="P110" s="2">
        <v>0</v>
      </c>
      <c r="Q110" s="2">
        <v>0</v>
      </c>
      <c r="R110" s="2">
        <f t="shared" si="12"/>
        <v>39.338300000000004</v>
      </c>
      <c r="S110" s="2">
        <f t="shared" si="13"/>
        <v>36.441519999999997</v>
      </c>
      <c r="T110" s="2">
        <f t="shared" si="14"/>
        <v>16.9971</v>
      </c>
      <c r="U110" s="2">
        <f t="shared" si="15"/>
        <v>1.0000000000000001E-5</v>
      </c>
      <c r="V110" s="2">
        <f t="shared" si="20"/>
        <v>0</v>
      </c>
      <c r="W110" s="2">
        <f t="shared" si="21"/>
        <v>92.776930000000007</v>
      </c>
      <c r="X110" s="2">
        <v>5.6318400000000004</v>
      </c>
      <c r="Y110" s="2">
        <v>4.3777999999999997</v>
      </c>
      <c r="Z110" s="2">
        <v>4.8872499999999999</v>
      </c>
      <c r="AA110" s="2">
        <v>3.8897699999999999</v>
      </c>
      <c r="AB110" s="2">
        <v>4.7010699999999996</v>
      </c>
      <c r="AC110" s="2">
        <v>4.7653299999999996</v>
      </c>
      <c r="AD110" s="2">
        <v>1.79809</v>
      </c>
      <c r="AE110" s="2">
        <v>1.82813</v>
      </c>
      <c r="AF110" s="2">
        <v>1.0494699999999999</v>
      </c>
      <c r="AG110" s="2">
        <v>-3.9465300000000001</v>
      </c>
      <c r="AH110" s="2">
        <v>3.7253699999999998</v>
      </c>
      <c r="AI110" s="2">
        <v>0</v>
      </c>
      <c r="AJ110" s="2">
        <f t="shared" si="16"/>
        <v>14.896890000000001</v>
      </c>
      <c r="AK110" s="2">
        <f t="shared" si="17"/>
        <v>13.356169999999999</v>
      </c>
      <c r="AL110" s="2">
        <f t="shared" si="18"/>
        <v>4.6756899999999995</v>
      </c>
      <c r="AM110" s="2">
        <f t="shared" si="19"/>
        <v>-0.22116000000000025</v>
      </c>
      <c r="AN110" s="2">
        <f t="shared" si="22"/>
        <v>3.7253699999999998</v>
      </c>
      <c r="AO110" s="2">
        <f t="shared" si="23"/>
        <v>32.707589999999996</v>
      </c>
    </row>
    <row r="111" spans="1:41" x14ac:dyDescent="0.35">
      <c r="A111" t="s">
        <v>32</v>
      </c>
      <c r="B111" s="4">
        <v>9940542499</v>
      </c>
      <c r="C111" t="s">
        <v>148</v>
      </c>
      <c r="D111" t="s">
        <v>259</v>
      </c>
      <c r="E111" t="s">
        <v>26</v>
      </c>
      <c r="F111" s="2">
        <v>115.25709000000001</v>
      </c>
      <c r="G111" s="2">
        <v>34.511360000000003</v>
      </c>
      <c r="H111" s="2">
        <v>84.626850000000005</v>
      </c>
      <c r="I111" s="2">
        <v>53.169600000000003</v>
      </c>
      <c r="J111" s="2">
        <v>48.443539999999999</v>
      </c>
      <c r="K111" s="2">
        <v>60.132539999999999</v>
      </c>
      <c r="L111" s="2">
        <v>28.552790000000002</v>
      </c>
      <c r="M111" s="2">
        <v>0.22431999999999999</v>
      </c>
      <c r="N111" s="2">
        <v>8.8400000000000006E-3</v>
      </c>
      <c r="O111" s="2">
        <v>8.4600000000000005E-3</v>
      </c>
      <c r="P111" s="2">
        <v>9.5696999999999992</v>
      </c>
      <c r="Q111" s="2">
        <v>0</v>
      </c>
      <c r="R111" s="2">
        <f t="shared" si="12"/>
        <v>234.39530000000002</v>
      </c>
      <c r="S111" s="2">
        <f t="shared" si="13"/>
        <v>161.74567999999999</v>
      </c>
      <c r="T111" s="2">
        <f t="shared" si="14"/>
        <v>28.78595</v>
      </c>
      <c r="U111" s="2">
        <f t="shared" si="15"/>
        <v>9.5781599999999987</v>
      </c>
      <c r="V111" s="2">
        <f t="shared" si="20"/>
        <v>9.5696999999999992</v>
      </c>
      <c r="W111" s="2">
        <f t="shared" si="21"/>
        <v>434.50509000000005</v>
      </c>
      <c r="X111" s="2">
        <v>46.975940000000001</v>
      </c>
      <c r="Y111" s="2">
        <v>9.5434000000000001</v>
      </c>
      <c r="Z111" s="2">
        <v>33.908479999999997</v>
      </c>
      <c r="AA111" s="2">
        <v>20.8858</v>
      </c>
      <c r="AB111" s="2">
        <v>15.683120000000001</v>
      </c>
      <c r="AC111" s="2">
        <v>27.3765</v>
      </c>
      <c r="AD111" s="2">
        <v>11.428269999999999</v>
      </c>
      <c r="AE111" s="2">
        <v>-1.1228100000000001</v>
      </c>
      <c r="AF111" s="2">
        <v>-1.40299</v>
      </c>
      <c r="AG111" s="2">
        <v>0.28322999999999998</v>
      </c>
      <c r="AH111" s="2">
        <v>3.5943299999999998</v>
      </c>
      <c r="AI111" s="2">
        <v>0</v>
      </c>
      <c r="AJ111" s="2">
        <f t="shared" si="16"/>
        <v>90.427819999999997</v>
      </c>
      <c r="AK111" s="2">
        <f t="shared" si="17"/>
        <v>63.945419999999999</v>
      </c>
      <c r="AL111" s="2">
        <f t="shared" si="18"/>
        <v>8.902470000000001</v>
      </c>
      <c r="AM111" s="2">
        <f t="shared" si="19"/>
        <v>3.8775599999999999</v>
      </c>
      <c r="AN111" s="2">
        <f t="shared" si="22"/>
        <v>3.5943299999999998</v>
      </c>
      <c r="AO111" s="2">
        <f t="shared" si="23"/>
        <v>167.15326999999999</v>
      </c>
    </row>
    <row r="112" spans="1:41" x14ac:dyDescent="0.35">
      <c r="A112" t="s">
        <v>32</v>
      </c>
      <c r="B112" s="4">
        <v>9940542830</v>
      </c>
      <c r="C112" t="s">
        <v>149</v>
      </c>
      <c r="D112" t="s">
        <v>232</v>
      </c>
      <c r="E112" t="s">
        <v>26</v>
      </c>
      <c r="F112" s="2">
        <v>18.363330000000001</v>
      </c>
      <c r="G112" s="2">
        <v>39.075510000000001</v>
      </c>
      <c r="H112" s="2">
        <v>24.359590000000001</v>
      </c>
      <c r="I112" s="2">
        <v>0.48674000000000001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/>
      <c r="Q112" s="2"/>
      <c r="R112" s="2">
        <f t="shared" si="12"/>
        <v>81.798429999999996</v>
      </c>
      <c r="S112" s="2">
        <f t="shared" si="13"/>
        <v>0.48674000000000001</v>
      </c>
      <c r="T112" s="2">
        <f t="shared" si="14"/>
        <v>0</v>
      </c>
      <c r="U112" s="2">
        <f t="shared" si="15"/>
        <v>0</v>
      </c>
      <c r="V112" s="2">
        <f t="shared" si="20"/>
        <v>0</v>
      </c>
      <c r="W112" s="2">
        <f t="shared" si="21"/>
        <v>82.285169999999994</v>
      </c>
      <c r="X112" s="2">
        <v>6.5617099999999997</v>
      </c>
      <c r="Y112" s="2">
        <v>12.64358</v>
      </c>
      <c r="Z112" s="2">
        <v>-3.3704000000000001</v>
      </c>
      <c r="AA112" s="2">
        <v>14.79298</v>
      </c>
      <c r="AB112" s="2">
        <v>0.54252</v>
      </c>
      <c r="AC112" s="2">
        <v>0.47907</v>
      </c>
      <c r="AD112" s="2">
        <v>0</v>
      </c>
      <c r="AE112" s="2">
        <v>0</v>
      </c>
      <c r="AF112" s="2">
        <v>0</v>
      </c>
      <c r="AG112" s="2">
        <v>0</v>
      </c>
      <c r="AH112" s="2"/>
      <c r="AI112" s="2"/>
      <c r="AJ112" s="2">
        <f t="shared" si="16"/>
        <v>15.834889999999998</v>
      </c>
      <c r="AK112" s="2">
        <f t="shared" si="17"/>
        <v>15.81457</v>
      </c>
      <c r="AL112" s="2">
        <f t="shared" si="18"/>
        <v>0</v>
      </c>
      <c r="AM112" s="2">
        <f t="shared" si="19"/>
        <v>0</v>
      </c>
      <c r="AN112" s="2">
        <f t="shared" si="22"/>
        <v>0</v>
      </c>
      <c r="AO112" s="2">
        <f t="shared" si="23"/>
        <v>31.649459999999998</v>
      </c>
    </row>
    <row r="113" spans="1:41" x14ac:dyDescent="0.35">
      <c r="A113" t="s">
        <v>32</v>
      </c>
      <c r="B113" s="4">
        <v>9940554313</v>
      </c>
      <c r="C113" t="s">
        <v>151</v>
      </c>
      <c r="D113" t="s">
        <v>256</v>
      </c>
      <c r="E113" t="s">
        <v>26</v>
      </c>
      <c r="F113" s="2"/>
      <c r="G113" s="2"/>
      <c r="H113" s="2">
        <v>0</v>
      </c>
      <c r="I113" s="2">
        <v>18.180240000000001</v>
      </c>
      <c r="J113" s="2">
        <v>0.62675999999999998</v>
      </c>
      <c r="K113" s="2">
        <v>1.0000000000000001E-5</v>
      </c>
      <c r="L113" s="2">
        <v>0</v>
      </c>
      <c r="M113" s="2">
        <v>-1.0000000000000001E-5</v>
      </c>
      <c r="N113" s="2">
        <v>0.75287999999999999</v>
      </c>
      <c r="O113" s="2">
        <v>0</v>
      </c>
      <c r="P113" s="2"/>
      <c r="Q113" s="2"/>
      <c r="R113" s="2">
        <f t="shared" si="12"/>
        <v>0</v>
      </c>
      <c r="S113" s="2">
        <f t="shared" si="13"/>
        <v>18.807010000000002</v>
      </c>
      <c r="T113" s="2">
        <f t="shared" si="14"/>
        <v>0.75287000000000004</v>
      </c>
      <c r="U113" s="2">
        <f t="shared" si="15"/>
        <v>0</v>
      </c>
      <c r="V113" s="2">
        <f t="shared" si="20"/>
        <v>0</v>
      </c>
      <c r="W113" s="2">
        <f t="shared" si="21"/>
        <v>19.559880000000003</v>
      </c>
      <c r="X113" s="2"/>
      <c r="Y113" s="2"/>
      <c r="Z113" s="2">
        <v>0</v>
      </c>
      <c r="AA113" s="2">
        <v>8.3079300000000007</v>
      </c>
      <c r="AB113" s="2">
        <v>-0.39215</v>
      </c>
      <c r="AC113" s="2">
        <v>-0.24887000000000001</v>
      </c>
      <c r="AD113" s="2">
        <v>7.7999999999999996E-3</v>
      </c>
      <c r="AE113" s="2">
        <v>7.8799999999999999E-3</v>
      </c>
      <c r="AF113" s="2">
        <v>0.76102000000000003</v>
      </c>
      <c r="AG113" s="2">
        <v>0</v>
      </c>
      <c r="AH113" s="2"/>
      <c r="AI113" s="2"/>
      <c r="AJ113" s="2">
        <f t="shared" si="16"/>
        <v>0</v>
      </c>
      <c r="AK113" s="2">
        <f t="shared" si="17"/>
        <v>7.6669100000000006</v>
      </c>
      <c r="AL113" s="2">
        <f t="shared" si="18"/>
        <v>0.77670000000000006</v>
      </c>
      <c r="AM113" s="2">
        <f t="shared" si="19"/>
        <v>0</v>
      </c>
      <c r="AN113" s="2">
        <f t="shared" si="22"/>
        <v>0</v>
      </c>
      <c r="AO113" s="2">
        <f t="shared" si="23"/>
        <v>8.4436100000000014</v>
      </c>
    </row>
    <row r="114" spans="1:41" x14ac:dyDescent="0.35">
      <c r="A114" t="s">
        <v>32</v>
      </c>
      <c r="B114" s="4">
        <v>9940565199</v>
      </c>
      <c r="C114" t="s">
        <v>152</v>
      </c>
      <c r="D114" t="s">
        <v>265</v>
      </c>
      <c r="E114" t="s">
        <v>26</v>
      </c>
      <c r="F114" s="2"/>
      <c r="G114" s="2"/>
      <c r="H114" s="2"/>
      <c r="I114" s="2"/>
      <c r="J114" s="2"/>
      <c r="K114" s="2">
        <v>39.787269999999999</v>
      </c>
      <c r="L114" s="2">
        <v>104.67256999999999</v>
      </c>
      <c r="M114" s="2">
        <v>29.031839999999999</v>
      </c>
      <c r="N114" s="2">
        <v>7.6956499999999997</v>
      </c>
      <c r="O114" s="2">
        <v>6.0000000000000002E-5</v>
      </c>
      <c r="P114" s="2">
        <v>0</v>
      </c>
      <c r="Q114" s="2">
        <v>0</v>
      </c>
      <c r="R114" s="2">
        <f t="shared" si="12"/>
        <v>0</v>
      </c>
      <c r="S114" s="2">
        <f t="shared" si="13"/>
        <v>39.787269999999999</v>
      </c>
      <c r="T114" s="2">
        <f t="shared" si="14"/>
        <v>141.40006</v>
      </c>
      <c r="U114" s="2">
        <f t="shared" si="15"/>
        <v>6.0000000000000002E-5</v>
      </c>
      <c r="V114" s="2">
        <f t="shared" si="20"/>
        <v>0</v>
      </c>
      <c r="W114" s="2">
        <f t="shared" si="21"/>
        <v>181.18738999999999</v>
      </c>
      <c r="X114" s="2"/>
      <c r="Y114" s="2"/>
      <c r="Z114" s="2"/>
      <c r="AA114" s="2"/>
      <c r="AB114" s="2"/>
      <c r="AC114" s="2">
        <v>10.992979999999999</v>
      </c>
      <c r="AD114" s="2">
        <v>33.97289</v>
      </c>
      <c r="AE114" s="2">
        <v>-2.3709500000000001</v>
      </c>
      <c r="AF114" s="2">
        <v>3.9475699999999998</v>
      </c>
      <c r="AG114" s="2">
        <v>-2.2113399999999999</v>
      </c>
      <c r="AH114" s="2">
        <v>0</v>
      </c>
      <c r="AI114" s="2">
        <v>0</v>
      </c>
      <c r="AJ114" s="2">
        <f t="shared" si="16"/>
        <v>0</v>
      </c>
      <c r="AK114" s="2">
        <f t="shared" si="17"/>
        <v>10.992979999999999</v>
      </c>
      <c r="AL114" s="2">
        <f t="shared" si="18"/>
        <v>35.549509999999998</v>
      </c>
      <c r="AM114" s="2">
        <f t="shared" si="19"/>
        <v>-2.2113399999999999</v>
      </c>
      <c r="AN114" s="2">
        <f t="shared" si="22"/>
        <v>0</v>
      </c>
      <c r="AO114" s="2">
        <f t="shared" si="23"/>
        <v>44.331150000000001</v>
      </c>
    </row>
    <row r="115" spans="1:41" x14ac:dyDescent="0.35">
      <c r="A115" t="s">
        <v>32</v>
      </c>
      <c r="B115" s="4">
        <v>9940221038</v>
      </c>
      <c r="C115" t="s">
        <v>157</v>
      </c>
      <c r="D115" t="s">
        <v>253</v>
      </c>
      <c r="E115" t="s">
        <v>26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/>
      <c r="Q115" s="2"/>
      <c r="R115" s="2">
        <f t="shared" si="12"/>
        <v>0</v>
      </c>
      <c r="S115" s="2">
        <f t="shared" si="13"/>
        <v>0</v>
      </c>
      <c r="T115" s="2">
        <f t="shared" si="14"/>
        <v>0</v>
      </c>
      <c r="U115" s="2">
        <f t="shared" si="15"/>
        <v>0</v>
      </c>
      <c r="V115" s="2">
        <f t="shared" si="20"/>
        <v>0</v>
      </c>
      <c r="W115" s="2">
        <f t="shared" si="21"/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/>
      <c r="AI115" s="2"/>
      <c r="AJ115" s="2">
        <f t="shared" si="16"/>
        <v>0</v>
      </c>
      <c r="AK115" s="2">
        <f t="shared" si="17"/>
        <v>0</v>
      </c>
      <c r="AL115" s="2">
        <f t="shared" si="18"/>
        <v>0</v>
      </c>
      <c r="AM115" s="2">
        <f t="shared" si="19"/>
        <v>0</v>
      </c>
      <c r="AN115" s="2">
        <f t="shared" si="22"/>
        <v>0</v>
      </c>
      <c r="AO115" s="2">
        <f t="shared" si="23"/>
        <v>0</v>
      </c>
    </row>
    <row r="116" spans="1:41" x14ac:dyDescent="0.35">
      <c r="A116" t="s">
        <v>32</v>
      </c>
      <c r="B116" s="4">
        <v>9940397792</v>
      </c>
      <c r="C116" t="s">
        <v>158</v>
      </c>
      <c r="D116" t="s">
        <v>266</v>
      </c>
      <c r="E116" t="s">
        <v>26</v>
      </c>
      <c r="F116" s="2"/>
      <c r="G116" s="2"/>
      <c r="H116" s="2"/>
      <c r="I116" s="2"/>
      <c r="J116" s="2"/>
      <c r="K116" s="2">
        <v>63.756659999999997</v>
      </c>
      <c r="L116" s="2">
        <v>64.356560000000002</v>
      </c>
      <c r="M116" s="2">
        <v>93.360990000000001</v>
      </c>
      <c r="N116" s="2">
        <v>78.748959999999997</v>
      </c>
      <c r="O116" s="2">
        <v>120.67318</v>
      </c>
      <c r="P116" s="2">
        <v>124.39870740000001</v>
      </c>
      <c r="Q116" s="2">
        <v>103.36905</v>
      </c>
      <c r="R116" s="2">
        <f t="shared" si="12"/>
        <v>0</v>
      </c>
      <c r="S116" s="2">
        <f t="shared" si="13"/>
        <v>63.756659999999997</v>
      </c>
      <c r="T116" s="2">
        <f t="shared" si="14"/>
        <v>236.46651000000003</v>
      </c>
      <c r="U116" s="2">
        <f t="shared" si="15"/>
        <v>348.4409374</v>
      </c>
      <c r="V116" s="2">
        <f t="shared" si="20"/>
        <v>227.76775739999999</v>
      </c>
      <c r="W116" s="2">
        <f t="shared" si="21"/>
        <v>648.66410740000003</v>
      </c>
      <c r="X116" s="2"/>
      <c r="Y116" s="2"/>
      <c r="Z116" s="2"/>
      <c r="AA116" s="2"/>
      <c r="AB116" s="2"/>
      <c r="AC116" s="2">
        <v>25.412960000000002</v>
      </c>
      <c r="AD116" s="2">
        <v>11.378550000000001</v>
      </c>
      <c r="AE116" s="2">
        <v>35.50159</v>
      </c>
      <c r="AF116" s="2">
        <v>24.760919999999999</v>
      </c>
      <c r="AG116" s="2">
        <v>46.030859999999997</v>
      </c>
      <c r="AH116" s="2">
        <v>41.782271999999999</v>
      </c>
      <c r="AI116" s="2">
        <v>33.490824000000003</v>
      </c>
      <c r="AJ116" s="2">
        <f t="shared" si="16"/>
        <v>0</v>
      </c>
      <c r="AK116" s="2">
        <f t="shared" si="17"/>
        <v>25.412960000000002</v>
      </c>
      <c r="AL116" s="2">
        <f t="shared" si="18"/>
        <v>71.641059999999996</v>
      </c>
      <c r="AM116" s="2">
        <f t="shared" si="19"/>
        <v>121.303956</v>
      </c>
      <c r="AN116" s="2">
        <f t="shared" si="22"/>
        <v>75.27309600000001</v>
      </c>
      <c r="AO116" s="2">
        <f t="shared" si="23"/>
        <v>218.35797600000001</v>
      </c>
    </row>
    <row r="117" spans="1:41" x14ac:dyDescent="0.35">
      <c r="A117" t="s">
        <v>32</v>
      </c>
      <c r="B117" s="4">
        <v>9940435450</v>
      </c>
      <c r="C117" t="s">
        <v>159</v>
      </c>
      <c r="D117" t="s">
        <v>267</v>
      </c>
      <c r="E117" t="s">
        <v>26</v>
      </c>
      <c r="F117" s="2">
        <v>37.289119999999997</v>
      </c>
      <c r="G117" s="2">
        <v>19.58568</v>
      </c>
      <c r="H117" s="2">
        <v>9.1363800000000008</v>
      </c>
      <c r="I117" s="2">
        <v>4.4416000000000002</v>
      </c>
      <c r="J117" s="2">
        <v>5.6246900000000002</v>
      </c>
      <c r="K117" s="2">
        <v>4.9099999999999998E-2</v>
      </c>
      <c r="L117" s="2">
        <v>12.8477</v>
      </c>
      <c r="M117" s="2">
        <v>4.2057399999999996</v>
      </c>
      <c r="N117" s="2">
        <v>73.547759999999997</v>
      </c>
      <c r="O117" s="2">
        <v>0</v>
      </c>
      <c r="P117" s="2"/>
      <c r="Q117" s="2"/>
      <c r="R117" s="2">
        <f t="shared" si="12"/>
        <v>66.011179999999996</v>
      </c>
      <c r="S117" s="2">
        <f t="shared" si="13"/>
        <v>10.11539</v>
      </c>
      <c r="T117" s="2">
        <f t="shared" si="14"/>
        <v>90.601199999999992</v>
      </c>
      <c r="U117" s="2">
        <f t="shared" si="15"/>
        <v>0</v>
      </c>
      <c r="V117" s="2">
        <f t="shared" si="20"/>
        <v>0</v>
      </c>
      <c r="W117" s="2">
        <f t="shared" si="21"/>
        <v>166.72776999999999</v>
      </c>
      <c r="X117" s="2">
        <v>27.811979999999998</v>
      </c>
      <c r="Y117" s="2">
        <v>7.1163999999999996</v>
      </c>
      <c r="Z117" s="2">
        <v>0.99683999999999995</v>
      </c>
      <c r="AA117" s="2">
        <v>2.0364499999999999</v>
      </c>
      <c r="AB117" s="2">
        <v>1.6294900000000001</v>
      </c>
      <c r="AC117" s="2">
        <v>0.26896999999999999</v>
      </c>
      <c r="AD117" s="2">
        <v>10.23962</v>
      </c>
      <c r="AE117" s="2">
        <v>0.90912999999999999</v>
      </c>
      <c r="AF117" s="2">
        <v>50.839550000000003</v>
      </c>
      <c r="AG117" s="2">
        <v>0</v>
      </c>
      <c r="AH117" s="2"/>
      <c r="AI117" s="2"/>
      <c r="AJ117" s="2">
        <f t="shared" si="16"/>
        <v>35.925219999999996</v>
      </c>
      <c r="AK117" s="2">
        <f t="shared" si="17"/>
        <v>3.9349099999999999</v>
      </c>
      <c r="AL117" s="2">
        <f t="shared" si="18"/>
        <v>61.988300000000002</v>
      </c>
      <c r="AM117" s="2">
        <f t="shared" si="19"/>
        <v>0</v>
      </c>
      <c r="AN117" s="2">
        <f t="shared" si="22"/>
        <v>0</v>
      </c>
      <c r="AO117" s="2">
        <f t="shared" si="23"/>
        <v>101.84843000000001</v>
      </c>
    </row>
    <row r="118" spans="1:41" x14ac:dyDescent="0.35">
      <c r="A118" t="s">
        <v>32</v>
      </c>
      <c r="B118" s="4">
        <v>9940492029</v>
      </c>
      <c r="C118" t="s">
        <v>167</v>
      </c>
      <c r="D118" t="s">
        <v>283</v>
      </c>
      <c r="E118" t="s">
        <v>26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/>
      <c r="Q118" s="2"/>
      <c r="R118" s="2">
        <f t="shared" si="12"/>
        <v>0</v>
      </c>
      <c r="S118" s="2">
        <f t="shared" si="13"/>
        <v>0</v>
      </c>
      <c r="T118" s="2">
        <f t="shared" si="14"/>
        <v>0</v>
      </c>
      <c r="U118" s="2">
        <f t="shared" si="15"/>
        <v>0</v>
      </c>
      <c r="V118" s="2">
        <f t="shared" si="20"/>
        <v>0</v>
      </c>
      <c r="W118" s="2">
        <f t="shared" si="21"/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/>
      <c r="AI118" s="2"/>
      <c r="AJ118" s="2">
        <f t="shared" si="16"/>
        <v>0</v>
      </c>
      <c r="AK118" s="2">
        <f t="shared" si="17"/>
        <v>0</v>
      </c>
      <c r="AL118" s="2">
        <f t="shared" si="18"/>
        <v>0</v>
      </c>
      <c r="AM118" s="2">
        <f t="shared" si="19"/>
        <v>0</v>
      </c>
      <c r="AN118" s="2">
        <f t="shared" si="22"/>
        <v>0</v>
      </c>
      <c r="AO118" s="2">
        <f t="shared" si="23"/>
        <v>0</v>
      </c>
    </row>
    <row r="119" spans="1:41" x14ac:dyDescent="0.35">
      <c r="A119" t="s">
        <v>32</v>
      </c>
      <c r="B119" s="4">
        <v>9940499510</v>
      </c>
      <c r="C119" t="s">
        <v>160</v>
      </c>
      <c r="D119" t="s">
        <v>231</v>
      </c>
      <c r="E119" t="s">
        <v>26</v>
      </c>
      <c r="F119" s="2">
        <v>11.98413</v>
      </c>
      <c r="G119" s="2">
        <v>15.35421</v>
      </c>
      <c r="H119" s="2">
        <v>15.11078</v>
      </c>
      <c r="I119" s="2">
        <v>10.41118</v>
      </c>
      <c r="J119" s="2">
        <v>14.277329999999999</v>
      </c>
      <c r="K119" s="2">
        <v>17.984290000000001</v>
      </c>
      <c r="L119" s="2">
        <v>13.747719999999999</v>
      </c>
      <c r="M119" s="2">
        <v>20.26577</v>
      </c>
      <c r="N119" s="2">
        <v>19.280380000000001</v>
      </c>
      <c r="O119" s="2">
        <v>24.223990000000001</v>
      </c>
      <c r="P119" s="2">
        <v>17.479150000000001</v>
      </c>
      <c r="Q119" s="2">
        <v>18.117660000000001</v>
      </c>
      <c r="R119" s="2">
        <f t="shared" si="12"/>
        <v>42.449120000000001</v>
      </c>
      <c r="S119" s="2">
        <f t="shared" si="13"/>
        <v>42.672800000000002</v>
      </c>
      <c r="T119" s="2">
        <f t="shared" si="14"/>
        <v>53.293869999999998</v>
      </c>
      <c r="U119" s="2">
        <f t="shared" si="15"/>
        <v>59.820800000000006</v>
      </c>
      <c r="V119" s="2">
        <f t="shared" si="20"/>
        <v>35.596810000000005</v>
      </c>
      <c r="W119" s="2">
        <f t="shared" si="21"/>
        <v>198.23659000000004</v>
      </c>
      <c r="X119" s="2">
        <v>3.9304199999999998</v>
      </c>
      <c r="Y119" s="2">
        <v>6.5246399999999998</v>
      </c>
      <c r="Z119" s="2">
        <v>5.8244499999999997</v>
      </c>
      <c r="AA119" s="2">
        <v>4.6267399999999999</v>
      </c>
      <c r="AB119" s="2">
        <v>5.5214100000000004</v>
      </c>
      <c r="AC119" s="2">
        <v>7.3871700000000002</v>
      </c>
      <c r="AD119" s="2">
        <v>2.5411700000000002</v>
      </c>
      <c r="AE119" s="2">
        <v>9.37195</v>
      </c>
      <c r="AF119" s="2">
        <v>7.6352500000000001</v>
      </c>
      <c r="AG119" s="2">
        <v>9.0970200000000006</v>
      </c>
      <c r="AH119" s="2">
        <v>6.9278199999999996</v>
      </c>
      <c r="AI119" s="2">
        <v>6.6655300000000004</v>
      </c>
      <c r="AJ119" s="2">
        <f t="shared" si="16"/>
        <v>16.279509999999998</v>
      </c>
      <c r="AK119" s="2">
        <f t="shared" si="17"/>
        <v>17.535320000000002</v>
      </c>
      <c r="AL119" s="2">
        <f t="shared" si="18"/>
        <v>19.548369999999998</v>
      </c>
      <c r="AM119" s="2">
        <f t="shared" si="19"/>
        <v>22.690370000000001</v>
      </c>
      <c r="AN119" s="2">
        <f t="shared" si="22"/>
        <v>13.593350000000001</v>
      </c>
      <c r="AO119" s="2">
        <f t="shared" si="23"/>
        <v>76.053570000000008</v>
      </c>
    </row>
    <row r="120" spans="1:41" x14ac:dyDescent="0.35">
      <c r="A120" t="s">
        <v>32</v>
      </c>
      <c r="B120" s="4">
        <v>9940515691</v>
      </c>
      <c r="C120" t="s">
        <v>161</v>
      </c>
      <c r="D120" t="s">
        <v>232</v>
      </c>
      <c r="E120" t="s">
        <v>26</v>
      </c>
      <c r="F120" s="2">
        <v>10.868589999999999</v>
      </c>
      <c r="G120" s="2">
        <v>27.74202</v>
      </c>
      <c r="H120" s="2">
        <v>5.2161</v>
      </c>
      <c r="I120" s="2">
        <v>2.9190999999999998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/>
      <c r="Q120" s="2"/>
      <c r="R120" s="2">
        <f t="shared" si="12"/>
        <v>43.826709999999999</v>
      </c>
      <c r="S120" s="2">
        <f t="shared" si="13"/>
        <v>2.9190999999999998</v>
      </c>
      <c r="T120" s="2">
        <f t="shared" si="14"/>
        <v>0</v>
      </c>
      <c r="U120" s="2">
        <f t="shared" si="15"/>
        <v>0</v>
      </c>
      <c r="V120" s="2">
        <f t="shared" si="20"/>
        <v>0</v>
      </c>
      <c r="W120" s="2">
        <f t="shared" si="21"/>
        <v>46.745809999999999</v>
      </c>
      <c r="X120" s="2">
        <v>3.83371</v>
      </c>
      <c r="Y120" s="2">
        <v>8.5970499999999994</v>
      </c>
      <c r="Z120" s="2">
        <v>0.98826999999999998</v>
      </c>
      <c r="AA120" s="2">
        <v>5.7579999999999999E-2</v>
      </c>
      <c r="AB120" s="2">
        <v>-3.0069900000000001</v>
      </c>
      <c r="AC120" s="2">
        <v>2.7970000000000002</v>
      </c>
      <c r="AD120" s="2">
        <v>0</v>
      </c>
      <c r="AE120" s="2">
        <v>0</v>
      </c>
      <c r="AF120" s="2">
        <v>0</v>
      </c>
      <c r="AG120" s="2">
        <v>0</v>
      </c>
      <c r="AH120" s="2"/>
      <c r="AI120" s="2"/>
      <c r="AJ120" s="2">
        <f t="shared" si="16"/>
        <v>13.419029999999999</v>
      </c>
      <c r="AK120" s="2">
        <f t="shared" si="17"/>
        <v>-0.15240999999999971</v>
      </c>
      <c r="AL120" s="2">
        <f t="shared" si="18"/>
        <v>0</v>
      </c>
      <c r="AM120" s="2">
        <f t="shared" si="19"/>
        <v>0</v>
      </c>
      <c r="AN120" s="2">
        <f t="shared" si="22"/>
        <v>0</v>
      </c>
      <c r="AO120" s="2">
        <f t="shared" si="23"/>
        <v>13.26662</v>
      </c>
    </row>
    <row r="121" spans="1:41" x14ac:dyDescent="0.35">
      <c r="A121" t="s">
        <v>32</v>
      </c>
      <c r="B121" s="4">
        <v>9940551624</v>
      </c>
      <c r="C121" t="s">
        <v>162</v>
      </c>
      <c r="D121" t="s">
        <v>241</v>
      </c>
      <c r="E121" t="s">
        <v>26</v>
      </c>
      <c r="F121" s="2"/>
      <c r="G121" s="2"/>
      <c r="H121" s="2">
        <v>12.05289</v>
      </c>
      <c r="I121" s="2">
        <v>3.2524899999999999</v>
      </c>
      <c r="J121" s="2">
        <v>0</v>
      </c>
      <c r="K121" s="2">
        <v>-4.45E-3</v>
      </c>
      <c r="L121" s="2">
        <v>0</v>
      </c>
      <c r="M121" s="2">
        <v>0</v>
      </c>
      <c r="N121" s="2">
        <v>0</v>
      </c>
      <c r="O121" s="2">
        <v>0</v>
      </c>
      <c r="P121" s="2"/>
      <c r="Q121" s="2"/>
      <c r="R121" s="2">
        <f t="shared" si="12"/>
        <v>12.05289</v>
      </c>
      <c r="S121" s="2">
        <f t="shared" si="13"/>
        <v>3.24804</v>
      </c>
      <c r="T121" s="2">
        <f t="shared" si="14"/>
        <v>0</v>
      </c>
      <c r="U121" s="2">
        <f t="shared" si="15"/>
        <v>0</v>
      </c>
      <c r="V121" s="2">
        <f t="shared" si="20"/>
        <v>0</v>
      </c>
      <c r="W121" s="2">
        <f t="shared" si="21"/>
        <v>15.300929999999999</v>
      </c>
      <c r="X121" s="2"/>
      <c r="Y121" s="2"/>
      <c r="Z121" s="2">
        <v>4.56548</v>
      </c>
      <c r="AA121" s="2">
        <v>0.51973999999999998</v>
      </c>
      <c r="AB121" s="2">
        <v>-0.13236999999999999</v>
      </c>
      <c r="AC121" s="2">
        <v>-1.8980999999999999</v>
      </c>
      <c r="AD121" s="2">
        <v>0</v>
      </c>
      <c r="AE121" s="2">
        <v>0</v>
      </c>
      <c r="AF121" s="2">
        <v>0</v>
      </c>
      <c r="AG121" s="2">
        <v>0</v>
      </c>
      <c r="AH121" s="2"/>
      <c r="AI121" s="2"/>
      <c r="AJ121" s="2">
        <f t="shared" si="16"/>
        <v>4.56548</v>
      </c>
      <c r="AK121" s="2">
        <f t="shared" si="17"/>
        <v>-1.5107299999999999</v>
      </c>
      <c r="AL121" s="2">
        <f t="shared" si="18"/>
        <v>0</v>
      </c>
      <c r="AM121" s="2">
        <f t="shared" si="19"/>
        <v>0</v>
      </c>
      <c r="AN121" s="2">
        <f t="shared" si="22"/>
        <v>0</v>
      </c>
      <c r="AO121" s="2">
        <f t="shared" si="23"/>
        <v>3.0547500000000003</v>
      </c>
    </row>
    <row r="122" spans="1:41" x14ac:dyDescent="0.35">
      <c r="A122" t="s">
        <v>32</v>
      </c>
      <c r="B122" s="4">
        <v>9940124187</v>
      </c>
      <c r="C122" t="s">
        <v>165</v>
      </c>
      <c r="D122" t="s">
        <v>268</v>
      </c>
      <c r="E122" t="s">
        <v>26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/>
      <c r="Q122" s="2"/>
      <c r="R122" s="2">
        <f t="shared" si="12"/>
        <v>0</v>
      </c>
      <c r="S122" s="2">
        <f t="shared" si="13"/>
        <v>0</v>
      </c>
      <c r="T122" s="2">
        <f t="shared" si="14"/>
        <v>0</v>
      </c>
      <c r="U122" s="2">
        <f t="shared" si="15"/>
        <v>0</v>
      </c>
      <c r="V122" s="2">
        <f t="shared" si="20"/>
        <v>0</v>
      </c>
      <c r="W122" s="2">
        <f t="shared" si="21"/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/>
      <c r="AI122" s="2"/>
      <c r="AJ122" s="2">
        <f t="shared" si="16"/>
        <v>0</v>
      </c>
      <c r="AK122" s="2">
        <f t="shared" si="17"/>
        <v>0</v>
      </c>
      <c r="AL122" s="2">
        <f t="shared" si="18"/>
        <v>0</v>
      </c>
      <c r="AM122" s="2">
        <f t="shared" si="19"/>
        <v>0</v>
      </c>
      <c r="AN122" s="2">
        <f t="shared" si="22"/>
        <v>0</v>
      </c>
      <c r="AO122" s="2">
        <f t="shared" si="23"/>
        <v>0</v>
      </c>
    </row>
    <row r="123" spans="1:41" x14ac:dyDescent="0.35">
      <c r="A123" t="s">
        <v>32</v>
      </c>
      <c r="B123" s="4">
        <v>9940248135</v>
      </c>
      <c r="C123" t="s">
        <v>166</v>
      </c>
      <c r="D123" t="s">
        <v>252</v>
      </c>
      <c r="E123" t="s">
        <v>26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/>
      <c r="Q123" s="2"/>
      <c r="R123" s="2">
        <f t="shared" si="12"/>
        <v>0</v>
      </c>
      <c r="S123" s="2">
        <f t="shared" si="13"/>
        <v>0</v>
      </c>
      <c r="T123" s="2">
        <f t="shared" si="14"/>
        <v>0</v>
      </c>
      <c r="U123" s="2">
        <f t="shared" si="15"/>
        <v>0</v>
      </c>
      <c r="V123" s="2">
        <f t="shared" si="20"/>
        <v>0</v>
      </c>
      <c r="W123" s="2">
        <f t="shared" si="21"/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/>
      <c r="AI123" s="2"/>
      <c r="AJ123" s="2">
        <f t="shared" si="16"/>
        <v>0</v>
      </c>
      <c r="AK123" s="2">
        <f t="shared" si="17"/>
        <v>0</v>
      </c>
      <c r="AL123" s="2">
        <f t="shared" si="18"/>
        <v>0</v>
      </c>
      <c r="AM123" s="2">
        <f t="shared" si="19"/>
        <v>0</v>
      </c>
      <c r="AN123" s="2">
        <f t="shared" si="22"/>
        <v>0</v>
      </c>
      <c r="AO123" s="2">
        <f t="shared" si="23"/>
        <v>0</v>
      </c>
    </row>
    <row r="124" spans="1:41" x14ac:dyDescent="0.35">
      <c r="A124" t="s">
        <v>32</v>
      </c>
      <c r="B124" s="4">
        <v>9940492882</v>
      </c>
      <c r="C124" t="s">
        <v>168</v>
      </c>
      <c r="D124" t="s">
        <v>284</v>
      </c>
      <c r="E124" t="s">
        <v>26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f t="shared" si="12"/>
        <v>0</v>
      </c>
      <c r="S124" s="2">
        <f t="shared" si="13"/>
        <v>0</v>
      </c>
      <c r="T124" s="2">
        <f t="shared" si="14"/>
        <v>0</v>
      </c>
      <c r="U124" s="2">
        <f t="shared" si="15"/>
        <v>0</v>
      </c>
      <c r="V124" s="2">
        <f t="shared" si="20"/>
        <v>0</v>
      </c>
      <c r="W124" s="2">
        <f t="shared" si="21"/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-1.1685700000000001</v>
      </c>
      <c r="AI124" s="2">
        <v>0</v>
      </c>
      <c r="AJ124" s="2">
        <f t="shared" si="16"/>
        <v>0</v>
      </c>
      <c r="AK124" s="2">
        <f t="shared" si="17"/>
        <v>0</v>
      </c>
      <c r="AL124" s="2">
        <f t="shared" si="18"/>
        <v>0</v>
      </c>
      <c r="AM124" s="2">
        <f t="shared" si="19"/>
        <v>-1.1685700000000001</v>
      </c>
      <c r="AN124" s="2">
        <f t="shared" si="22"/>
        <v>-1.1685700000000001</v>
      </c>
      <c r="AO124" s="2">
        <f t="shared" si="23"/>
        <v>-1.1685700000000001</v>
      </c>
    </row>
    <row r="125" spans="1:41" x14ac:dyDescent="0.35">
      <c r="A125" t="s">
        <v>32</v>
      </c>
      <c r="B125" s="4">
        <v>9940528275</v>
      </c>
      <c r="C125" t="s">
        <v>169</v>
      </c>
      <c r="D125" t="s">
        <v>241</v>
      </c>
      <c r="E125" t="s">
        <v>26</v>
      </c>
      <c r="F125" s="2">
        <v>-1.0290000000000001E-2</v>
      </c>
      <c r="G125" s="2">
        <v>-48.67277</v>
      </c>
      <c r="H125" s="2">
        <v>0</v>
      </c>
      <c r="I125" s="2">
        <v>0</v>
      </c>
      <c r="J125" s="2">
        <v>80.022170000000003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/>
      <c r="Q125" s="2"/>
      <c r="R125" s="2">
        <f t="shared" si="12"/>
        <v>-48.683059999999998</v>
      </c>
      <c r="S125" s="2">
        <f t="shared" si="13"/>
        <v>80.022170000000003</v>
      </c>
      <c r="T125" s="2">
        <f t="shared" si="14"/>
        <v>0</v>
      </c>
      <c r="U125" s="2">
        <f t="shared" si="15"/>
        <v>0</v>
      </c>
      <c r="V125" s="2">
        <f t="shared" si="20"/>
        <v>0</v>
      </c>
      <c r="W125" s="2">
        <f t="shared" si="21"/>
        <v>31.339110000000005</v>
      </c>
      <c r="X125" s="2">
        <v>44.237490000000001</v>
      </c>
      <c r="Y125" s="2">
        <v>-51.701349999999998</v>
      </c>
      <c r="Z125" s="2">
        <v>-0.18625</v>
      </c>
      <c r="AA125" s="2">
        <v>0.77241000000000004</v>
      </c>
      <c r="AB125" s="2">
        <v>80.822389999999999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/>
      <c r="AI125" s="2"/>
      <c r="AJ125" s="2">
        <f t="shared" si="16"/>
        <v>-7.6501099999999971</v>
      </c>
      <c r="AK125" s="2">
        <f t="shared" si="17"/>
        <v>81.594799999999992</v>
      </c>
      <c r="AL125" s="2">
        <f t="shared" si="18"/>
        <v>0</v>
      </c>
      <c r="AM125" s="2">
        <f t="shared" si="19"/>
        <v>0</v>
      </c>
      <c r="AN125" s="2">
        <f t="shared" si="22"/>
        <v>0</v>
      </c>
      <c r="AO125" s="2">
        <f t="shared" si="23"/>
        <v>73.944689999999994</v>
      </c>
    </row>
    <row r="126" spans="1:41" x14ac:dyDescent="0.35">
      <c r="A126" t="s">
        <v>32</v>
      </c>
      <c r="B126" s="4">
        <v>9940531690</v>
      </c>
      <c r="C126" t="s">
        <v>170</v>
      </c>
      <c r="D126" t="s">
        <v>269</v>
      </c>
      <c r="E126" t="s">
        <v>26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f t="shared" si="12"/>
        <v>0</v>
      </c>
      <c r="S126" s="2">
        <f t="shared" si="13"/>
        <v>0</v>
      </c>
      <c r="T126" s="2">
        <f t="shared" si="14"/>
        <v>0</v>
      </c>
      <c r="U126" s="2">
        <f t="shared" si="15"/>
        <v>0</v>
      </c>
      <c r="V126" s="2">
        <f t="shared" si="20"/>
        <v>0</v>
      </c>
      <c r="W126" s="2">
        <f t="shared" si="21"/>
        <v>0</v>
      </c>
      <c r="X126" s="2">
        <v>-1.21658</v>
      </c>
      <c r="Y126" s="2">
        <v>-0.26646999999999998</v>
      </c>
      <c r="Z126" s="2">
        <v>-0.24890000000000001</v>
      </c>
      <c r="AA126" s="2">
        <v>-0.24872</v>
      </c>
      <c r="AB126" s="2">
        <v>-0.25514999999999999</v>
      </c>
      <c r="AC126" s="2">
        <v>-0.26589000000000002</v>
      </c>
      <c r="AD126" s="2">
        <v>-0.26618000000000003</v>
      </c>
      <c r="AE126" s="2">
        <v>-0.25546999999999997</v>
      </c>
      <c r="AF126" s="2">
        <v>-0.26334999999999997</v>
      </c>
      <c r="AG126" s="2">
        <v>-0.26401000000000002</v>
      </c>
      <c r="AH126" s="2">
        <v>8.2359799999999996</v>
      </c>
      <c r="AI126" s="2">
        <v>0</v>
      </c>
      <c r="AJ126" s="2">
        <f t="shared" si="16"/>
        <v>-1.7319499999999999</v>
      </c>
      <c r="AK126" s="2">
        <f t="shared" si="17"/>
        <v>-0.76976</v>
      </c>
      <c r="AL126" s="2">
        <f t="shared" si="18"/>
        <v>-0.78499999999999992</v>
      </c>
      <c r="AM126" s="2">
        <f t="shared" si="19"/>
        <v>7.9719699999999998</v>
      </c>
      <c r="AN126" s="2">
        <f t="shared" si="22"/>
        <v>8.2359799999999996</v>
      </c>
      <c r="AO126" s="2">
        <f t="shared" si="23"/>
        <v>4.6852599999999995</v>
      </c>
    </row>
    <row r="127" spans="1:41" x14ac:dyDescent="0.35">
      <c r="A127" t="s">
        <v>32</v>
      </c>
      <c r="B127" s="4">
        <v>9940533299</v>
      </c>
      <c r="C127" t="s">
        <v>171</v>
      </c>
      <c r="D127" t="s">
        <v>255</v>
      </c>
      <c r="E127" t="s">
        <v>26</v>
      </c>
      <c r="F127" s="2">
        <v>72.995369999999994</v>
      </c>
      <c r="G127" s="2">
        <v>72.419560000000004</v>
      </c>
      <c r="H127" s="2">
        <v>58.497500000000002</v>
      </c>
      <c r="I127" s="2">
        <v>48.974899999999998</v>
      </c>
      <c r="J127" s="2">
        <v>73.659530000000004</v>
      </c>
      <c r="K127" s="2">
        <v>73.613749999999996</v>
      </c>
      <c r="L127" s="2">
        <v>74.770330000000001</v>
      </c>
      <c r="M127" s="2">
        <v>64.137389999999996</v>
      </c>
      <c r="N127" s="2">
        <v>75.69341</v>
      </c>
      <c r="O127" s="2">
        <v>86.435980000000001</v>
      </c>
      <c r="P127" s="2">
        <v>115.49653000000001</v>
      </c>
      <c r="Q127" s="2">
        <v>110.38184</v>
      </c>
      <c r="R127" s="2">
        <f t="shared" si="12"/>
        <v>203.91243</v>
      </c>
      <c r="S127" s="2">
        <f t="shared" si="13"/>
        <v>196.24817999999999</v>
      </c>
      <c r="T127" s="2">
        <f t="shared" si="14"/>
        <v>214.60112999999998</v>
      </c>
      <c r="U127" s="2">
        <f t="shared" si="15"/>
        <v>312.31434999999999</v>
      </c>
      <c r="V127" s="2">
        <f t="shared" si="20"/>
        <v>225.87837000000002</v>
      </c>
      <c r="W127" s="2">
        <f t="shared" si="21"/>
        <v>927.07609000000002</v>
      </c>
      <c r="X127" s="2">
        <v>18.313020000000002</v>
      </c>
      <c r="Y127" s="2">
        <v>14.226710000000001</v>
      </c>
      <c r="Z127" s="2">
        <v>11.22283</v>
      </c>
      <c r="AA127" s="2">
        <v>9.7688500000000005</v>
      </c>
      <c r="AB127" s="2">
        <v>23.20083</v>
      </c>
      <c r="AC127" s="2">
        <v>14.23522</v>
      </c>
      <c r="AD127" s="2">
        <v>22.008669999999999</v>
      </c>
      <c r="AE127" s="2">
        <v>15.7235</v>
      </c>
      <c r="AF127" s="2">
        <v>23.240259999999999</v>
      </c>
      <c r="AG127" s="2">
        <v>28.005120000000002</v>
      </c>
      <c r="AH127" s="2">
        <v>35.900880000000001</v>
      </c>
      <c r="AI127" s="2">
        <v>36.947940000000003</v>
      </c>
      <c r="AJ127" s="2">
        <f t="shared" si="16"/>
        <v>43.762560000000008</v>
      </c>
      <c r="AK127" s="2">
        <f t="shared" si="17"/>
        <v>47.204899999999995</v>
      </c>
      <c r="AL127" s="2">
        <f t="shared" si="18"/>
        <v>60.972429999999996</v>
      </c>
      <c r="AM127" s="2">
        <f t="shared" si="19"/>
        <v>100.85394000000001</v>
      </c>
      <c r="AN127" s="2">
        <f t="shared" si="22"/>
        <v>72.848820000000003</v>
      </c>
      <c r="AO127" s="2">
        <f t="shared" si="23"/>
        <v>252.79383000000001</v>
      </c>
    </row>
    <row r="128" spans="1:41" x14ac:dyDescent="0.35">
      <c r="A128" t="s">
        <v>32</v>
      </c>
      <c r="B128" s="4">
        <v>9940543980</v>
      </c>
      <c r="C128" t="s">
        <v>172</v>
      </c>
      <c r="D128" t="s">
        <v>270</v>
      </c>
      <c r="E128" t="s">
        <v>26</v>
      </c>
      <c r="F128" s="2">
        <v>9.0000000000000006E-5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-0.46443000000000001</v>
      </c>
      <c r="N128" s="2">
        <v>0</v>
      </c>
      <c r="O128" s="2">
        <v>0</v>
      </c>
      <c r="P128" s="2"/>
      <c r="Q128" s="2"/>
      <c r="R128" s="2">
        <f t="shared" si="12"/>
        <v>9.0000000000000006E-5</v>
      </c>
      <c r="S128" s="2">
        <f t="shared" si="13"/>
        <v>0</v>
      </c>
      <c r="T128" s="2">
        <f t="shared" si="14"/>
        <v>-0.46443000000000001</v>
      </c>
      <c r="U128" s="2">
        <f t="shared" si="15"/>
        <v>0</v>
      </c>
      <c r="V128" s="2">
        <f t="shared" si="20"/>
        <v>0</v>
      </c>
      <c r="W128" s="2">
        <f t="shared" si="21"/>
        <v>-0.46434000000000003</v>
      </c>
      <c r="X128" s="2">
        <v>9.0000000000000006E-5</v>
      </c>
      <c r="Y128" s="2">
        <v>-3.2190000000000003E-2</v>
      </c>
      <c r="Z128" s="2">
        <v>-4.5100000000000001E-3</v>
      </c>
      <c r="AA128" s="2">
        <v>-4.5199999999999997E-3</v>
      </c>
      <c r="AB128" s="2">
        <v>-4.64E-3</v>
      </c>
      <c r="AC128" s="2">
        <v>-4.8300000000000001E-3</v>
      </c>
      <c r="AD128" s="2">
        <v>-4.8399999999999997E-3</v>
      </c>
      <c r="AE128" s="2">
        <v>-0.46908</v>
      </c>
      <c r="AF128" s="2">
        <v>0</v>
      </c>
      <c r="AG128" s="2">
        <v>0</v>
      </c>
      <c r="AH128" s="2"/>
      <c r="AI128" s="2"/>
      <c r="AJ128" s="2">
        <f t="shared" si="16"/>
        <v>-3.6610000000000004E-2</v>
      </c>
      <c r="AK128" s="2">
        <f t="shared" si="17"/>
        <v>-1.3989999999999999E-2</v>
      </c>
      <c r="AL128" s="2">
        <f t="shared" si="18"/>
        <v>-0.47392000000000001</v>
      </c>
      <c r="AM128" s="2">
        <f t="shared" si="19"/>
        <v>0</v>
      </c>
      <c r="AN128" s="2">
        <f t="shared" si="22"/>
        <v>0</v>
      </c>
      <c r="AO128" s="2">
        <f t="shared" si="23"/>
        <v>-0.52451999999999999</v>
      </c>
    </row>
    <row r="129" spans="1:41" x14ac:dyDescent="0.35">
      <c r="A129" t="s">
        <v>32</v>
      </c>
      <c r="B129" s="4">
        <v>9940544470</v>
      </c>
      <c r="C129" t="s">
        <v>173</v>
      </c>
      <c r="D129" t="s">
        <v>231</v>
      </c>
      <c r="E129" t="s">
        <v>26</v>
      </c>
      <c r="F129" s="2">
        <v>9.3955099999999998</v>
      </c>
      <c r="G129" s="2">
        <v>14.352069999999999</v>
      </c>
      <c r="H129" s="2">
        <v>14.66188</v>
      </c>
      <c r="I129" s="2">
        <v>14.18524</v>
      </c>
      <c r="J129" s="2">
        <v>12.85491</v>
      </c>
      <c r="K129" s="2">
        <v>17.138529999999999</v>
      </c>
      <c r="L129" s="2">
        <v>17.06446</v>
      </c>
      <c r="M129" s="2">
        <v>15.937889999999999</v>
      </c>
      <c r="N129" s="2">
        <v>22.194649999999999</v>
      </c>
      <c r="O129" s="2">
        <v>0</v>
      </c>
      <c r="P129" s="2">
        <v>0</v>
      </c>
      <c r="Q129" s="2">
        <v>0</v>
      </c>
      <c r="R129" s="2">
        <f t="shared" si="12"/>
        <v>38.409459999999996</v>
      </c>
      <c r="S129" s="2">
        <f t="shared" si="13"/>
        <v>44.17868</v>
      </c>
      <c r="T129" s="2">
        <f t="shared" si="14"/>
        <v>55.197000000000003</v>
      </c>
      <c r="U129" s="2">
        <f t="shared" si="15"/>
        <v>0</v>
      </c>
      <c r="V129" s="2">
        <f t="shared" si="20"/>
        <v>0</v>
      </c>
      <c r="W129" s="2">
        <f t="shared" si="21"/>
        <v>137.78514000000001</v>
      </c>
      <c r="X129" s="2">
        <v>3.7585099999999998</v>
      </c>
      <c r="Y129" s="2">
        <v>5.5077199999999999</v>
      </c>
      <c r="Z129" s="2">
        <v>5.7814800000000002</v>
      </c>
      <c r="AA129" s="2">
        <v>5.48238</v>
      </c>
      <c r="AB129" s="2">
        <v>4.6529299999999996</v>
      </c>
      <c r="AC129" s="2">
        <v>6.7551100000000002</v>
      </c>
      <c r="AD129" s="2">
        <v>6.9629500000000002</v>
      </c>
      <c r="AE129" s="2">
        <v>5.5610499999999998</v>
      </c>
      <c r="AF129" s="2">
        <v>9.4725699999999993</v>
      </c>
      <c r="AG129" s="2">
        <v>-2.8628999999999998</v>
      </c>
      <c r="AH129" s="2">
        <v>0</v>
      </c>
      <c r="AI129" s="2">
        <v>0</v>
      </c>
      <c r="AJ129" s="2">
        <f t="shared" si="16"/>
        <v>15.04771</v>
      </c>
      <c r="AK129" s="2">
        <f t="shared" si="17"/>
        <v>16.890419999999999</v>
      </c>
      <c r="AL129" s="2">
        <f t="shared" si="18"/>
        <v>21.996569999999998</v>
      </c>
      <c r="AM129" s="2">
        <f t="shared" si="19"/>
        <v>-2.8628999999999998</v>
      </c>
      <c r="AN129" s="2">
        <f t="shared" si="22"/>
        <v>0</v>
      </c>
      <c r="AO129" s="2">
        <f t="shared" si="23"/>
        <v>51.071799999999996</v>
      </c>
    </row>
    <row r="130" spans="1:41" x14ac:dyDescent="0.35">
      <c r="A130" t="s">
        <v>32</v>
      </c>
      <c r="B130" s="4">
        <v>9940556048</v>
      </c>
      <c r="C130" t="s">
        <v>174</v>
      </c>
      <c r="D130" t="s">
        <v>271</v>
      </c>
      <c r="E130" t="s">
        <v>26</v>
      </c>
      <c r="F130" s="2"/>
      <c r="G130" s="2"/>
      <c r="H130" s="2"/>
      <c r="I130" s="2">
        <v>34.858699999999999</v>
      </c>
      <c r="J130" s="2">
        <v>16.072569999999999</v>
      </c>
      <c r="K130" s="2">
        <v>2.3277000000000001</v>
      </c>
      <c r="L130" s="2">
        <v>0</v>
      </c>
      <c r="M130" s="2">
        <v>17.58023</v>
      </c>
      <c r="N130" s="2">
        <v>14.957929999999999</v>
      </c>
      <c r="O130" s="2">
        <v>0</v>
      </c>
      <c r="P130" s="2">
        <v>0</v>
      </c>
      <c r="Q130" s="2">
        <v>0</v>
      </c>
      <c r="R130" s="2">
        <f t="shared" si="12"/>
        <v>0</v>
      </c>
      <c r="S130" s="2">
        <f t="shared" si="13"/>
        <v>53.258969999999998</v>
      </c>
      <c r="T130" s="2">
        <f t="shared" si="14"/>
        <v>32.538159999999998</v>
      </c>
      <c r="U130" s="2">
        <f t="shared" si="15"/>
        <v>0</v>
      </c>
      <c r="V130" s="2">
        <f t="shared" si="20"/>
        <v>0</v>
      </c>
      <c r="W130" s="2">
        <f t="shared" si="21"/>
        <v>85.797129999999996</v>
      </c>
      <c r="X130" s="2"/>
      <c r="Y130" s="2"/>
      <c r="Z130" s="2"/>
      <c r="AA130" s="2">
        <v>15.84252</v>
      </c>
      <c r="AB130" s="2">
        <v>9.9183500000000002</v>
      </c>
      <c r="AC130" s="2">
        <v>-1.33334</v>
      </c>
      <c r="AD130" s="2">
        <v>-9.5205900000000003</v>
      </c>
      <c r="AE130" s="2">
        <v>11.578939999999999</v>
      </c>
      <c r="AF130" s="2">
        <v>10.15577</v>
      </c>
      <c r="AG130" s="2">
        <v>-2.6080700000000001</v>
      </c>
      <c r="AH130" s="2">
        <v>6.4229700000000003</v>
      </c>
      <c r="AI130" s="2">
        <v>0</v>
      </c>
      <c r="AJ130" s="2">
        <f t="shared" si="16"/>
        <v>0</v>
      </c>
      <c r="AK130" s="2">
        <f t="shared" si="17"/>
        <v>24.427530000000001</v>
      </c>
      <c r="AL130" s="2">
        <f t="shared" si="18"/>
        <v>12.214119999999999</v>
      </c>
      <c r="AM130" s="2">
        <f t="shared" si="19"/>
        <v>3.8149000000000002</v>
      </c>
      <c r="AN130" s="2">
        <f t="shared" si="22"/>
        <v>6.4229700000000003</v>
      </c>
      <c r="AO130" s="2">
        <f t="shared" si="23"/>
        <v>40.45655</v>
      </c>
    </row>
    <row r="131" spans="1:41" x14ac:dyDescent="0.35">
      <c r="A131" t="s">
        <v>32</v>
      </c>
      <c r="B131" s="4">
        <v>9940573416</v>
      </c>
      <c r="C131" t="s">
        <v>175</v>
      </c>
      <c r="D131" t="s">
        <v>221</v>
      </c>
      <c r="E131" t="s">
        <v>26</v>
      </c>
      <c r="F131" s="2"/>
      <c r="G131" s="2"/>
      <c r="H131" s="2"/>
      <c r="I131" s="2"/>
      <c r="J131" s="2"/>
      <c r="K131" s="2"/>
      <c r="L131" s="2"/>
      <c r="M131" s="2"/>
      <c r="N131" s="2">
        <v>2.3E-3</v>
      </c>
      <c r="O131" s="2">
        <v>0</v>
      </c>
      <c r="P131" s="2">
        <v>0</v>
      </c>
      <c r="Q131" s="2">
        <v>217.01804000000001</v>
      </c>
      <c r="R131" s="2">
        <f t="shared" ref="R131:R194" si="24">F131+G131+H131</f>
        <v>0</v>
      </c>
      <c r="S131" s="2">
        <f t="shared" ref="S131:S194" si="25">I131+J131+K131</f>
        <v>0</v>
      </c>
      <c r="T131" s="2">
        <f t="shared" ref="T131:T194" si="26">L131+M131+N131</f>
        <v>2.3E-3</v>
      </c>
      <c r="U131" s="2">
        <f t="shared" ref="U131:U194" si="27">O131+P131+Q131</f>
        <v>217.01804000000001</v>
      </c>
      <c r="V131" s="2">
        <f t="shared" si="20"/>
        <v>217.01804000000001</v>
      </c>
      <c r="W131" s="2">
        <f t="shared" si="21"/>
        <v>217.02034</v>
      </c>
      <c r="X131" s="2"/>
      <c r="Y131" s="2"/>
      <c r="Z131" s="2"/>
      <c r="AA131" s="2"/>
      <c r="AB131" s="2"/>
      <c r="AC131" s="2"/>
      <c r="AD131" s="2"/>
      <c r="AE131" s="2"/>
      <c r="AF131" s="2">
        <v>2.0899999999999998E-3</v>
      </c>
      <c r="AG131" s="2">
        <v>0.7359</v>
      </c>
      <c r="AH131" s="2">
        <v>-2.0600000000000002E-3</v>
      </c>
      <c r="AI131" s="2">
        <v>162.8725</v>
      </c>
      <c r="AJ131" s="2">
        <f t="shared" ref="AJ131:AJ194" si="28">X131+Y131+Z131</f>
        <v>0</v>
      </c>
      <c r="AK131" s="2">
        <f t="shared" ref="AK131:AK194" si="29">AA131+AB131+AC131</f>
        <v>0</v>
      </c>
      <c r="AL131" s="2">
        <f t="shared" ref="AL131:AL194" si="30">AD131+AE131+AF131</f>
        <v>2.0899999999999998E-3</v>
      </c>
      <c r="AM131" s="2">
        <f t="shared" ref="AM131:AM194" si="31">AG131+AH131+AI131</f>
        <v>163.60633999999999</v>
      </c>
      <c r="AN131" s="2">
        <f t="shared" si="22"/>
        <v>162.87044</v>
      </c>
      <c r="AO131" s="2">
        <f t="shared" si="23"/>
        <v>163.60843</v>
      </c>
    </row>
    <row r="132" spans="1:41" x14ac:dyDescent="0.35">
      <c r="A132" t="s">
        <v>32</v>
      </c>
      <c r="B132" s="4">
        <v>9940574337</v>
      </c>
      <c r="C132" t="s">
        <v>176</v>
      </c>
      <c r="D132" t="s">
        <v>272</v>
      </c>
      <c r="E132" t="s">
        <v>26</v>
      </c>
      <c r="F132" s="2"/>
      <c r="G132" s="2"/>
      <c r="H132" s="2"/>
      <c r="I132" s="2"/>
      <c r="J132" s="2"/>
      <c r="K132" s="2"/>
      <c r="L132" s="2"/>
      <c r="M132" s="2"/>
      <c r="N132" s="2">
        <v>0</v>
      </c>
      <c r="O132" s="2">
        <v>18.771999999999998</v>
      </c>
      <c r="P132" s="2">
        <v>0</v>
      </c>
      <c r="Q132" s="2">
        <v>0</v>
      </c>
      <c r="R132" s="2">
        <f t="shared" si="24"/>
        <v>0</v>
      </c>
      <c r="S132" s="2">
        <f t="shared" si="25"/>
        <v>0</v>
      </c>
      <c r="T132" s="2">
        <f t="shared" si="26"/>
        <v>0</v>
      </c>
      <c r="U132" s="2">
        <f t="shared" si="27"/>
        <v>18.771999999999998</v>
      </c>
      <c r="V132" s="2">
        <f t="shared" ref="V132:V195" si="32">P132+Q132</f>
        <v>0</v>
      </c>
      <c r="W132" s="2">
        <f t="shared" ref="W132:W195" si="33">R132+S132+T132+U132</f>
        <v>18.771999999999998</v>
      </c>
      <c r="X132" s="2"/>
      <c r="Y132" s="2"/>
      <c r="Z132" s="2"/>
      <c r="AA132" s="2"/>
      <c r="AB132" s="2"/>
      <c r="AC132" s="2"/>
      <c r="AD132" s="2"/>
      <c r="AE132" s="2"/>
      <c r="AF132" s="2">
        <v>0</v>
      </c>
      <c r="AG132" s="2">
        <v>14.33741</v>
      </c>
      <c r="AH132" s="2">
        <v>0</v>
      </c>
      <c r="AI132" s="2">
        <v>0</v>
      </c>
      <c r="AJ132" s="2">
        <f t="shared" si="28"/>
        <v>0</v>
      </c>
      <c r="AK132" s="2">
        <f t="shared" si="29"/>
        <v>0</v>
      </c>
      <c r="AL132" s="2">
        <f t="shared" si="30"/>
        <v>0</v>
      </c>
      <c r="AM132" s="2">
        <f t="shared" si="31"/>
        <v>14.33741</v>
      </c>
      <c r="AN132" s="2">
        <f t="shared" ref="AN132:AN195" si="34">AH132+AI132</f>
        <v>0</v>
      </c>
      <c r="AO132" s="2">
        <f t="shared" ref="AO132:AO195" si="35">AJ132+AK132+AL132+AM132</f>
        <v>14.33741</v>
      </c>
    </row>
    <row r="133" spans="1:41" x14ac:dyDescent="0.35">
      <c r="A133" t="s">
        <v>32</v>
      </c>
      <c r="B133" s="4">
        <v>9940576284</v>
      </c>
      <c r="C133" t="s">
        <v>177</v>
      </c>
      <c r="D133" t="s">
        <v>273</v>
      </c>
      <c r="E133" t="s">
        <v>26</v>
      </c>
      <c r="F133" s="2"/>
      <c r="G133" s="2"/>
      <c r="H133" s="2"/>
      <c r="I133" s="2"/>
      <c r="J133" s="2"/>
      <c r="K133" s="2"/>
      <c r="L133" s="2"/>
      <c r="M133" s="2"/>
      <c r="N133" s="2">
        <v>0</v>
      </c>
      <c r="O133" s="2">
        <v>114.35074</v>
      </c>
      <c r="P133" s="2">
        <v>145.11378439999999</v>
      </c>
      <c r="Q133" s="2">
        <v>38.251023199999999</v>
      </c>
      <c r="R133" s="2">
        <f t="shared" si="24"/>
        <v>0</v>
      </c>
      <c r="S133" s="2">
        <f t="shared" si="25"/>
        <v>0</v>
      </c>
      <c r="T133" s="2">
        <f t="shared" si="26"/>
        <v>0</v>
      </c>
      <c r="U133" s="2">
        <f t="shared" si="27"/>
        <v>297.71554759999998</v>
      </c>
      <c r="V133" s="2">
        <f t="shared" si="32"/>
        <v>183.36480759999998</v>
      </c>
      <c r="W133" s="2">
        <f t="shared" si="33"/>
        <v>297.71554759999998</v>
      </c>
      <c r="X133" s="2"/>
      <c r="Y133" s="2"/>
      <c r="Z133" s="2"/>
      <c r="AA133" s="2"/>
      <c r="AB133" s="2"/>
      <c r="AC133" s="2"/>
      <c r="AD133" s="2"/>
      <c r="AE133" s="2"/>
      <c r="AF133" s="2">
        <v>0</v>
      </c>
      <c r="AG133" s="2">
        <v>49.293300000000002</v>
      </c>
      <c r="AH133" s="2">
        <v>65.300393600000007</v>
      </c>
      <c r="AI133" s="2">
        <v>0.62153000000000003</v>
      </c>
      <c r="AJ133" s="2">
        <f t="shared" si="28"/>
        <v>0</v>
      </c>
      <c r="AK133" s="2">
        <f t="shared" si="29"/>
        <v>0</v>
      </c>
      <c r="AL133" s="2">
        <f t="shared" si="30"/>
        <v>0</v>
      </c>
      <c r="AM133" s="2">
        <f t="shared" si="31"/>
        <v>115.21522360000002</v>
      </c>
      <c r="AN133" s="2">
        <f t="shared" si="34"/>
        <v>65.921923600000014</v>
      </c>
      <c r="AO133" s="2">
        <f t="shared" si="35"/>
        <v>115.21522360000002</v>
      </c>
    </row>
    <row r="134" spans="1:41" x14ac:dyDescent="0.35">
      <c r="A134" t="s">
        <v>32</v>
      </c>
      <c r="B134" s="4">
        <v>9940394825</v>
      </c>
      <c r="C134" t="s">
        <v>178</v>
      </c>
      <c r="D134" t="s">
        <v>274</v>
      </c>
      <c r="E134" t="s">
        <v>26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-28.972580000000001</v>
      </c>
      <c r="L134" s="2">
        <v>0</v>
      </c>
      <c r="M134" s="2">
        <v>0</v>
      </c>
      <c r="N134" s="2">
        <v>0</v>
      </c>
      <c r="O134" s="2">
        <v>0</v>
      </c>
      <c r="P134" s="2"/>
      <c r="Q134" s="2"/>
      <c r="R134" s="2">
        <f t="shared" si="24"/>
        <v>0</v>
      </c>
      <c r="S134" s="2">
        <f t="shared" si="25"/>
        <v>-28.972580000000001</v>
      </c>
      <c r="T134" s="2">
        <f t="shared" si="26"/>
        <v>0</v>
      </c>
      <c r="U134" s="2">
        <f t="shared" si="27"/>
        <v>0</v>
      </c>
      <c r="V134" s="2">
        <f t="shared" si="32"/>
        <v>0</v>
      </c>
      <c r="W134" s="2">
        <f t="shared" si="33"/>
        <v>-28.972580000000001</v>
      </c>
      <c r="X134" s="2">
        <v>-1.83348</v>
      </c>
      <c r="Y134" s="2">
        <v>-1.4968699999999999</v>
      </c>
      <c r="Z134" s="2">
        <v>-0.83308000000000004</v>
      </c>
      <c r="AA134" s="2">
        <v>-0.27100000000000002</v>
      </c>
      <c r="AB134" s="2">
        <v>-0.27801999999999999</v>
      </c>
      <c r="AC134" s="2">
        <v>-29.262309999999999</v>
      </c>
      <c r="AD134" s="2">
        <v>0</v>
      </c>
      <c r="AE134" s="2">
        <v>0</v>
      </c>
      <c r="AF134" s="2">
        <v>0</v>
      </c>
      <c r="AG134" s="2">
        <v>0</v>
      </c>
      <c r="AH134" s="2"/>
      <c r="AI134" s="2"/>
      <c r="AJ134" s="2">
        <f t="shared" si="28"/>
        <v>-4.16343</v>
      </c>
      <c r="AK134" s="2">
        <f t="shared" si="29"/>
        <v>-29.811329999999998</v>
      </c>
      <c r="AL134" s="2">
        <f t="shared" si="30"/>
        <v>0</v>
      </c>
      <c r="AM134" s="2">
        <f t="shared" si="31"/>
        <v>0</v>
      </c>
      <c r="AN134" s="2">
        <f t="shared" si="34"/>
        <v>0</v>
      </c>
      <c r="AO134" s="2">
        <f t="shared" si="35"/>
        <v>-33.974759999999996</v>
      </c>
    </row>
    <row r="135" spans="1:41" x14ac:dyDescent="0.35">
      <c r="A135" t="s">
        <v>32</v>
      </c>
      <c r="B135" s="4">
        <v>9940492468</v>
      </c>
      <c r="C135" t="s">
        <v>179</v>
      </c>
      <c r="D135" t="s">
        <v>275</v>
      </c>
      <c r="E135" t="s">
        <v>26</v>
      </c>
      <c r="F135" s="2">
        <v>0</v>
      </c>
      <c r="G135" s="2">
        <v>0</v>
      </c>
      <c r="H135" s="2">
        <v>-3.03783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f t="shared" si="24"/>
        <v>-3.03783</v>
      </c>
      <c r="S135" s="2">
        <f t="shared" si="25"/>
        <v>0</v>
      </c>
      <c r="T135" s="2">
        <f t="shared" si="26"/>
        <v>0</v>
      </c>
      <c r="U135" s="2">
        <f t="shared" si="27"/>
        <v>0</v>
      </c>
      <c r="V135" s="2">
        <f t="shared" si="32"/>
        <v>0</v>
      </c>
      <c r="W135" s="2">
        <f t="shared" si="33"/>
        <v>-3.03783</v>
      </c>
      <c r="X135" s="2">
        <v>-0.03</v>
      </c>
      <c r="Y135" s="2">
        <v>-3.0419999999999999E-2</v>
      </c>
      <c r="Z135" s="2">
        <v>-3.0682100000000001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f t="shared" si="28"/>
        <v>-3.1286300000000002</v>
      </c>
      <c r="AK135" s="2">
        <f t="shared" si="29"/>
        <v>0</v>
      </c>
      <c r="AL135" s="2">
        <f t="shared" si="30"/>
        <v>0</v>
      </c>
      <c r="AM135" s="2">
        <f t="shared" si="31"/>
        <v>0</v>
      </c>
      <c r="AN135" s="2">
        <f t="shared" si="34"/>
        <v>0</v>
      </c>
      <c r="AO135" s="2">
        <f t="shared" si="35"/>
        <v>-3.1286300000000002</v>
      </c>
    </row>
    <row r="136" spans="1:41" x14ac:dyDescent="0.35">
      <c r="A136" t="s">
        <v>32</v>
      </c>
      <c r="B136" s="4">
        <v>9940505640</v>
      </c>
      <c r="C136" t="s">
        <v>180</v>
      </c>
      <c r="D136" t="s">
        <v>242</v>
      </c>
      <c r="E136" t="s">
        <v>26</v>
      </c>
      <c r="F136" s="2">
        <v>186.91127</v>
      </c>
      <c r="G136" s="2">
        <v>220.66807</v>
      </c>
      <c r="H136" s="2">
        <v>161.08001999999999</v>
      </c>
      <c r="I136" s="2">
        <v>6.7791699999999997</v>
      </c>
      <c r="J136" s="2">
        <v>0</v>
      </c>
      <c r="K136" s="2">
        <v>181.55663999999999</v>
      </c>
      <c r="L136" s="2">
        <v>255.07216</v>
      </c>
      <c r="M136" s="2">
        <v>144.68270999999999</v>
      </c>
      <c r="N136" s="2">
        <v>173.82961</v>
      </c>
      <c r="O136" s="2">
        <v>207.14546000000001</v>
      </c>
      <c r="P136" s="2">
        <v>286.22642789999998</v>
      </c>
      <c r="Q136" s="2">
        <v>251.42291069999999</v>
      </c>
      <c r="R136" s="2">
        <f t="shared" si="24"/>
        <v>568.65935999999999</v>
      </c>
      <c r="S136" s="2">
        <f t="shared" si="25"/>
        <v>188.33580999999998</v>
      </c>
      <c r="T136" s="2">
        <f t="shared" si="26"/>
        <v>573.58447999999999</v>
      </c>
      <c r="U136" s="2">
        <f t="shared" si="27"/>
        <v>744.79479859999992</v>
      </c>
      <c r="V136" s="2">
        <f t="shared" si="32"/>
        <v>537.64933859999996</v>
      </c>
      <c r="W136" s="2">
        <f t="shared" si="33"/>
        <v>2075.3744485999996</v>
      </c>
      <c r="X136" s="2">
        <v>126.36109</v>
      </c>
      <c r="Y136" s="2">
        <v>49.335239999999999</v>
      </c>
      <c r="Z136" s="2">
        <v>67.450689999999994</v>
      </c>
      <c r="AA136" s="2">
        <v>-56.638890000000004</v>
      </c>
      <c r="AB136" s="2">
        <v>-48.447009999999999</v>
      </c>
      <c r="AC136" s="2">
        <v>132.79317</v>
      </c>
      <c r="AD136" s="2">
        <v>163.19299000000001</v>
      </c>
      <c r="AE136" s="2">
        <v>57.661360000000002</v>
      </c>
      <c r="AF136" s="2">
        <v>71.27664</v>
      </c>
      <c r="AG136" s="2">
        <v>79.805819999999997</v>
      </c>
      <c r="AH136" s="2">
        <v>149.6465997</v>
      </c>
      <c r="AI136" s="2">
        <v>112.19393789999999</v>
      </c>
      <c r="AJ136" s="2">
        <f t="shared" si="28"/>
        <v>243.14702</v>
      </c>
      <c r="AK136" s="2">
        <f t="shared" si="29"/>
        <v>27.707269999999994</v>
      </c>
      <c r="AL136" s="2">
        <f t="shared" si="30"/>
        <v>292.13099</v>
      </c>
      <c r="AM136" s="2">
        <f t="shared" si="31"/>
        <v>341.64635759999999</v>
      </c>
      <c r="AN136" s="2">
        <f t="shared" si="34"/>
        <v>261.8405376</v>
      </c>
      <c r="AO136" s="2">
        <f t="shared" si="35"/>
        <v>904.63163759999998</v>
      </c>
    </row>
    <row r="137" spans="1:41" x14ac:dyDescent="0.35">
      <c r="A137" t="s">
        <v>32</v>
      </c>
      <c r="B137" s="4">
        <v>9940509186</v>
      </c>
      <c r="C137" t="s">
        <v>181</v>
      </c>
      <c r="D137" t="s">
        <v>232</v>
      </c>
      <c r="E137" t="s">
        <v>26</v>
      </c>
      <c r="F137" s="2">
        <v>10.76055</v>
      </c>
      <c r="G137" s="2">
        <v>0</v>
      </c>
      <c r="H137" s="2">
        <v>0</v>
      </c>
      <c r="I137" s="2">
        <v>0</v>
      </c>
      <c r="J137" s="2">
        <v>0</v>
      </c>
      <c r="K137" s="2">
        <v>-1.66404</v>
      </c>
      <c r="L137" s="2">
        <v>0</v>
      </c>
      <c r="M137" s="2">
        <v>0</v>
      </c>
      <c r="N137" s="2">
        <v>0</v>
      </c>
      <c r="O137" s="2">
        <v>0</v>
      </c>
      <c r="P137" s="2"/>
      <c r="Q137" s="2"/>
      <c r="R137" s="2">
        <f t="shared" si="24"/>
        <v>10.76055</v>
      </c>
      <c r="S137" s="2">
        <f t="shared" si="25"/>
        <v>-1.66404</v>
      </c>
      <c r="T137" s="2">
        <f t="shared" si="26"/>
        <v>0</v>
      </c>
      <c r="U137" s="2">
        <f t="shared" si="27"/>
        <v>0</v>
      </c>
      <c r="V137" s="2">
        <f t="shared" si="32"/>
        <v>0</v>
      </c>
      <c r="W137" s="2">
        <f t="shared" si="33"/>
        <v>9.0965100000000003</v>
      </c>
      <c r="X137" s="2">
        <v>-14.87374</v>
      </c>
      <c r="Y137" s="2">
        <v>-11.455880000000001</v>
      </c>
      <c r="Z137" s="2">
        <v>1.45513</v>
      </c>
      <c r="AA137" s="2">
        <v>-9.7439999999999999E-2</v>
      </c>
      <c r="AB137" s="2">
        <v>-0.38363000000000003</v>
      </c>
      <c r="AC137" s="2">
        <v>-1.90978</v>
      </c>
      <c r="AD137" s="2">
        <v>0</v>
      </c>
      <c r="AE137" s="2">
        <v>0</v>
      </c>
      <c r="AF137" s="2">
        <v>0</v>
      </c>
      <c r="AG137" s="2">
        <v>0</v>
      </c>
      <c r="AH137" s="2"/>
      <c r="AI137" s="2"/>
      <c r="AJ137" s="2">
        <f t="shared" si="28"/>
        <v>-24.874489999999998</v>
      </c>
      <c r="AK137" s="2">
        <f t="shared" si="29"/>
        <v>-2.3908499999999999</v>
      </c>
      <c r="AL137" s="2">
        <f t="shared" si="30"/>
        <v>0</v>
      </c>
      <c r="AM137" s="2">
        <f t="shared" si="31"/>
        <v>0</v>
      </c>
      <c r="AN137" s="2">
        <f t="shared" si="34"/>
        <v>0</v>
      </c>
      <c r="AO137" s="2">
        <f t="shared" si="35"/>
        <v>-27.265339999999998</v>
      </c>
    </row>
    <row r="138" spans="1:41" x14ac:dyDescent="0.35">
      <c r="A138" t="s">
        <v>32</v>
      </c>
      <c r="B138" s="4">
        <v>9940543177</v>
      </c>
      <c r="C138" t="s">
        <v>213</v>
      </c>
      <c r="D138" t="s">
        <v>235</v>
      </c>
      <c r="E138" t="s">
        <v>26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f t="shared" si="24"/>
        <v>0</v>
      </c>
      <c r="S138" s="2">
        <f t="shared" si="25"/>
        <v>0</v>
      </c>
      <c r="T138" s="2">
        <f t="shared" si="26"/>
        <v>0</v>
      </c>
      <c r="U138" s="2">
        <f t="shared" si="27"/>
        <v>0</v>
      </c>
      <c r="V138" s="2">
        <f t="shared" si="32"/>
        <v>0</v>
      </c>
      <c r="W138" s="2">
        <f t="shared" si="33"/>
        <v>0</v>
      </c>
      <c r="X138" s="2">
        <v>-4.0000000000000003E-5</v>
      </c>
      <c r="Y138" s="2">
        <v>9.9959699999999998</v>
      </c>
      <c r="Z138" s="2">
        <v>-10.7464</v>
      </c>
      <c r="AA138" s="2">
        <v>-2.2598400000000001</v>
      </c>
      <c r="AB138" s="2">
        <v>2.6144500000000002</v>
      </c>
      <c r="AC138" s="2">
        <v>2.1838899999999999</v>
      </c>
      <c r="AD138" s="2">
        <v>0.86500999999999995</v>
      </c>
      <c r="AE138" s="2">
        <v>0.86856999999999995</v>
      </c>
      <c r="AF138" s="2">
        <v>0.84979000000000005</v>
      </c>
      <c r="AG138" s="2">
        <v>0.84950999999999999</v>
      </c>
      <c r="AH138" s="2">
        <v>5.8167400000000002</v>
      </c>
      <c r="AI138" s="2">
        <v>0</v>
      </c>
      <c r="AJ138" s="2">
        <f t="shared" si="28"/>
        <v>-0.75046999999999997</v>
      </c>
      <c r="AK138" s="2">
        <f t="shared" si="29"/>
        <v>2.5385</v>
      </c>
      <c r="AL138" s="2">
        <f t="shared" si="30"/>
        <v>2.5833699999999999</v>
      </c>
      <c r="AM138" s="2">
        <f t="shared" si="31"/>
        <v>6.6662499999999998</v>
      </c>
      <c r="AN138" s="2">
        <f t="shared" si="34"/>
        <v>5.8167400000000002</v>
      </c>
      <c r="AO138" s="2">
        <f t="shared" si="35"/>
        <v>11.037649999999999</v>
      </c>
    </row>
    <row r="139" spans="1:41" x14ac:dyDescent="0.35">
      <c r="A139" t="s">
        <v>32</v>
      </c>
      <c r="B139" s="4">
        <v>9940521224</v>
      </c>
      <c r="C139" t="s">
        <v>182</v>
      </c>
      <c r="D139" t="s">
        <v>237</v>
      </c>
      <c r="E139" t="s">
        <v>26</v>
      </c>
      <c r="F139" s="2">
        <v>25.60539</v>
      </c>
      <c r="G139" s="2">
        <v>29.444210000000002</v>
      </c>
      <c r="H139" s="2">
        <v>23.336279999999999</v>
      </c>
      <c r="I139" s="2">
        <v>0</v>
      </c>
      <c r="J139" s="2">
        <v>47.126939999999998</v>
      </c>
      <c r="K139" s="2">
        <v>26.019880000000001</v>
      </c>
      <c r="L139" s="2">
        <v>8.1442399999999999</v>
      </c>
      <c r="M139" s="2">
        <v>0</v>
      </c>
      <c r="N139" s="2">
        <v>0</v>
      </c>
      <c r="O139" s="2">
        <v>-27.664750000000002</v>
      </c>
      <c r="P139" s="2">
        <v>27.771007999999998</v>
      </c>
      <c r="Q139" s="2">
        <v>0</v>
      </c>
      <c r="R139" s="2">
        <f t="shared" si="24"/>
        <v>78.38588</v>
      </c>
      <c r="S139" s="2">
        <f t="shared" si="25"/>
        <v>73.146819999999991</v>
      </c>
      <c r="T139" s="2">
        <f t="shared" si="26"/>
        <v>8.1442399999999999</v>
      </c>
      <c r="U139" s="2">
        <f t="shared" si="27"/>
        <v>0.10625799999999685</v>
      </c>
      <c r="V139" s="2">
        <f t="shared" si="32"/>
        <v>27.771007999999998</v>
      </c>
      <c r="W139" s="2">
        <f t="shared" si="33"/>
        <v>159.78319799999997</v>
      </c>
      <c r="X139" s="2">
        <v>11.910500000000001</v>
      </c>
      <c r="Y139" s="2">
        <v>13.24292</v>
      </c>
      <c r="Z139" s="2">
        <v>9.4369599999999991</v>
      </c>
      <c r="AA139" s="2">
        <v>-10.76174</v>
      </c>
      <c r="AB139" s="2">
        <v>35.99109</v>
      </c>
      <c r="AC139" s="2">
        <v>11.25487</v>
      </c>
      <c r="AD139" s="2">
        <v>-7.8637699999999997</v>
      </c>
      <c r="AE139" s="2">
        <v>-16.023479999999999</v>
      </c>
      <c r="AF139" s="2">
        <v>-39.466349999999998</v>
      </c>
      <c r="AG139" s="2">
        <v>-8.1123100000000008</v>
      </c>
      <c r="AH139" s="2">
        <v>7.7903989999999999</v>
      </c>
      <c r="AI139" s="2">
        <v>0</v>
      </c>
      <c r="AJ139" s="2">
        <f t="shared" si="28"/>
        <v>34.590379999999996</v>
      </c>
      <c r="AK139" s="2">
        <f t="shared" si="29"/>
        <v>36.484220000000001</v>
      </c>
      <c r="AL139" s="2">
        <f t="shared" si="30"/>
        <v>-63.3536</v>
      </c>
      <c r="AM139" s="2">
        <f t="shared" si="31"/>
        <v>-0.32191100000000095</v>
      </c>
      <c r="AN139" s="2">
        <f t="shared" si="34"/>
        <v>7.7903989999999999</v>
      </c>
      <c r="AO139" s="2">
        <f t="shared" si="35"/>
        <v>7.3990890000000027</v>
      </c>
    </row>
    <row r="140" spans="1:41" x14ac:dyDescent="0.35">
      <c r="A140" t="s">
        <v>32</v>
      </c>
      <c r="B140" s="4">
        <v>9940525535</v>
      </c>
      <c r="C140" t="s">
        <v>183</v>
      </c>
      <c r="D140" t="s">
        <v>232</v>
      </c>
      <c r="E140" t="s">
        <v>26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/>
      <c r="Q140" s="2"/>
      <c r="R140" s="2">
        <f t="shared" si="24"/>
        <v>0</v>
      </c>
      <c r="S140" s="2">
        <f t="shared" si="25"/>
        <v>0</v>
      </c>
      <c r="T140" s="2">
        <f t="shared" si="26"/>
        <v>0</v>
      </c>
      <c r="U140" s="2">
        <f t="shared" si="27"/>
        <v>0</v>
      </c>
      <c r="V140" s="2">
        <f t="shared" si="32"/>
        <v>0</v>
      </c>
      <c r="W140" s="2">
        <f t="shared" si="33"/>
        <v>0</v>
      </c>
      <c r="X140" s="2">
        <v>3.1932499999999999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/>
      <c r="AI140" s="2"/>
      <c r="AJ140" s="2">
        <f t="shared" si="28"/>
        <v>3.1932499999999999</v>
      </c>
      <c r="AK140" s="2">
        <f t="shared" si="29"/>
        <v>0</v>
      </c>
      <c r="AL140" s="2">
        <f t="shared" si="30"/>
        <v>0</v>
      </c>
      <c r="AM140" s="2">
        <f t="shared" si="31"/>
        <v>0</v>
      </c>
      <c r="AN140" s="2">
        <f t="shared" si="34"/>
        <v>0</v>
      </c>
      <c r="AO140" s="2">
        <f t="shared" si="35"/>
        <v>3.1932499999999999</v>
      </c>
    </row>
    <row r="141" spans="1:41" x14ac:dyDescent="0.35">
      <c r="A141" t="s">
        <v>32</v>
      </c>
      <c r="B141" s="4">
        <v>9940540296</v>
      </c>
      <c r="C141" t="s">
        <v>184</v>
      </c>
      <c r="D141" t="s">
        <v>259</v>
      </c>
      <c r="E141" t="s">
        <v>26</v>
      </c>
      <c r="F141" s="2">
        <v>12.04725</v>
      </c>
      <c r="G141" s="2">
        <v>0</v>
      </c>
      <c r="H141" s="2">
        <v>-4.6766699999999997</v>
      </c>
      <c r="I141" s="2">
        <v>151.28187</v>
      </c>
      <c r="J141" s="2">
        <v>89.378380000000007</v>
      </c>
      <c r="K141" s="2">
        <v>202.50738999999999</v>
      </c>
      <c r="L141" s="2">
        <v>235.5078</v>
      </c>
      <c r="M141" s="2">
        <v>171.20092</v>
      </c>
      <c r="N141" s="2">
        <v>144.71825999999999</v>
      </c>
      <c r="O141" s="2">
        <v>354.08719000000002</v>
      </c>
      <c r="P141" s="2">
        <v>12.5806866</v>
      </c>
      <c r="Q141" s="2">
        <v>0</v>
      </c>
      <c r="R141" s="2">
        <f t="shared" si="24"/>
        <v>7.3705800000000004</v>
      </c>
      <c r="S141" s="2">
        <f t="shared" si="25"/>
        <v>443.16764000000001</v>
      </c>
      <c r="T141" s="2">
        <f t="shared" si="26"/>
        <v>551.42697999999996</v>
      </c>
      <c r="U141" s="2">
        <f t="shared" si="27"/>
        <v>366.6678766</v>
      </c>
      <c r="V141" s="2">
        <f t="shared" si="32"/>
        <v>12.5806866</v>
      </c>
      <c r="W141" s="2">
        <f t="shared" si="33"/>
        <v>1368.6330766000001</v>
      </c>
      <c r="X141" s="2">
        <v>9.9332999999999991</v>
      </c>
      <c r="Y141" s="2">
        <v>0</v>
      </c>
      <c r="Z141" s="2">
        <v>-5.8869600000000002</v>
      </c>
      <c r="AA141" s="2">
        <v>68.820449999999994</v>
      </c>
      <c r="AB141" s="2">
        <v>21.170339999999999</v>
      </c>
      <c r="AC141" s="2">
        <v>113.90608</v>
      </c>
      <c r="AD141" s="2">
        <v>66.100579999999994</v>
      </c>
      <c r="AE141" s="2">
        <v>46.952979999999997</v>
      </c>
      <c r="AF141" s="2">
        <v>53.695520000000002</v>
      </c>
      <c r="AG141" s="2">
        <v>246.24485999999999</v>
      </c>
      <c r="AH141" s="2">
        <v>18.561958799999999</v>
      </c>
      <c r="AI141" s="2">
        <v>-2.6014401</v>
      </c>
      <c r="AJ141" s="2">
        <f t="shared" si="28"/>
        <v>4.0463399999999989</v>
      </c>
      <c r="AK141" s="2">
        <f t="shared" si="29"/>
        <v>203.89686999999998</v>
      </c>
      <c r="AL141" s="2">
        <f t="shared" si="30"/>
        <v>166.74907999999999</v>
      </c>
      <c r="AM141" s="2">
        <f t="shared" si="31"/>
        <v>262.20537869999998</v>
      </c>
      <c r="AN141" s="2">
        <f t="shared" si="34"/>
        <v>15.9605187</v>
      </c>
      <c r="AO141" s="2">
        <f t="shared" si="35"/>
        <v>636.89766869999994</v>
      </c>
    </row>
    <row r="142" spans="1:41" x14ac:dyDescent="0.35">
      <c r="A142" t="s">
        <v>32</v>
      </c>
      <c r="B142" s="4">
        <v>9940559900</v>
      </c>
      <c r="C142" t="s">
        <v>186</v>
      </c>
      <c r="D142" t="s">
        <v>232</v>
      </c>
      <c r="E142" t="s">
        <v>26</v>
      </c>
      <c r="F142" s="2"/>
      <c r="G142" s="2"/>
      <c r="H142" s="2"/>
      <c r="I142" s="2"/>
      <c r="J142" s="2">
        <v>8.2942599999999995</v>
      </c>
      <c r="K142" s="2">
        <v>32.905630000000002</v>
      </c>
      <c r="L142" s="2">
        <v>13.960050000000001</v>
      </c>
      <c r="M142" s="2">
        <v>0.78163000000000005</v>
      </c>
      <c r="N142" s="2">
        <v>0</v>
      </c>
      <c r="O142" s="2">
        <v>-1.0000000000000001E-5</v>
      </c>
      <c r="P142" s="2">
        <v>0</v>
      </c>
      <c r="Q142" s="2">
        <v>0</v>
      </c>
      <c r="R142" s="2">
        <f t="shared" si="24"/>
        <v>0</v>
      </c>
      <c r="S142" s="2">
        <f t="shared" si="25"/>
        <v>41.199890000000003</v>
      </c>
      <c r="T142" s="2">
        <f t="shared" si="26"/>
        <v>14.741680000000001</v>
      </c>
      <c r="U142" s="2">
        <f t="shared" si="27"/>
        <v>-1.0000000000000001E-5</v>
      </c>
      <c r="V142" s="2">
        <f t="shared" si="32"/>
        <v>0</v>
      </c>
      <c r="W142" s="2">
        <f t="shared" si="33"/>
        <v>55.941560000000003</v>
      </c>
      <c r="X142" s="2"/>
      <c r="Y142" s="2"/>
      <c r="Z142" s="2"/>
      <c r="AA142" s="2"/>
      <c r="AB142" s="2">
        <v>3.1568700000000001</v>
      </c>
      <c r="AC142" s="2">
        <v>12.383100000000001</v>
      </c>
      <c r="AD142" s="2">
        <v>-7.1753999999999998</v>
      </c>
      <c r="AE142" s="2">
        <v>-0.29952000000000001</v>
      </c>
      <c r="AF142" s="2">
        <v>-0.57552999999999999</v>
      </c>
      <c r="AG142" s="2">
        <v>-0.64854999999999996</v>
      </c>
      <c r="AH142" s="2">
        <v>0</v>
      </c>
      <c r="AI142" s="2">
        <v>0</v>
      </c>
      <c r="AJ142" s="2">
        <f t="shared" si="28"/>
        <v>0</v>
      </c>
      <c r="AK142" s="2">
        <f t="shared" si="29"/>
        <v>15.53997</v>
      </c>
      <c r="AL142" s="2">
        <f t="shared" si="30"/>
        <v>-8.0504499999999997</v>
      </c>
      <c r="AM142" s="2">
        <f t="shared" si="31"/>
        <v>-0.64854999999999996</v>
      </c>
      <c r="AN142" s="2">
        <f t="shared" si="34"/>
        <v>0</v>
      </c>
      <c r="AO142" s="2">
        <f t="shared" si="35"/>
        <v>6.8409700000000004</v>
      </c>
    </row>
    <row r="143" spans="1:41" x14ac:dyDescent="0.35">
      <c r="A143" t="s">
        <v>32</v>
      </c>
      <c r="B143" s="4">
        <v>9940549018</v>
      </c>
      <c r="C143" t="s">
        <v>200</v>
      </c>
      <c r="D143" t="s">
        <v>232</v>
      </c>
      <c r="E143" t="s">
        <v>26</v>
      </c>
      <c r="F143" s="2"/>
      <c r="G143" s="2">
        <v>129.87638000000001</v>
      </c>
      <c r="H143" s="2">
        <v>118.4927</v>
      </c>
      <c r="I143" s="2">
        <v>76.940070000000006</v>
      </c>
      <c r="J143" s="2">
        <v>78.304990000000004</v>
      </c>
      <c r="K143" s="2">
        <v>63.551290000000002</v>
      </c>
      <c r="L143" s="2">
        <v>38.759340000000002</v>
      </c>
      <c r="M143" s="2">
        <v>2.7877200000000002</v>
      </c>
      <c r="N143" s="2">
        <v>32.206319999999998</v>
      </c>
      <c r="O143" s="2">
        <v>27.430489999999999</v>
      </c>
      <c r="P143" s="2">
        <v>33.679349999999999</v>
      </c>
      <c r="Q143" s="2">
        <v>0</v>
      </c>
      <c r="R143" s="2">
        <f t="shared" si="24"/>
        <v>248.36908</v>
      </c>
      <c r="S143" s="2">
        <f t="shared" si="25"/>
        <v>218.79635000000002</v>
      </c>
      <c r="T143" s="2">
        <f t="shared" si="26"/>
        <v>73.753379999999993</v>
      </c>
      <c r="U143" s="2">
        <f t="shared" si="27"/>
        <v>61.109839999999998</v>
      </c>
      <c r="V143" s="2">
        <f t="shared" si="32"/>
        <v>33.679349999999999</v>
      </c>
      <c r="W143" s="2">
        <f t="shared" si="33"/>
        <v>602.02864999999997</v>
      </c>
      <c r="X143" s="2"/>
      <c r="Y143" s="2">
        <v>59.995330000000003</v>
      </c>
      <c r="Z143" s="2">
        <v>40.183</v>
      </c>
      <c r="AA143" s="2">
        <v>25.66836</v>
      </c>
      <c r="AB143" s="2">
        <v>26.98217</v>
      </c>
      <c r="AC143" s="2">
        <v>20.21443</v>
      </c>
      <c r="AD143" s="2">
        <v>13.682029999999999</v>
      </c>
      <c r="AE143" s="2">
        <v>-5.1521600000000003</v>
      </c>
      <c r="AF143" s="2">
        <v>10.56704</v>
      </c>
      <c r="AG143" s="2">
        <v>8.6807300000000005</v>
      </c>
      <c r="AH143" s="2">
        <v>11.957800000000001</v>
      </c>
      <c r="AI143" s="2">
        <v>0</v>
      </c>
      <c r="AJ143" s="2">
        <f t="shared" si="28"/>
        <v>100.17833</v>
      </c>
      <c r="AK143" s="2">
        <f t="shared" si="29"/>
        <v>72.864959999999996</v>
      </c>
      <c r="AL143" s="2">
        <f t="shared" si="30"/>
        <v>19.096910000000001</v>
      </c>
      <c r="AM143" s="2">
        <f t="shared" si="31"/>
        <v>20.638530000000003</v>
      </c>
      <c r="AN143" s="2">
        <f t="shared" si="34"/>
        <v>11.957800000000001</v>
      </c>
      <c r="AO143" s="2">
        <f t="shared" si="35"/>
        <v>212.77873000000002</v>
      </c>
    </row>
    <row r="144" spans="1:41" x14ac:dyDescent="0.35">
      <c r="A144" t="s">
        <v>281</v>
      </c>
      <c r="B144" s="4">
        <v>9940549018</v>
      </c>
      <c r="C144" t="s">
        <v>200</v>
      </c>
      <c r="D144" t="s">
        <v>232</v>
      </c>
      <c r="E144" t="s">
        <v>26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f t="shared" si="24"/>
        <v>0</v>
      </c>
      <c r="S144" s="2">
        <f t="shared" si="25"/>
        <v>0</v>
      </c>
      <c r="T144" s="2">
        <f t="shared" si="26"/>
        <v>0</v>
      </c>
      <c r="U144" s="2">
        <f t="shared" si="27"/>
        <v>0</v>
      </c>
      <c r="V144" s="2">
        <f t="shared" si="32"/>
        <v>0</v>
      </c>
      <c r="W144" s="2">
        <f t="shared" si="33"/>
        <v>0</v>
      </c>
      <c r="X144" s="2">
        <v>-2.2259699999999998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f t="shared" si="28"/>
        <v>-2.2259699999999998</v>
      </c>
      <c r="AK144" s="2">
        <f t="shared" si="29"/>
        <v>0</v>
      </c>
      <c r="AL144" s="2">
        <f t="shared" si="30"/>
        <v>0</v>
      </c>
      <c r="AM144" s="2">
        <f t="shared" si="31"/>
        <v>0</v>
      </c>
      <c r="AN144" s="2">
        <f t="shared" si="34"/>
        <v>0</v>
      </c>
      <c r="AO144" s="2">
        <f t="shared" si="35"/>
        <v>-2.2259699999999998</v>
      </c>
    </row>
    <row r="145" spans="1:41" x14ac:dyDescent="0.35">
      <c r="A145" t="s">
        <v>32</v>
      </c>
      <c r="B145" s="4">
        <v>9940352909</v>
      </c>
      <c r="C145" t="s">
        <v>188</v>
      </c>
      <c r="D145" t="s">
        <v>232</v>
      </c>
      <c r="E145" t="s">
        <v>26</v>
      </c>
      <c r="F145" s="2">
        <v>5.2683999999999997</v>
      </c>
      <c r="G145" s="2">
        <v>5.8501200000000004</v>
      </c>
      <c r="H145" s="2">
        <v>4.8266799999999996</v>
      </c>
      <c r="I145" s="2">
        <v>5.6015699999999997</v>
      </c>
      <c r="J145" s="2">
        <v>5.7898100000000001</v>
      </c>
      <c r="K145" s="2">
        <v>6.0335400000000003</v>
      </c>
      <c r="L145" s="2">
        <v>6.0399900000000004</v>
      </c>
      <c r="M145" s="2">
        <v>5.7970899999999999</v>
      </c>
      <c r="N145" s="2">
        <v>5.9757699999999998</v>
      </c>
      <c r="O145" s="2">
        <v>5.9907599999999999</v>
      </c>
      <c r="P145" s="2">
        <v>5.91995</v>
      </c>
      <c r="Q145" s="2">
        <v>3.9468399999999999</v>
      </c>
      <c r="R145" s="2">
        <f t="shared" si="24"/>
        <v>15.9452</v>
      </c>
      <c r="S145" s="2">
        <f t="shared" si="25"/>
        <v>17.42492</v>
      </c>
      <c r="T145" s="2">
        <f t="shared" si="26"/>
        <v>17.812850000000001</v>
      </c>
      <c r="U145" s="2">
        <f t="shared" si="27"/>
        <v>15.85755</v>
      </c>
      <c r="V145" s="2">
        <f t="shared" si="32"/>
        <v>9.8667899999999999</v>
      </c>
      <c r="W145" s="2">
        <f t="shared" si="33"/>
        <v>67.040520000000001</v>
      </c>
      <c r="X145" s="2">
        <v>-0.26665</v>
      </c>
      <c r="Y145" s="2">
        <v>0.52903999999999995</v>
      </c>
      <c r="Z145" s="2">
        <v>-1.5074399999999999</v>
      </c>
      <c r="AA145" s="2">
        <v>7.7909999999999993E-2</v>
      </c>
      <c r="AB145" s="2">
        <v>9.4990000000000005E-2</v>
      </c>
      <c r="AC145" s="2">
        <v>-0.45121</v>
      </c>
      <c r="AD145" s="2">
        <v>-0.44130000000000003</v>
      </c>
      <c r="AE145" s="2">
        <v>0.27338000000000001</v>
      </c>
      <c r="AF145" s="2">
        <v>0.26701000000000003</v>
      </c>
      <c r="AG145" s="2">
        <v>0.24315999999999999</v>
      </c>
      <c r="AH145" s="2">
        <v>0.55608000000000002</v>
      </c>
      <c r="AI145" s="2">
        <v>-1.387</v>
      </c>
      <c r="AJ145" s="2">
        <f t="shared" si="28"/>
        <v>-1.24505</v>
      </c>
      <c r="AK145" s="2">
        <f t="shared" si="29"/>
        <v>-0.27831</v>
      </c>
      <c r="AL145" s="2">
        <f t="shared" si="30"/>
        <v>9.9090000000000011E-2</v>
      </c>
      <c r="AM145" s="2">
        <f t="shared" si="31"/>
        <v>-0.58776000000000006</v>
      </c>
      <c r="AN145" s="2">
        <f t="shared" si="34"/>
        <v>-0.83091999999999999</v>
      </c>
      <c r="AO145" s="2">
        <f t="shared" si="35"/>
        <v>-2.0120300000000002</v>
      </c>
    </row>
    <row r="146" spans="1:41" x14ac:dyDescent="0.35">
      <c r="A146" t="s">
        <v>32</v>
      </c>
      <c r="B146" s="4">
        <v>9940372230</v>
      </c>
      <c r="C146" t="s">
        <v>189</v>
      </c>
      <c r="D146" t="s">
        <v>257</v>
      </c>
      <c r="E146" t="s">
        <v>26</v>
      </c>
      <c r="F146" s="2">
        <v>13.828150000000001</v>
      </c>
      <c r="G146" s="2">
        <v>14.024100000000001</v>
      </c>
      <c r="H146" s="2">
        <v>14.00353</v>
      </c>
      <c r="I146" s="2">
        <v>14.022729999999999</v>
      </c>
      <c r="J146" s="2">
        <v>14.385910000000001</v>
      </c>
      <c r="K146" s="2">
        <v>14.99151</v>
      </c>
      <c r="L146" s="2">
        <v>15.007529999999999</v>
      </c>
      <c r="M146" s="2">
        <v>14.40399</v>
      </c>
      <c r="N146" s="2">
        <v>14.84797</v>
      </c>
      <c r="O146" s="2">
        <v>14.885199999999999</v>
      </c>
      <c r="P146" s="2">
        <v>14.70927</v>
      </c>
      <c r="Q146" s="2">
        <v>14.70927</v>
      </c>
      <c r="R146" s="2">
        <f t="shared" si="24"/>
        <v>41.855780000000003</v>
      </c>
      <c r="S146" s="2">
        <f t="shared" si="25"/>
        <v>43.400149999999996</v>
      </c>
      <c r="T146" s="2">
        <f t="shared" si="26"/>
        <v>44.25949</v>
      </c>
      <c r="U146" s="2">
        <f t="shared" si="27"/>
        <v>44.303740000000005</v>
      </c>
      <c r="V146" s="2">
        <f t="shared" si="32"/>
        <v>29.41854</v>
      </c>
      <c r="W146" s="2">
        <f t="shared" si="33"/>
        <v>173.81916000000001</v>
      </c>
      <c r="X146" s="2">
        <v>7.9126000000000003</v>
      </c>
      <c r="Y146" s="2">
        <v>8.0689700000000002</v>
      </c>
      <c r="Z146" s="2">
        <v>8.2479700000000005</v>
      </c>
      <c r="AA146" s="2">
        <v>8.3995099999999994</v>
      </c>
      <c r="AB146" s="2">
        <v>8.8312899999999992</v>
      </c>
      <c r="AC146" s="2">
        <v>8.9799299999999995</v>
      </c>
      <c r="AD146" s="2">
        <v>8.8394499999999994</v>
      </c>
      <c r="AE146" s="2">
        <v>8.6279299999999992</v>
      </c>
      <c r="AF146" s="2">
        <v>8.8939299999999992</v>
      </c>
      <c r="AG146" s="2">
        <v>8.9162300000000005</v>
      </c>
      <c r="AH146" s="2">
        <v>8.81006</v>
      </c>
      <c r="AI146" s="2">
        <v>8.8104600000000008</v>
      </c>
      <c r="AJ146" s="2">
        <f t="shared" si="28"/>
        <v>24.22954</v>
      </c>
      <c r="AK146" s="2">
        <f t="shared" si="29"/>
        <v>26.210729999999998</v>
      </c>
      <c r="AL146" s="2">
        <f t="shared" si="30"/>
        <v>26.361309999999996</v>
      </c>
      <c r="AM146" s="2">
        <f t="shared" si="31"/>
        <v>26.536749999999998</v>
      </c>
      <c r="AN146" s="2">
        <f t="shared" si="34"/>
        <v>17.620519999999999</v>
      </c>
      <c r="AO146" s="2">
        <f t="shared" si="35"/>
        <v>103.33833</v>
      </c>
    </row>
    <row r="147" spans="1:41" x14ac:dyDescent="0.35">
      <c r="A147" t="s">
        <v>32</v>
      </c>
      <c r="B147" s="4">
        <v>9940402203</v>
      </c>
      <c r="C147" t="s">
        <v>190</v>
      </c>
      <c r="D147" t="s">
        <v>232</v>
      </c>
      <c r="E147" t="s">
        <v>26</v>
      </c>
      <c r="F147" s="2">
        <v>196.94458</v>
      </c>
      <c r="G147" s="2">
        <v>241.22362000000001</v>
      </c>
      <c r="H147" s="2">
        <v>204.74080000000001</v>
      </c>
      <c r="I147" s="2">
        <v>1.085E-2</v>
      </c>
      <c r="J147" s="2">
        <v>449.87040000000002</v>
      </c>
      <c r="K147" s="2">
        <v>401.55883</v>
      </c>
      <c r="L147" s="2">
        <v>4.4999999999999999E-4</v>
      </c>
      <c r="M147" s="2">
        <v>0</v>
      </c>
      <c r="N147" s="2">
        <v>3.0000000000000001E-5</v>
      </c>
      <c r="O147" s="2">
        <v>0</v>
      </c>
      <c r="P147" s="2">
        <v>0</v>
      </c>
      <c r="Q147" s="2">
        <v>0</v>
      </c>
      <c r="R147" s="2">
        <f t="shared" si="24"/>
        <v>642.90899999999999</v>
      </c>
      <c r="S147" s="2">
        <f t="shared" si="25"/>
        <v>851.44008000000008</v>
      </c>
      <c r="T147" s="2">
        <f t="shared" si="26"/>
        <v>4.8000000000000001E-4</v>
      </c>
      <c r="U147" s="2">
        <f t="shared" si="27"/>
        <v>0</v>
      </c>
      <c r="V147" s="2">
        <f t="shared" si="32"/>
        <v>0</v>
      </c>
      <c r="W147" s="2">
        <f t="shared" si="33"/>
        <v>1494.3495599999999</v>
      </c>
      <c r="X147" s="2">
        <v>64.811570000000003</v>
      </c>
      <c r="Y147" s="2">
        <v>70.972930000000005</v>
      </c>
      <c r="Z147" s="2">
        <v>68.689279999999997</v>
      </c>
      <c r="AA147" s="2">
        <v>-78.196299999999994</v>
      </c>
      <c r="AB147" s="2">
        <v>293.27422000000001</v>
      </c>
      <c r="AC147" s="2">
        <v>216.25564</v>
      </c>
      <c r="AD147" s="2">
        <v>-13.218170000000001</v>
      </c>
      <c r="AE147" s="2">
        <v>-7.4262100000000002</v>
      </c>
      <c r="AF147" s="2">
        <v>-8.6086500000000008</v>
      </c>
      <c r="AG147" s="2">
        <v>-0.88970000000000005</v>
      </c>
      <c r="AH147" s="2">
        <v>0</v>
      </c>
      <c r="AI147" s="2">
        <v>0</v>
      </c>
      <c r="AJ147" s="2">
        <f t="shared" si="28"/>
        <v>204.47378</v>
      </c>
      <c r="AK147" s="2">
        <f t="shared" si="29"/>
        <v>431.33356000000003</v>
      </c>
      <c r="AL147" s="2">
        <f t="shared" si="30"/>
        <v>-29.253030000000003</v>
      </c>
      <c r="AM147" s="2">
        <f t="shared" si="31"/>
        <v>-0.88970000000000005</v>
      </c>
      <c r="AN147" s="2">
        <f t="shared" si="34"/>
        <v>0</v>
      </c>
      <c r="AO147" s="2">
        <f t="shared" si="35"/>
        <v>605.66461000000015</v>
      </c>
    </row>
    <row r="148" spans="1:41" x14ac:dyDescent="0.35">
      <c r="A148" t="s">
        <v>32</v>
      </c>
      <c r="B148" s="4">
        <v>9940531681</v>
      </c>
      <c r="C148" t="s">
        <v>191</v>
      </c>
      <c r="D148" t="s">
        <v>276</v>
      </c>
      <c r="E148" t="s">
        <v>26</v>
      </c>
      <c r="F148" s="2">
        <v>70.65446</v>
      </c>
      <c r="G148" s="2">
        <v>146.16908000000001</v>
      </c>
      <c r="H148" s="2">
        <v>43.617269999999998</v>
      </c>
      <c r="I148" s="2">
        <v>4.4649200000000002</v>
      </c>
      <c r="J148" s="2">
        <v>96.67747</v>
      </c>
      <c r="K148" s="2">
        <v>4.0221600000000004</v>
      </c>
      <c r="L148" s="2">
        <v>-1.0000000000000001E-5</v>
      </c>
      <c r="M148" s="2">
        <v>84.010409999999993</v>
      </c>
      <c r="N148" s="2">
        <v>291.14094</v>
      </c>
      <c r="O148" s="2">
        <v>10.00665</v>
      </c>
      <c r="P148" s="2">
        <v>14.59422</v>
      </c>
      <c r="Q148" s="2">
        <v>6.2605700000000004</v>
      </c>
      <c r="R148" s="2">
        <f t="shared" si="24"/>
        <v>260.44081</v>
      </c>
      <c r="S148" s="2">
        <f t="shared" si="25"/>
        <v>105.16455000000001</v>
      </c>
      <c r="T148" s="2">
        <f t="shared" si="26"/>
        <v>375.15134</v>
      </c>
      <c r="U148" s="2">
        <f t="shared" si="27"/>
        <v>30.861440000000002</v>
      </c>
      <c r="V148" s="2">
        <f t="shared" si="32"/>
        <v>20.854790000000001</v>
      </c>
      <c r="W148" s="2">
        <f t="shared" si="33"/>
        <v>771.61814000000004</v>
      </c>
      <c r="X148" s="2">
        <v>-5.57836</v>
      </c>
      <c r="Y148" s="2">
        <v>72.216350000000006</v>
      </c>
      <c r="Z148" s="2">
        <v>10.92891</v>
      </c>
      <c r="AA148" s="2">
        <v>-12.7645</v>
      </c>
      <c r="AB148" s="2">
        <v>92.008619999999993</v>
      </c>
      <c r="AC148" s="2">
        <v>-39.967590000000001</v>
      </c>
      <c r="AD148" s="2">
        <v>-85.294060000000002</v>
      </c>
      <c r="AE148" s="2">
        <v>-11.357530000000001</v>
      </c>
      <c r="AF148" s="2">
        <v>206.56041999999999</v>
      </c>
      <c r="AG148" s="2">
        <v>-5.3156999999999996</v>
      </c>
      <c r="AH148" s="2">
        <v>1.86521</v>
      </c>
      <c r="AI148" s="2">
        <v>-5.6149999999999999E-2</v>
      </c>
      <c r="AJ148" s="2">
        <f t="shared" si="28"/>
        <v>77.566900000000004</v>
      </c>
      <c r="AK148" s="2">
        <f t="shared" si="29"/>
        <v>39.276529999999994</v>
      </c>
      <c r="AL148" s="2">
        <f t="shared" si="30"/>
        <v>109.90882999999999</v>
      </c>
      <c r="AM148" s="2">
        <f t="shared" si="31"/>
        <v>-3.5066399999999995</v>
      </c>
      <c r="AN148" s="2">
        <f t="shared" si="34"/>
        <v>1.8090600000000001</v>
      </c>
      <c r="AO148" s="2">
        <f t="shared" si="35"/>
        <v>223.24561999999997</v>
      </c>
    </row>
    <row r="149" spans="1:41" x14ac:dyDescent="0.35">
      <c r="A149" t="s">
        <v>32</v>
      </c>
      <c r="B149" s="4">
        <v>9940538337</v>
      </c>
      <c r="C149" t="s">
        <v>192</v>
      </c>
      <c r="D149" t="s">
        <v>237</v>
      </c>
      <c r="E149" t="s">
        <v>26</v>
      </c>
      <c r="F149" s="2">
        <v>110.77114</v>
      </c>
      <c r="G149" s="2">
        <v>22.01746</v>
      </c>
      <c r="H149" s="2">
        <v>0.25252000000000002</v>
      </c>
      <c r="I149" s="2">
        <v>0.21589</v>
      </c>
      <c r="J149" s="2">
        <v>0.21590999999999999</v>
      </c>
      <c r="K149" s="2">
        <v>0.21590999999999999</v>
      </c>
      <c r="L149" s="2">
        <v>1.0000000000000001E-5</v>
      </c>
      <c r="M149" s="2">
        <v>3.1225800000000001</v>
      </c>
      <c r="N149" s="2">
        <v>0</v>
      </c>
      <c r="O149" s="2">
        <v>0</v>
      </c>
      <c r="P149" s="2"/>
      <c r="Q149" s="2"/>
      <c r="R149" s="2">
        <f t="shared" si="24"/>
        <v>133.04112000000001</v>
      </c>
      <c r="S149" s="2">
        <f t="shared" si="25"/>
        <v>0.64771000000000001</v>
      </c>
      <c r="T149" s="2">
        <f t="shared" si="26"/>
        <v>3.1225900000000002</v>
      </c>
      <c r="U149" s="2">
        <f t="shared" si="27"/>
        <v>0</v>
      </c>
      <c r="V149" s="2">
        <f t="shared" si="32"/>
        <v>0</v>
      </c>
      <c r="W149" s="2">
        <f t="shared" si="33"/>
        <v>136.81142</v>
      </c>
      <c r="X149" s="2">
        <v>41.243189999999998</v>
      </c>
      <c r="Y149" s="2">
        <v>8.62087</v>
      </c>
      <c r="Z149" s="2">
        <v>-0.26696999999999999</v>
      </c>
      <c r="AA149" s="2">
        <v>0.16957</v>
      </c>
      <c r="AB149" s="2">
        <v>0.16833000000000001</v>
      </c>
      <c r="AC149" s="2">
        <v>0.16757</v>
      </c>
      <c r="AD149" s="2">
        <v>3.2539999999999999E-2</v>
      </c>
      <c r="AE149" s="2">
        <v>3.15381</v>
      </c>
      <c r="AF149" s="2">
        <v>0</v>
      </c>
      <c r="AG149" s="2">
        <v>0</v>
      </c>
      <c r="AH149" s="2"/>
      <c r="AI149" s="2"/>
      <c r="AJ149" s="2">
        <f t="shared" si="28"/>
        <v>49.597089999999994</v>
      </c>
      <c r="AK149" s="2">
        <f t="shared" si="29"/>
        <v>0.50546999999999997</v>
      </c>
      <c r="AL149" s="2">
        <f t="shared" si="30"/>
        <v>3.18635</v>
      </c>
      <c r="AM149" s="2">
        <f t="shared" si="31"/>
        <v>0</v>
      </c>
      <c r="AN149" s="2">
        <f t="shared" si="34"/>
        <v>0</v>
      </c>
      <c r="AO149" s="2">
        <f t="shared" si="35"/>
        <v>53.288909999999994</v>
      </c>
    </row>
    <row r="150" spans="1:41" x14ac:dyDescent="0.35">
      <c r="A150" t="s">
        <v>32</v>
      </c>
      <c r="B150" s="4">
        <v>9940572803</v>
      </c>
      <c r="C150" t="s">
        <v>193</v>
      </c>
      <c r="D150" t="s">
        <v>273</v>
      </c>
      <c r="E150" t="s">
        <v>26</v>
      </c>
      <c r="F150" s="2"/>
      <c r="G150" s="2"/>
      <c r="H150" s="2"/>
      <c r="I150" s="2"/>
      <c r="J150" s="2"/>
      <c r="K150" s="2"/>
      <c r="L150" s="2"/>
      <c r="M150" s="2">
        <v>10.123239999999999</v>
      </c>
      <c r="N150" s="2">
        <v>77.437569999999994</v>
      </c>
      <c r="O150" s="2">
        <v>19.23113</v>
      </c>
      <c r="P150" s="2">
        <v>30.416640000000001</v>
      </c>
      <c r="Q150" s="2">
        <v>0</v>
      </c>
      <c r="R150" s="2">
        <f t="shared" si="24"/>
        <v>0</v>
      </c>
      <c r="S150" s="2">
        <f t="shared" si="25"/>
        <v>0</v>
      </c>
      <c r="T150" s="2">
        <f t="shared" si="26"/>
        <v>87.560809999999989</v>
      </c>
      <c r="U150" s="2">
        <f t="shared" si="27"/>
        <v>49.647770000000001</v>
      </c>
      <c r="V150" s="2">
        <f t="shared" si="32"/>
        <v>30.416640000000001</v>
      </c>
      <c r="W150" s="2">
        <f t="shared" si="33"/>
        <v>137.20857999999998</v>
      </c>
      <c r="X150" s="2"/>
      <c r="Y150" s="2"/>
      <c r="Z150" s="2"/>
      <c r="AA150" s="2"/>
      <c r="AB150" s="2"/>
      <c r="AC150" s="2"/>
      <c r="AD150" s="2"/>
      <c r="AE150" s="2">
        <v>4.3568199999999999</v>
      </c>
      <c r="AF150" s="2">
        <v>34.206110000000002</v>
      </c>
      <c r="AG150" s="2">
        <v>7.9812500000000002</v>
      </c>
      <c r="AH150" s="2">
        <v>12.93629</v>
      </c>
      <c r="AI150" s="2">
        <v>0</v>
      </c>
      <c r="AJ150" s="2">
        <f t="shared" si="28"/>
        <v>0</v>
      </c>
      <c r="AK150" s="2">
        <f t="shared" si="29"/>
        <v>0</v>
      </c>
      <c r="AL150" s="2">
        <f t="shared" si="30"/>
        <v>38.562930000000001</v>
      </c>
      <c r="AM150" s="2">
        <f t="shared" si="31"/>
        <v>20.917539999999999</v>
      </c>
      <c r="AN150" s="2">
        <f t="shared" si="34"/>
        <v>12.93629</v>
      </c>
      <c r="AO150" s="2">
        <f t="shared" si="35"/>
        <v>59.480469999999997</v>
      </c>
    </row>
    <row r="151" spans="1:41" x14ac:dyDescent="0.35">
      <c r="A151" t="s">
        <v>32</v>
      </c>
      <c r="B151" s="4">
        <v>9940550817</v>
      </c>
      <c r="C151" t="s">
        <v>201</v>
      </c>
      <c r="D151" t="s">
        <v>232</v>
      </c>
      <c r="E151" t="s">
        <v>26</v>
      </c>
      <c r="F151" s="2"/>
      <c r="G151" s="2">
        <v>0</v>
      </c>
      <c r="H151" s="2">
        <v>0</v>
      </c>
      <c r="I151" s="2">
        <v>21.906890000000001</v>
      </c>
      <c r="J151" s="2">
        <v>5.17408</v>
      </c>
      <c r="K151" s="2">
        <v>46.7014</v>
      </c>
      <c r="L151" s="2">
        <v>-3.7908499999999998</v>
      </c>
      <c r="M151" s="2">
        <v>3.6475900000000001</v>
      </c>
      <c r="N151" s="2">
        <v>0</v>
      </c>
      <c r="O151" s="2">
        <v>0</v>
      </c>
      <c r="P151" s="2"/>
      <c r="Q151" s="2"/>
      <c r="R151" s="2">
        <f t="shared" si="24"/>
        <v>0</v>
      </c>
      <c r="S151" s="2">
        <f t="shared" si="25"/>
        <v>73.78237</v>
      </c>
      <c r="T151" s="2">
        <f t="shared" si="26"/>
        <v>-0.14325999999999972</v>
      </c>
      <c r="U151" s="2">
        <f t="shared" si="27"/>
        <v>0</v>
      </c>
      <c r="V151" s="2">
        <f t="shared" si="32"/>
        <v>0</v>
      </c>
      <c r="W151" s="2">
        <f t="shared" si="33"/>
        <v>73.639110000000002</v>
      </c>
      <c r="X151" s="2"/>
      <c r="Y151" s="2">
        <v>0</v>
      </c>
      <c r="Z151" s="2">
        <v>0</v>
      </c>
      <c r="AA151" s="2">
        <v>7.4529100000000001</v>
      </c>
      <c r="AB151" s="2">
        <v>1.7438400000000001</v>
      </c>
      <c r="AC151" s="2">
        <v>12.43286</v>
      </c>
      <c r="AD151" s="2">
        <v>-1.62493</v>
      </c>
      <c r="AE151" s="2">
        <v>6.7285899999999996</v>
      </c>
      <c r="AF151" s="2">
        <v>0</v>
      </c>
      <c r="AG151" s="2">
        <v>0</v>
      </c>
      <c r="AH151" s="2"/>
      <c r="AI151" s="2"/>
      <c r="AJ151" s="2">
        <f t="shared" si="28"/>
        <v>0</v>
      </c>
      <c r="AK151" s="2">
        <f t="shared" si="29"/>
        <v>21.62961</v>
      </c>
      <c r="AL151" s="2">
        <f t="shared" si="30"/>
        <v>5.1036599999999996</v>
      </c>
      <c r="AM151" s="2">
        <f t="shared" si="31"/>
        <v>0</v>
      </c>
      <c r="AN151" s="2">
        <f t="shared" si="34"/>
        <v>0</v>
      </c>
      <c r="AO151" s="2">
        <f t="shared" si="35"/>
        <v>26.733269999999997</v>
      </c>
    </row>
    <row r="152" spans="1:41" x14ac:dyDescent="0.35">
      <c r="A152" t="s">
        <v>32</v>
      </c>
      <c r="B152" s="4">
        <v>9940359438</v>
      </c>
      <c r="C152" t="s">
        <v>194</v>
      </c>
      <c r="D152" t="s">
        <v>227</v>
      </c>
      <c r="E152" t="s">
        <v>26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/>
      <c r="Q152" s="2"/>
      <c r="R152" s="2">
        <f t="shared" si="24"/>
        <v>0</v>
      </c>
      <c r="S152" s="2">
        <f t="shared" si="25"/>
        <v>0</v>
      </c>
      <c r="T152" s="2">
        <f t="shared" si="26"/>
        <v>0</v>
      </c>
      <c r="U152" s="2">
        <f t="shared" si="27"/>
        <v>0</v>
      </c>
      <c r="V152" s="2">
        <f t="shared" si="32"/>
        <v>0</v>
      </c>
      <c r="W152" s="2">
        <f t="shared" si="33"/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/>
      <c r="AI152" s="2"/>
      <c r="AJ152" s="2">
        <f t="shared" si="28"/>
        <v>0</v>
      </c>
      <c r="AK152" s="2">
        <f t="shared" si="29"/>
        <v>0</v>
      </c>
      <c r="AL152" s="2">
        <f t="shared" si="30"/>
        <v>0</v>
      </c>
      <c r="AM152" s="2">
        <f t="shared" si="31"/>
        <v>0</v>
      </c>
      <c r="AN152" s="2">
        <f t="shared" si="34"/>
        <v>0</v>
      </c>
      <c r="AO152" s="2">
        <f t="shared" si="35"/>
        <v>0</v>
      </c>
    </row>
    <row r="153" spans="1:41" x14ac:dyDescent="0.35">
      <c r="A153" t="s">
        <v>32</v>
      </c>
      <c r="B153" s="4">
        <v>9940449491</v>
      </c>
      <c r="C153" t="s">
        <v>195</v>
      </c>
      <c r="D153" t="s">
        <v>230</v>
      </c>
      <c r="E153" t="s">
        <v>26</v>
      </c>
      <c r="F153" s="2">
        <v>78.855729999999994</v>
      </c>
      <c r="G153" s="2">
        <v>87.017129999999995</v>
      </c>
      <c r="H153" s="2">
        <v>18.327739999999999</v>
      </c>
      <c r="I153" s="2">
        <v>13.26953</v>
      </c>
      <c r="J153" s="2">
        <v>9.4888100000000009</v>
      </c>
      <c r="K153" s="2">
        <v>26.817309999999999</v>
      </c>
      <c r="L153" s="2">
        <v>11.14167</v>
      </c>
      <c r="M153" s="2">
        <v>9.8742900000000002</v>
      </c>
      <c r="N153" s="2">
        <v>15.665430000000001</v>
      </c>
      <c r="O153" s="2">
        <v>19.39667</v>
      </c>
      <c r="P153" s="2">
        <v>20.232050000000001</v>
      </c>
      <c r="Q153" s="2">
        <v>15.911619999999999</v>
      </c>
      <c r="R153" s="2">
        <f t="shared" si="24"/>
        <v>184.20060000000001</v>
      </c>
      <c r="S153" s="2">
        <f t="shared" si="25"/>
        <v>49.575649999999996</v>
      </c>
      <c r="T153" s="2">
        <f t="shared" si="26"/>
        <v>36.68139</v>
      </c>
      <c r="U153" s="2">
        <f t="shared" si="27"/>
        <v>55.54034</v>
      </c>
      <c r="V153" s="2">
        <f t="shared" si="32"/>
        <v>36.14367</v>
      </c>
      <c r="W153" s="2">
        <f t="shared" si="33"/>
        <v>325.99798000000004</v>
      </c>
      <c r="X153" s="2">
        <v>40.854819999999997</v>
      </c>
      <c r="Y153" s="2">
        <v>40.6922</v>
      </c>
      <c r="Z153" s="2">
        <v>5.6563100000000004</v>
      </c>
      <c r="AA153" s="2">
        <v>5.3726500000000001</v>
      </c>
      <c r="AB153" s="2">
        <v>4.0638500000000004</v>
      </c>
      <c r="AC153" s="2">
        <v>16.749179999999999</v>
      </c>
      <c r="AD153" s="2">
        <v>4.15327</v>
      </c>
      <c r="AE153" s="2">
        <v>4.2760800000000003</v>
      </c>
      <c r="AF153" s="2">
        <v>6.0927600000000002</v>
      </c>
      <c r="AG153" s="2">
        <v>6.9573299999999998</v>
      </c>
      <c r="AH153" s="2">
        <v>9.0494400000000006</v>
      </c>
      <c r="AI153" s="2">
        <v>6.1350199999999999</v>
      </c>
      <c r="AJ153" s="2">
        <f t="shared" si="28"/>
        <v>87.203330000000008</v>
      </c>
      <c r="AK153" s="2">
        <f t="shared" si="29"/>
        <v>26.185679999999998</v>
      </c>
      <c r="AL153" s="2">
        <f t="shared" si="30"/>
        <v>14.52211</v>
      </c>
      <c r="AM153" s="2">
        <f t="shared" si="31"/>
        <v>22.14179</v>
      </c>
      <c r="AN153" s="2">
        <f t="shared" si="34"/>
        <v>15.184460000000001</v>
      </c>
      <c r="AO153" s="2">
        <f t="shared" si="35"/>
        <v>150.05291</v>
      </c>
    </row>
    <row r="154" spans="1:41" x14ac:dyDescent="0.35">
      <c r="A154" t="s">
        <v>32</v>
      </c>
      <c r="B154" s="4">
        <v>9940492427</v>
      </c>
      <c r="C154" t="s">
        <v>196</v>
      </c>
      <c r="D154" t="s">
        <v>275</v>
      </c>
      <c r="E154" t="s">
        <v>26</v>
      </c>
      <c r="F154" s="2">
        <v>8.8130000000000006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f t="shared" si="24"/>
        <v>8.8130000000000006</v>
      </c>
      <c r="S154" s="2">
        <f t="shared" si="25"/>
        <v>0</v>
      </c>
      <c r="T154" s="2">
        <f t="shared" si="26"/>
        <v>0</v>
      </c>
      <c r="U154" s="2">
        <f t="shared" si="27"/>
        <v>0</v>
      </c>
      <c r="V154" s="2">
        <f t="shared" si="32"/>
        <v>0</v>
      </c>
      <c r="W154" s="2">
        <f t="shared" si="33"/>
        <v>8.8130000000000006</v>
      </c>
      <c r="X154" s="2">
        <v>-0.85301000000000005</v>
      </c>
      <c r="Y154" s="2">
        <v>-11.04584</v>
      </c>
      <c r="Z154" s="2">
        <v>-12.360250000000001</v>
      </c>
      <c r="AA154" s="2">
        <v>-95.374459999999999</v>
      </c>
      <c r="AB154" s="2">
        <v>74.560450000000003</v>
      </c>
      <c r="AC154" s="2">
        <v>-8.7409300000000005</v>
      </c>
      <c r="AD154" s="2">
        <v>-15.932499999999999</v>
      </c>
      <c r="AE154" s="2">
        <v>-24.662109999999998</v>
      </c>
      <c r="AF154" s="2">
        <v>-22.61382</v>
      </c>
      <c r="AG154" s="2">
        <v>-19.12641</v>
      </c>
      <c r="AH154" s="2">
        <v>157.38235</v>
      </c>
      <c r="AI154" s="2">
        <v>0</v>
      </c>
      <c r="AJ154" s="2">
        <f t="shared" si="28"/>
        <v>-24.2591</v>
      </c>
      <c r="AK154" s="2">
        <f t="shared" si="29"/>
        <v>-29.554939999999995</v>
      </c>
      <c r="AL154" s="2">
        <f t="shared" si="30"/>
        <v>-63.208429999999993</v>
      </c>
      <c r="AM154" s="2">
        <f t="shared" si="31"/>
        <v>138.25594000000001</v>
      </c>
      <c r="AN154" s="2">
        <f t="shared" si="34"/>
        <v>157.38235</v>
      </c>
      <c r="AO154" s="2">
        <f t="shared" si="35"/>
        <v>21.233470000000025</v>
      </c>
    </row>
    <row r="155" spans="1:41" x14ac:dyDescent="0.35">
      <c r="A155" t="s">
        <v>32</v>
      </c>
      <c r="B155" s="4">
        <v>9940550835</v>
      </c>
      <c r="C155" t="s">
        <v>185</v>
      </c>
      <c r="D155" t="s">
        <v>232</v>
      </c>
      <c r="E155" t="s">
        <v>26</v>
      </c>
      <c r="F155" s="2"/>
      <c r="G155" s="2">
        <v>0</v>
      </c>
      <c r="H155" s="2">
        <v>16.01322</v>
      </c>
      <c r="I155" s="2">
        <v>9.3709500000000006</v>
      </c>
      <c r="J155" s="2">
        <v>0</v>
      </c>
      <c r="K155" s="2">
        <v>-1.2829999999999999E-2</v>
      </c>
      <c r="L155" s="2">
        <v>0</v>
      </c>
      <c r="M155" s="2">
        <v>0</v>
      </c>
      <c r="N155" s="2">
        <v>0</v>
      </c>
      <c r="O155" s="2">
        <v>0</v>
      </c>
      <c r="P155" s="2"/>
      <c r="Q155" s="2"/>
      <c r="R155" s="2">
        <f t="shared" si="24"/>
        <v>16.01322</v>
      </c>
      <c r="S155" s="2">
        <f t="shared" si="25"/>
        <v>9.3581200000000013</v>
      </c>
      <c r="T155" s="2">
        <f t="shared" si="26"/>
        <v>0</v>
      </c>
      <c r="U155" s="2">
        <f t="shared" si="27"/>
        <v>0</v>
      </c>
      <c r="V155" s="2">
        <f t="shared" si="32"/>
        <v>0</v>
      </c>
      <c r="W155" s="2">
        <f t="shared" si="33"/>
        <v>25.371340000000004</v>
      </c>
      <c r="X155" s="2"/>
      <c r="Y155" s="2">
        <v>0</v>
      </c>
      <c r="Z155" s="2">
        <v>-2.5779000000000001</v>
      </c>
      <c r="AA155" s="2">
        <v>-0.248</v>
      </c>
      <c r="AB155" s="2">
        <v>-12.081530000000001</v>
      </c>
      <c r="AC155" s="2">
        <v>10.54898</v>
      </c>
      <c r="AD155" s="2">
        <v>0</v>
      </c>
      <c r="AE155" s="2">
        <v>0</v>
      </c>
      <c r="AF155" s="2">
        <v>0</v>
      </c>
      <c r="AG155" s="2">
        <v>0</v>
      </c>
      <c r="AH155" s="2"/>
      <c r="AI155" s="2"/>
      <c r="AJ155" s="2">
        <f t="shared" si="28"/>
        <v>-2.5779000000000001</v>
      </c>
      <c r="AK155" s="2">
        <f t="shared" si="29"/>
        <v>-1.7805499999999999</v>
      </c>
      <c r="AL155" s="2">
        <f t="shared" si="30"/>
        <v>0</v>
      </c>
      <c r="AM155" s="2">
        <f t="shared" si="31"/>
        <v>0</v>
      </c>
      <c r="AN155" s="2">
        <f t="shared" si="34"/>
        <v>0</v>
      </c>
      <c r="AO155" s="2">
        <f t="shared" si="35"/>
        <v>-4.3584499999999995</v>
      </c>
    </row>
    <row r="156" spans="1:41" x14ac:dyDescent="0.35">
      <c r="A156" t="s">
        <v>32</v>
      </c>
      <c r="B156" s="4">
        <v>9940513403</v>
      </c>
      <c r="C156" t="s">
        <v>197</v>
      </c>
      <c r="D156" t="s">
        <v>227</v>
      </c>
      <c r="E156" t="s">
        <v>26</v>
      </c>
      <c r="F156" s="2">
        <v>0</v>
      </c>
      <c r="G156" s="2">
        <v>0</v>
      </c>
      <c r="H156" s="2">
        <v>0</v>
      </c>
      <c r="I156" s="2">
        <v>-20.374880000000001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f t="shared" si="24"/>
        <v>0</v>
      </c>
      <c r="S156" s="2">
        <f t="shared" si="25"/>
        <v>-20.374880000000001</v>
      </c>
      <c r="T156" s="2">
        <f t="shared" si="26"/>
        <v>0</v>
      </c>
      <c r="U156" s="2">
        <f t="shared" si="27"/>
        <v>0</v>
      </c>
      <c r="V156" s="2">
        <f t="shared" si="32"/>
        <v>0</v>
      </c>
      <c r="W156" s="2">
        <f t="shared" si="33"/>
        <v>-20.374880000000001</v>
      </c>
      <c r="X156" s="2">
        <v>0</v>
      </c>
      <c r="Y156" s="2">
        <v>0</v>
      </c>
      <c r="Z156" s="2">
        <v>0</v>
      </c>
      <c r="AA156" s="2">
        <v>-22.00395</v>
      </c>
      <c r="AB156" s="2">
        <v>0.24246999999999999</v>
      </c>
      <c r="AC156" s="2">
        <v>0.25268000000000002</v>
      </c>
      <c r="AD156" s="2">
        <v>0.25295000000000001</v>
      </c>
      <c r="AE156" s="2">
        <v>0.24277000000000001</v>
      </c>
      <c r="AF156" s="2">
        <v>0.25025999999999998</v>
      </c>
      <c r="AG156" s="2">
        <v>0.25089</v>
      </c>
      <c r="AH156" s="2">
        <v>0</v>
      </c>
      <c r="AI156" s="2">
        <v>0</v>
      </c>
      <c r="AJ156" s="2">
        <f t="shared" si="28"/>
        <v>0</v>
      </c>
      <c r="AK156" s="2">
        <f t="shared" si="29"/>
        <v>-21.508799999999997</v>
      </c>
      <c r="AL156" s="2">
        <f t="shared" si="30"/>
        <v>0.74598000000000009</v>
      </c>
      <c r="AM156" s="2">
        <f t="shared" si="31"/>
        <v>0.25089</v>
      </c>
      <c r="AN156" s="2">
        <f t="shared" si="34"/>
        <v>0</v>
      </c>
      <c r="AO156" s="2">
        <f t="shared" si="35"/>
        <v>-20.51193</v>
      </c>
    </row>
    <row r="157" spans="1:41" x14ac:dyDescent="0.35">
      <c r="A157" t="s">
        <v>32</v>
      </c>
      <c r="B157" s="4">
        <v>9940528636</v>
      </c>
      <c r="C157" t="s">
        <v>198</v>
      </c>
      <c r="D157" t="s">
        <v>270</v>
      </c>
      <c r="E157" t="s">
        <v>26</v>
      </c>
      <c r="F157" s="2">
        <v>12.419639999999999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f t="shared" si="24"/>
        <v>12.419639999999999</v>
      </c>
      <c r="S157" s="2">
        <f t="shared" si="25"/>
        <v>0</v>
      </c>
      <c r="T157" s="2">
        <f t="shared" si="26"/>
        <v>0</v>
      </c>
      <c r="U157" s="2">
        <f t="shared" si="27"/>
        <v>0</v>
      </c>
      <c r="V157" s="2">
        <f t="shared" si="32"/>
        <v>0</v>
      </c>
      <c r="W157" s="2">
        <f t="shared" si="33"/>
        <v>12.419639999999999</v>
      </c>
      <c r="X157" s="2">
        <v>8.4733199999999993</v>
      </c>
      <c r="Y157" s="2">
        <v>-3.0760399999999999</v>
      </c>
      <c r="Z157" s="2">
        <v>-4.3631700000000002</v>
      </c>
      <c r="AA157" s="2">
        <v>-0.65854999999999997</v>
      </c>
      <c r="AB157" s="2">
        <v>21.838640000000002</v>
      </c>
      <c r="AC157" s="2">
        <v>-1.3368899999999999</v>
      </c>
      <c r="AD157" s="2">
        <v>1.8704099999999999</v>
      </c>
      <c r="AE157" s="2">
        <v>-3.85398</v>
      </c>
      <c r="AF157" s="2">
        <v>-2.0216799999999999</v>
      </c>
      <c r="AG157" s="2">
        <v>-1.3386499999999999</v>
      </c>
      <c r="AH157" s="2">
        <v>-7.1311499999999999</v>
      </c>
      <c r="AI157" s="2">
        <v>0</v>
      </c>
      <c r="AJ157" s="2">
        <f t="shared" si="28"/>
        <v>1.0341099999999992</v>
      </c>
      <c r="AK157" s="2">
        <f t="shared" si="29"/>
        <v>19.8432</v>
      </c>
      <c r="AL157" s="2">
        <f t="shared" si="30"/>
        <v>-4.0052500000000002</v>
      </c>
      <c r="AM157" s="2">
        <f t="shared" si="31"/>
        <v>-8.4697999999999993</v>
      </c>
      <c r="AN157" s="2">
        <f t="shared" si="34"/>
        <v>-7.1311499999999999</v>
      </c>
      <c r="AO157" s="2">
        <f t="shared" si="35"/>
        <v>8.4022599999999983</v>
      </c>
    </row>
    <row r="158" spans="1:41" x14ac:dyDescent="0.35">
      <c r="A158" t="s">
        <v>32</v>
      </c>
      <c r="B158" s="4">
        <v>9940537605</v>
      </c>
      <c r="C158" t="s">
        <v>199</v>
      </c>
      <c r="D158" t="s">
        <v>277</v>
      </c>
      <c r="E158" t="s">
        <v>26</v>
      </c>
      <c r="F158" s="2">
        <v>24.010359999999999</v>
      </c>
      <c r="G158" s="2">
        <v>25.383320000000001</v>
      </c>
      <c r="H158" s="2">
        <v>40.029119999999999</v>
      </c>
      <c r="I158" s="2">
        <v>34.245989999999999</v>
      </c>
      <c r="J158" s="2">
        <v>29.00778</v>
      </c>
      <c r="K158" s="2">
        <v>29.376619999999999</v>
      </c>
      <c r="L158" s="2">
        <v>135.4907</v>
      </c>
      <c r="M158" s="2">
        <v>0.46766999999999997</v>
      </c>
      <c r="N158" s="2">
        <v>0</v>
      </c>
      <c r="O158" s="2">
        <v>19.241</v>
      </c>
      <c r="P158" s="2">
        <v>0</v>
      </c>
      <c r="Q158" s="2">
        <v>0</v>
      </c>
      <c r="R158" s="2">
        <f t="shared" si="24"/>
        <v>89.422799999999995</v>
      </c>
      <c r="S158" s="2">
        <f t="shared" si="25"/>
        <v>92.630390000000006</v>
      </c>
      <c r="T158" s="2">
        <f t="shared" si="26"/>
        <v>135.95837</v>
      </c>
      <c r="U158" s="2">
        <f t="shared" si="27"/>
        <v>19.241</v>
      </c>
      <c r="V158" s="2">
        <f t="shared" si="32"/>
        <v>0</v>
      </c>
      <c r="W158" s="2">
        <f t="shared" si="33"/>
        <v>337.25256000000002</v>
      </c>
      <c r="X158" s="2">
        <v>1.2748999999999999</v>
      </c>
      <c r="Y158" s="2">
        <v>3.5369799999999998</v>
      </c>
      <c r="Z158" s="2">
        <v>-8.4376200000000008</v>
      </c>
      <c r="AA158" s="2">
        <v>3.9556499999999999</v>
      </c>
      <c r="AB158" s="2">
        <v>3.8866100000000001</v>
      </c>
      <c r="AC158" s="2">
        <v>3.8855400000000002</v>
      </c>
      <c r="AD158" s="2">
        <v>104.08722</v>
      </c>
      <c r="AE158" s="2">
        <v>-34.515070000000001</v>
      </c>
      <c r="AF158" s="2">
        <v>-13.816700000000001</v>
      </c>
      <c r="AG158" s="2">
        <v>8.3602000000000007</v>
      </c>
      <c r="AH158" s="2">
        <v>36.34957</v>
      </c>
      <c r="AI158" s="2">
        <v>5.5320000000000001E-2</v>
      </c>
      <c r="AJ158" s="2">
        <f t="shared" si="28"/>
        <v>-3.6257400000000013</v>
      </c>
      <c r="AK158" s="2">
        <f t="shared" si="29"/>
        <v>11.7278</v>
      </c>
      <c r="AL158" s="2">
        <f t="shared" si="30"/>
        <v>55.755449999999996</v>
      </c>
      <c r="AM158" s="2">
        <f t="shared" si="31"/>
        <v>44.765090000000001</v>
      </c>
      <c r="AN158" s="2">
        <f t="shared" si="34"/>
        <v>36.404890000000002</v>
      </c>
      <c r="AO158" s="2">
        <f t="shared" si="35"/>
        <v>108.62259999999999</v>
      </c>
    </row>
    <row r="159" spans="1:41" x14ac:dyDescent="0.35">
      <c r="A159" t="s">
        <v>32</v>
      </c>
      <c r="B159" s="4">
        <v>9940551082</v>
      </c>
      <c r="C159" t="s">
        <v>138</v>
      </c>
      <c r="D159" t="s">
        <v>232</v>
      </c>
      <c r="E159" t="s">
        <v>26</v>
      </c>
      <c r="F159" s="2"/>
      <c r="G159" s="2">
        <v>25.004110000000001</v>
      </c>
      <c r="H159" s="2">
        <v>26.683689999999999</v>
      </c>
      <c r="I159" s="2">
        <v>24.748860000000001</v>
      </c>
      <c r="J159" s="2">
        <v>-0.13292999999999999</v>
      </c>
      <c r="K159" s="2">
        <v>0</v>
      </c>
      <c r="L159" s="2">
        <v>-2.3999999999999998E-3</v>
      </c>
      <c r="M159" s="2">
        <v>-6.7970000000000003E-2</v>
      </c>
      <c r="N159" s="2">
        <v>0</v>
      </c>
      <c r="O159" s="2">
        <v>0</v>
      </c>
      <c r="P159" s="2"/>
      <c r="Q159" s="2"/>
      <c r="R159" s="2">
        <f t="shared" si="24"/>
        <v>51.687799999999996</v>
      </c>
      <c r="S159" s="2">
        <f t="shared" si="25"/>
        <v>24.615929999999999</v>
      </c>
      <c r="T159" s="2">
        <f t="shared" si="26"/>
        <v>-7.0370000000000002E-2</v>
      </c>
      <c r="U159" s="2">
        <f t="shared" si="27"/>
        <v>0</v>
      </c>
      <c r="V159" s="2">
        <f t="shared" si="32"/>
        <v>0</v>
      </c>
      <c r="W159" s="2">
        <f t="shared" si="33"/>
        <v>76.233360000000005</v>
      </c>
      <c r="X159" s="2"/>
      <c r="Y159" s="2">
        <v>8.6086799999999997</v>
      </c>
      <c r="Z159" s="2">
        <v>8.5827899999999993</v>
      </c>
      <c r="AA159" s="2">
        <v>6.0229600000000003</v>
      </c>
      <c r="AB159" s="2">
        <v>-0.65561000000000003</v>
      </c>
      <c r="AC159" s="2">
        <v>-0.41547000000000001</v>
      </c>
      <c r="AD159" s="2">
        <v>-2.3999999999999998E-3</v>
      </c>
      <c r="AE159" s="2">
        <v>-6.7970000000000003E-2</v>
      </c>
      <c r="AF159" s="2">
        <v>0</v>
      </c>
      <c r="AG159" s="2">
        <v>0</v>
      </c>
      <c r="AH159" s="2"/>
      <c r="AI159" s="2"/>
      <c r="AJ159" s="2">
        <f t="shared" si="28"/>
        <v>17.191469999999999</v>
      </c>
      <c r="AK159" s="2">
        <f t="shared" si="29"/>
        <v>4.9518800000000001</v>
      </c>
      <c r="AL159" s="2">
        <f t="shared" si="30"/>
        <v>-7.0370000000000002E-2</v>
      </c>
      <c r="AM159" s="2">
        <f t="shared" si="31"/>
        <v>0</v>
      </c>
      <c r="AN159" s="2">
        <f t="shared" si="34"/>
        <v>0</v>
      </c>
      <c r="AO159" s="2">
        <f t="shared" si="35"/>
        <v>22.072979999999998</v>
      </c>
    </row>
    <row r="160" spans="1:41" x14ac:dyDescent="0.35">
      <c r="A160" t="s">
        <v>32</v>
      </c>
      <c r="B160" s="4">
        <v>9940551831</v>
      </c>
      <c r="C160" t="s">
        <v>215</v>
      </c>
      <c r="D160" t="s">
        <v>232</v>
      </c>
      <c r="E160" t="s">
        <v>26</v>
      </c>
      <c r="F160" s="2"/>
      <c r="G160" s="2"/>
      <c r="H160" s="2">
        <v>60.402500000000003</v>
      </c>
      <c r="I160" s="2">
        <v>44.771740000000001</v>
      </c>
      <c r="J160" s="2">
        <v>37.806939999999997</v>
      </c>
      <c r="K160" s="2">
        <v>1.04738</v>
      </c>
      <c r="L160" s="2">
        <v>31.187909999999999</v>
      </c>
      <c r="M160" s="2">
        <v>0</v>
      </c>
      <c r="N160" s="2">
        <v>0</v>
      </c>
      <c r="O160" s="2">
        <v>0</v>
      </c>
      <c r="P160" s="2"/>
      <c r="Q160" s="2"/>
      <c r="R160" s="2">
        <f t="shared" si="24"/>
        <v>60.402500000000003</v>
      </c>
      <c r="S160" s="2">
        <f t="shared" si="25"/>
        <v>83.626059999999995</v>
      </c>
      <c r="T160" s="2">
        <f t="shared" si="26"/>
        <v>31.187909999999999</v>
      </c>
      <c r="U160" s="2">
        <f t="shared" si="27"/>
        <v>0</v>
      </c>
      <c r="V160" s="2">
        <f t="shared" si="32"/>
        <v>0</v>
      </c>
      <c r="W160" s="2">
        <f t="shared" si="33"/>
        <v>175.21646999999999</v>
      </c>
      <c r="X160" s="2"/>
      <c r="Y160" s="2"/>
      <c r="Z160" s="2">
        <v>22.403569999999998</v>
      </c>
      <c r="AA160" s="2">
        <v>14.263350000000001</v>
      </c>
      <c r="AB160" s="2">
        <v>17.382380000000001</v>
      </c>
      <c r="AC160" s="2">
        <v>1.0695399999999999</v>
      </c>
      <c r="AD160" s="2">
        <v>14.51446</v>
      </c>
      <c r="AE160" s="2">
        <v>-0.37234</v>
      </c>
      <c r="AF160" s="2">
        <v>0</v>
      </c>
      <c r="AG160" s="2">
        <v>0</v>
      </c>
      <c r="AH160" s="2"/>
      <c r="AI160" s="2"/>
      <c r="AJ160" s="2">
        <f t="shared" si="28"/>
        <v>22.403569999999998</v>
      </c>
      <c r="AK160" s="2">
        <f t="shared" si="29"/>
        <v>32.715270000000004</v>
      </c>
      <c r="AL160" s="2">
        <f t="shared" si="30"/>
        <v>14.14212</v>
      </c>
      <c r="AM160" s="2">
        <f t="shared" si="31"/>
        <v>0</v>
      </c>
      <c r="AN160" s="2">
        <f t="shared" si="34"/>
        <v>0</v>
      </c>
      <c r="AO160" s="2">
        <f t="shared" si="35"/>
        <v>69.260960000000011</v>
      </c>
    </row>
    <row r="161" spans="1:41" x14ac:dyDescent="0.35">
      <c r="A161" t="s">
        <v>32</v>
      </c>
      <c r="B161" s="4">
        <v>9940554317</v>
      </c>
      <c r="C161" t="s">
        <v>202</v>
      </c>
      <c r="D161" t="s">
        <v>240</v>
      </c>
      <c r="E161" t="s">
        <v>26</v>
      </c>
      <c r="F161" s="2"/>
      <c r="G161" s="2"/>
      <c r="H161" s="2">
        <v>0</v>
      </c>
      <c r="I161" s="2">
        <v>2.9540600000000001</v>
      </c>
      <c r="J161" s="2">
        <v>11.34585</v>
      </c>
      <c r="K161" s="2">
        <v>13.288449999999999</v>
      </c>
      <c r="L161" s="2">
        <v>16.245049999999999</v>
      </c>
      <c r="M161" s="2">
        <v>13.232340000000001</v>
      </c>
      <c r="N161" s="2">
        <v>14.869350000000001</v>
      </c>
      <c r="O161" s="2">
        <v>16.37839</v>
      </c>
      <c r="P161" s="2">
        <v>81.375640000000004</v>
      </c>
      <c r="Q161" s="2">
        <v>6.6621100000000002</v>
      </c>
      <c r="R161" s="2">
        <f t="shared" si="24"/>
        <v>0</v>
      </c>
      <c r="S161" s="2">
        <f t="shared" si="25"/>
        <v>27.588360000000002</v>
      </c>
      <c r="T161" s="2">
        <f t="shared" si="26"/>
        <v>44.346739999999997</v>
      </c>
      <c r="U161" s="2">
        <f t="shared" si="27"/>
        <v>104.41614</v>
      </c>
      <c r="V161" s="2">
        <f t="shared" si="32"/>
        <v>88.037750000000003</v>
      </c>
      <c r="W161" s="2">
        <f t="shared" si="33"/>
        <v>176.35124000000002</v>
      </c>
      <c r="X161" s="2"/>
      <c r="Y161" s="2"/>
      <c r="Z161" s="2">
        <v>0</v>
      </c>
      <c r="AA161" s="2">
        <v>0.99268999999999996</v>
      </c>
      <c r="AB161" s="2">
        <v>3.6108500000000001</v>
      </c>
      <c r="AC161" s="2">
        <v>3.7557499999999999</v>
      </c>
      <c r="AD161" s="2">
        <v>4.2369000000000003</v>
      </c>
      <c r="AE161" s="2">
        <v>4.53925</v>
      </c>
      <c r="AF161" s="2">
        <v>4.3995100000000003</v>
      </c>
      <c r="AG161" s="2">
        <v>4.4804899999999996</v>
      </c>
      <c r="AH161" s="2">
        <v>29.93177</v>
      </c>
      <c r="AI161" s="2">
        <v>1.3479699999999999</v>
      </c>
      <c r="AJ161" s="2">
        <f t="shared" si="28"/>
        <v>0</v>
      </c>
      <c r="AK161" s="2">
        <f t="shared" si="29"/>
        <v>8.3592899999999997</v>
      </c>
      <c r="AL161" s="2">
        <f t="shared" si="30"/>
        <v>13.175660000000001</v>
      </c>
      <c r="AM161" s="2">
        <f t="shared" si="31"/>
        <v>35.76023</v>
      </c>
      <c r="AN161" s="2">
        <f t="shared" si="34"/>
        <v>31.27974</v>
      </c>
      <c r="AO161" s="2">
        <f t="shared" si="35"/>
        <v>57.295180000000002</v>
      </c>
    </row>
    <row r="162" spans="1:41" x14ac:dyDescent="0.35">
      <c r="A162" t="s">
        <v>32</v>
      </c>
      <c r="B162" s="4">
        <v>9940574770</v>
      </c>
      <c r="C162" t="s">
        <v>203</v>
      </c>
      <c r="D162" t="s">
        <v>235</v>
      </c>
      <c r="E162" t="s">
        <v>26</v>
      </c>
      <c r="F162" s="2"/>
      <c r="G162" s="2"/>
      <c r="H162" s="2"/>
      <c r="I162" s="2"/>
      <c r="J162" s="2"/>
      <c r="K162" s="2"/>
      <c r="L162" s="2"/>
      <c r="M162" s="2"/>
      <c r="N162" s="2">
        <v>190.20009999999999</v>
      </c>
      <c r="O162" s="2">
        <v>28.481560000000002</v>
      </c>
      <c r="P162" s="2">
        <v>0</v>
      </c>
      <c r="Q162" s="2">
        <v>0</v>
      </c>
      <c r="R162" s="2">
        <f t="shared" si="24"/>
        <v>0</v>
      </c>
      <c r="S162" s="2">
        <f t="shared" si="25"/>
        <v>0</v>
      </c>
      <c r="T162" s="2">
        <f t="shared" si="26"/>
        <v>190.20009999999999</v>
      </c>
      <c r="U162" s="2">
        <f t="shared" si="27"/>
        <v>28.481560000000002</v>
      </c>
      <c r="V162" s="2">
        <f t="shared" si="32"/>
        <v>0</v>
      </c>
      <c r="W162" s="2">
        <f t="shared" si="33"/>
        <v>218.68165999999999</v>
      </c>
      <c r="X162" s="2"/>
      <c r="Y162" s="2"/>
      <c r="Z162" s="2"/>
      <c r="AA162" s="2"/>
      <c r="AB162" s="2"/>
      <c r="AC162" s="2"/>
      <c r="AD162" s="2"/>
      <c r="AE162" s="2"/>
      <c r="AF162" s="2">
        <v>78.053820000000002</v>
      </c>
      <c r="AG162" s="2">
        <v>-68.320440000000005</v>
      </c>
      <c r="AH162" s="2">
        <v>-31.423169999999999</v>
      </c>
      <c r="AI162" s="2">
        <v>-2.5121899999999999</v>
      </c>
      <c r="AJ162" s="2">
        <f t="shared" si="28"/>
        <v>0</v>
      </c>
      <c r="AK162" s="2">
        <f t="shared" si="29"/>
        <v>0</v>
      </c>
      <c r="AL162" s="2">
        <f t="shared" si="30"/>
        <v>78.053820000000002</v>
      </c>
      <c r="AM162" s="2">
        <f t="shared" si="31"/>
        <v>-102.25580000000001</v>
      </c>
      <c r="AN162" s="2">
        <f t="shared" si="34"/>
        <v>-33.935359999999996</v>
      </c>
      <c r="AO162" s="2">
        <f t="shared" si="35"/>
        <v>-24.201980000000006</v>
      </c>
    </row>
    <row r="163" spans="1:41" x14ac:dyDescent="0.35">
      <c r="A163" t="s">
        <v>32</v>
      </c>
      <c r="B163" s="4">
        <v>9940145976</v>
      </c>
      <c r="C163" t="s">
        <v>204</v>
      </c>
      <c r="D163" t="s">
        <v>278</v>
      </c>
      <c r="E163" t="s">
        <v>26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/>
      <c r="Q163" s="2"/>
      <c r="R163" s="2">
        <f t="shared" si="24"/>
        <v>0</v>
      </c>
      <c r="S163" s="2">
        <f t="shared" si="25"/>
        <v>0</v>
      </c>
      <c r="T163" s="2">
        <f t="shared" si="26"/>
        <v>0</v>
      </c>
      <c r="U163" s="2">
        <f t="shared" si="27"/>
        <v>0</v>
      </c>
      <c r="V163" s="2">
        <f t="shared" si="32"/>
        <v>0</v>
      </c>
      <c r="W163" s="2">
        <f t="shared" si="33"/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/>
      <c r="AI163" s="2"/>
      <c r="AJ163" s="2">
        <f t="shared" si="28"/>
        <v>0</v>
      </c>
      <c r="AK163" s="2">
        <f t="shared" si="29"/>
        <v>0</v>
      </c>
      <c r="AL163" s="2">
        <f t="shared" si="30"/>
        <v>0</v>
      </c>
      <c r="AM163" s="2">
        <f t="shared" si="31"/>
        <v>0</v>
      </c>
      <c r="AN163" s="2">
        <f t="shared" si="34"/>
        <v>0</v>
      </c>
      <c r="AO163" s="2">
        <f t="shared" si="35"/>
        <v>0</v>
      </c>
    </row>
    <row r="164" spans="1:41" x14ac:dyDescent="0.35">
      <c r="A164" t="s">
        <v>32</v>
      </c>
      <c r="B164" s="4">
        <v>9940402257</v>
      </c>
      <c r="C164" t="s">
        <v>205</v>
      </c>
      <c r="D164" t="s">
        <v>231</v>
      </c>
      <c r="E164" t="s">
        <v>26</v>
      </c>
      <c r="F164" s="2">
        <v>0</v>
      </c>
      <c r="G164" s="2">
        <v>0</v>
      </c>
      <c r="H164" s="2">
        <v>-6.6722599999999996</v>
      </c>
      <c r="I164" s="2">
        <v>1.61076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/>
      <c r="Q164" s="2"/>
      <c r="R164" s="2">
        <f t="shared" si="24"/>
        <v>-6.6722599999999996</v>
      </c>
      <c r="S164" s="2">
        <f t="shared" si="25"/>
        <v>1.61076</v>
      </c>
      <c r="T164" s="2">
        <f t="shared" si="26"/>
        <v>0</v>
      </c>
      <c r="U164" s="2">
        <f t="shared" si="27"/>
        <v>0</v>
      </c>
      <c r="V164" s="2">
        <f t="shared" si="32"/>
        <v>0</v>
      </c>
      <c r="W164" s="2">
        <f t="shared" si="33"/>
        <v>-5.0614999999999997</v>
      </c>
      <c r="X164" s="2">
        <v>-12.18709</v>
      </c>
      <c r="Y164" s="2">
        <v>-3.6113599999999999</v>
      </c>
      <c r="Z164" s="2">
        <v>-4.7228300000000001</v>
      </c>
      <c r="AA164" s="2">
        <v>1.84592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/>
      <c r="AI164" s="2"/>
      <c r="AJ164" s="2">
        <f t="shared" si="28"/>
        <v>-20.521279999999997</v>
      </c>
      <c r="AK164" s="2">
        <f t="shared" si="29"/>
        <v>1.84592</v>
      </c>
      <c r="AL164" s="2">
        <f t="shared" si="30"/>
        <v>0</v>
      </c>
      <c r="AM164" s="2">
        <f t="shared" si="31"/>
        <v>0</v>
      </c>
      <c r="AN164" s="2">
        <f t="shared" si="34"/>
        <v>0</v>
      </c>
      <c r="AO164" s="2">
        <f t="shared" si="35"/>
        <v>-18.675359999999998</v>
      </c>
    </row>
    <row r="165" spans="1:41" x14ac:dyDescent="0.35">
      <c r="A165" t="s">
        <v>32</v>
      </c>
      <c r="B165" s="4">
        <v>9940552208</v>
      </c>
      <c r="C165" t="s">
        <v>150</v>
      </c>
      <c r="D165" t="s">
        <v>232</v>
      </c>
      <c r="E165" t="s">
        <v>26</v>
      </c>
      <c r="F165" s="2"/>
      <c r="G165" s="2"/>
      <c r="H165" s="2">
        <v>0</v>
      </c>
      <c r="I165" s="2">
        <v>0</v>
      </c>
      <c r="J165" s="2">
        <v>13.996409999999999</v>
      </c>
      <c r="K165" s="2">
        <v>13.08046</v>
      </c>
      <c r="L165" s="2">
        <v>15.215719999999999</v>
      </c>
      <c r="M165" s="2">
        <v>14.88979</v>
      </c>
      <c r="N165" s="2">
        <v>16.662099999999999</v>
      </c>
      <c r="O165" s="2">
        <v>18.96518</v>
      </c>
      <c r="P165" s="2">
        <v>21.657720000000001</v>
      </c>
      <c r="Q165" s="2">
        <v>13.809419999999999</v>
      </c>
      <c r="R165" s="2">
        <f t="shared" si="24"/>
        <v>0</v>
      </c>
      <c r="S165" s="2">
        <f t="shared" si="25"/>
        <v>27.07687</v>
      </c>
      <c r="T165" s="2">
        <f t="shared" si="26"/>
        <v>46.767609999999998</v>
      </c>
      <c r="U165" s="2">
        <f t="shared" si="27"/>
        <v>54.432320000000004</v>
      </c>
      <c r="V165" s="2">
        <f t="shared" si="32"/>
        <v>35.467140000000001</v>
      </c>
      <c r="W165" s="2">
        <f t="shared" si="33"/>
        <v>128.27680000000001</v>
      </c>
      <c r="X165" s="2"/>
      <c r="Y165" s="2"/>
      <c r="Z165" s="2">
        <v>0</v>
      </c>
      <c r="AA165" s="2">
        <v>0.21733</v>
      </c>
      <c r="AB165" s="2">
        <v>4.5321699999999998</v>
      </c>
      <c r="AC165" s="2">
        <v>3.9075700000000002</v>
      </c>
      <c r="AD165" s="2">
        <v>5.12934</v>
      </c>
      <c r="AE165" s="2">
        <v>4.6819100000000002</v>
      </c>
      <c r="AF165" s="2">
        <v>5.3381499999999997</v>
      </c>
      <c r="AG165" s="2">
        <v>6.4306000000000001</v>
      </c>
      <c r="AH165" s="2">
        <v>7.0046600000000003</v>
      </c>
      <c r="AI165" s="2">
        <v>3.9347699999999999</v>
      </c>
      <c r="AJ165" s="2">
        <f t="shared" si="28"/>
        <v>0</v>
      </c>
      <c r="AK165" s="2">
        <f t="shared" si="29"/>
        <v>8.6570699999999992</v>
      </c>
      <c r="AL165" s="2">
        <f t="shared" si="30"/>
        <v>15.1494</v>
      </c>
      <c r="AM165" s="2">
        <f t="shared" si="31"/>
        <v>17.37003</v>
      </c>
      <c r="AN165" s="2">
        <f t="shared" si="34"/>
        <v>10.93943</v>
      </c>
      <c r="AO165" s="2">
        <f t="shared" si="35"/>
        <v>41.176499999999997</v>
      </c>
    </row>
    <row r="166" spans="1:41" x14ac:dyDescent="0.35">
      <c r="A166" t="s">
        <v>32</v>
      </c>
      <c r="B166" s="4">
        <v>9940488908</v>
      </c>
      <c r="C166" t="s">
        <v>206</v>
      </c>
      <c r="D166" t="s">
        <v>232</v>
      </c>
      <c r="E166" t="s">
        <v>26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-1.34E-3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f t="shared" si="24"/>
        <v>0</v>
      </c>
      <c r="S166" s="2">
        <f t="shared" si="25"/>
        <v>0</v>
      </c>
      <c r="T166" s="2">
        <f t="shared" si="26"/>
        <v>-1.34E-3</v>
      </c>
      <c r="U166" s="2">
        <f t="shared" si="27"/>
        <v>0</v>
      </c>
      <c r="V166" s="2">
        <f t="shared" si="32"/>
        <v>0</v>
      </c>
      <c r="W166" s="2">
        <f t="shared" si="33"/>
        <v>-1.34E-3</v>
      </c>
      <c r="X166" s="2">
        <v>1.40327</v>
      </c>
      <c r="Y166" s="2">
        <v>1.42316</v>
      </c>
      <c r="Z166" s="2">
        <v>1.4210700000000001</v>
      </c>
      <c r="AA166" s="2">
        <v>1.42302</v>
      </c>
      <c r="AB166" s="2">
        <v>1.4598800000000001</v>
      </c>
      <c r="AC166" s="2">
        <v>1.5213300000000001</v>
      </c>
      <c r="AD166" s="2">
        <v>13.371</v>
      </c>
      <c r="AE166" s="2">
        <v>-25.484529999999999</v>
      </c>
      <c r="AF166" s="2">
        <v>-26.270050000000001</v>
      </c>
      <c r="AG166" s="2">
        <v>0</v>
      </c>
      <c r="AH166" s="2">
        <v>0</v>
      </c>
      <c r="AI166" s="2">
        <v>0</v>
      </c>
      <c r="AJ166" s="2">
        <f t="shared" si="28"/>
        <v>4.2475000000000005</v>
      </c>
      <c r="AK166" s="2">
        <f t="shared" si="29"/>
        <v>4.4042300000000001</v>
      </c>
      <c r="AL166" s="2">
        <f t="shared" si="30"/>
        <v>-38.383580000000002</v>
      </c>
      <c r="AM166" s="2">
        <f t="shared" si="31"/>
        <v>0</v>
      </c>
      <c r="AN166" s="2">
        <f t="shared" si="34"/>
        <v>0</v>
      </c>
      <c r="AO166" s="2">
        <f t="shared" si="35"/>
        <v>-29.731850000000001</v>
      </c>
    </row>
    <row r="167" spans="1:41" x14ac:dyDescent="0.35">
      <c r="A167" t="s">
        <v>32</v>
      </c>
      <c r="B167" s="4">
        <v>9940562528</v>
      </c>
      <c r="C167" t="s">
        <v>139</v>
      </c>
      <c r="D167" t="s">
        <v>232</v>
      </c>
      <c r="E167" t="s">
        <v>26</v>
      </c>
      <c r="F167" s="2"/>
      <c r="G167" s="2"/>
      <c r="H167" s="2"/>
      <c r="I167" s="2"/>
      <c r="J167" s="2">
        <v>0</v>
      </c>
      <c r="K167" s="2">
        <v>9.7634399999999992</v>
      </c>
      <c r="L167" s="2">
        <v>7.9525800000000002</v>
      </c>
      <c r="M167" s="2">
        <v>6.3531199999999997</v>
      </c>
      <c r="N167" s="2">
        <v>5.8493599999999999</v>
      </c>
      <c r="O167" s="2">
        <v>6.8122100000000003</v>
      </c>
      <c r="P167" s="2">
        <v>10.24044</v>
      </c>
      <c r="Q167" s="2">
        <v>0</v>
      </c>
      <c r="R167" s="2">
        <f t="shared" si="24"/>
        <v>0</v>
      </c>
      <c r="S167" s="2">
        <f t="shared" si="25"/>
        <v>9.7634399999999992</v>
      </c>
      <c r="T167" s="2">
        <f t="shared" si="26"/>
        <v>20.155059999999999</v>
      </c>
      <c r="U167" s="2">
        <f t="shared" si="27"/>
        <v>17.05265</v>
      </c>
      <c r="V167" s="2">
        <f t="shared" si="32"/>
        <v>10.24044</v>
      </c>
      <c r="W167" s="2">
        <f t="shared" si="33"/>
        <v>46.971149999999994</v>
      </c>
      <c r="X167" s="2"/>
      <c r="Y167" s="2"/>
      <c r="Z167" s="2"/>
      <c r="AA167" s="2"/>
      <c r="AB167" s="2">
        <v>0</v>
      </c>
      <c r="AC167" s="2">
        <v>3.4350299999999998</v>
      </c>
      <c r="AD167" s="2">
        <v>3.7138300000000002</v>
      </c>
      <c r="AE167" s="2">
        <v>2.2868599999999999</v>
      </c>
      <c r="AF167" s="2">
        <v>2.0031699999999999</v>
      </c>
      <c r="AG167" s="2">
        <v>2.5517500000000002</v>
      </c>
      <c r="AH167" s="2">
        <v>1.3994200000000001</v>
      </c>
      <c r="AI167" s="2">
        <v>-6.8690000000000001E-2</v>
      </c>
      <c r="AJ167" s="2">
        <f t="shared" si="28"/>
        <v>0</v>
      </c>
      <c r="AK167" s="2">
        <f t="shared" si="29"/>
        <v>3.4350299999999998</v>
      </c>
      <c r="AL167" s="2">
        <f t="shared" si="30"/>
        <v>8.0038599999999995</v>
      </c>
      <c r="AM167" s="2">
        <f t="shared" si="31"/>
        <v>3.8824800000000002</v>
      </c>
      <c r="AN167" s="2">
        <f t="shared" si="34"/>
        <v>1.3307300000000002</v>
      </c>
      <c r="AO167" s="2">
        <f t="shared" si="35"/>
        <v>15.321369999999998</v>
      </c>
    </row>
    <row r="168" spans="1:41" x14ac:dyDescent="0.35">
      <c r="A168" t="s">
        <v>32</v>
      </c>
      <c r="B168" s="4">
        <v>9940492539</v>
      </c>
      <c r="C168" t="s">
        <v>207</v>
      </c>
      <c r="D168" t="s">
        <v>275</v>
      </c>
      <c r="E168" t="s">
        <v>26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f t="shared" si="24"/>
        <v>0</v>
      </c>
      <c r="S168" s="2">
        <f t="shared" si="25"/>
        <v>0</v>
      </c>
      <c r="T168" s="2">
        <f t="shared" si="26"/>
        <v>0</v>
      </c>
      <c r="U168" s="2">
        <f t="shared" si="27"/>
        <v>0</v>
      </c>
      <c r="V168" s="2">
        <f t="shared" si="32"/>
        <v>0</v>
      </c>
      <c r="W168" s="2">
        <f t="shared" si="33"/>
        <v>0</v>
      </c>
      <c r="X168" s="2">
        <v>-4.7160000000000001E-2</v>
      </c>
      <c r="Y168" s="2">
        <v>-4.7829999999999998E-2</v>
      </c>
      <c r="Z168" s="2">
        <v>-4.7759999999999997E-2</v>
      </c>
      <c r="AA168" s="2">
        <v>-4.7829999999999998E-2</v>
      </c>
      <c r="AB168" s="2">
        <v>-4.9070000000000003E-2</v>
      </c>
      <c r="AC168" s="2">
        <v>-5.1130000000000002E-2</v>
      </c>
      <c r="AD168" s="2">
        <v>-5.1189999999999999E-2</v>
      </c>
      <c r="AE168" s="2">
        <v>-4.913E-2</v>
      </c>
      <c r="AF168" s="2">
        <v>-5.0639999999999998E-2</v>
      </c>
      <c r="AG168" s="2">
        <v>-5.0770000000000003E-2</v>
      </c>
      <c r="AH168" s="2">
        <v>-59.862389999999998</v>
      </c>
      <c r="AI168" s="2">
        <v>0</v>
      </c>
      <c r="AJ168" s="2">
        <f t="shared" si="28"/>
        <v>-0.14274999999999999</v>
      </c>
      <c r="AK168" s="2">
        <f t="shared" si="29"/>
        <v>-0.14802999999999999</v>
      </c>
      <c r="AL168" s="2">
        <f t="shared" si="30"/>
        <v>-0.15095999999999998</v>
      </c>
      <c r="AM168" s="2">
        <f t="shared" si="31"/>
        <v>-59.913159999999998</v>
      </c>
      <c r="AN168" s="2">
        <f t="shared" si="34"/>
        <v>-59.862389999999998</v>
      </c>
      <c r="AO168" s="2">
        <f t="shared" si="35"/>
        <v>-60.354900000000001</v>
      </c>
    </row>
    <row r="169" spans="1:41" x14ac:dyDescent="0.35">
      <c r="A169" t="s">
        <v>32</v>
      </c>
      <c r="B169" s="4">
        <v>9940492554</v>
      </c>
      <c r="C169" t="s">
        <v>208</v>
      </c>
      <c r="D169" t="s">
        <v>279</v>
      </c>
      <c r="E169" t="s">
        <v>26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f t="shared" si="24"/>
        <v>0</v>
      </c>
      <c r="S169" s="2">
        <f t="shared" si="25"/>
        <v>0</v>
      </c>
      <c r="T169" s="2">
        <f t="shared" si="26"/>
        <v>0</v>
      </c>
      <c r="U169" s="2">
        <f t="shared" si="27"/>
        <v>0</v>
      </c>
      <c r="V169" s="2">
        <f t="shared" si="32"/>
        <v>0</v>
      </c>
      <c r="W169" s="2">
        <f t="shared" si="33"/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f t="shared" si="28"/>
        <v>0</v>
      </c>
      <c r="AK169" s="2">
        <f t="shared" si="29"/>
        <v>0</v>
      </c>
      <c r="AL169" s="2">
        <f t="shared" si="30"/>
        <v>0</v>
      </c>
      <c r="AM169" s="2">
        <f t="shared" si="31"/>
        <v>0</v>
      </c>
      <c r="AN169" s="2">
        <f t="shared" si="34"/>
        <v>0</v>
      </c>
      <c r="AO169" s="2">
        <f t="shared" si="35"/>
        <v>0</v>
      </c>
    </row>
    <row r="170" spans="1:41" x14ac:dyDescent="0.35">
      <c r="A170" t="s">
        <v>32</v>
      </c>
      <c r="B170" s="4">
        <v>9940492885</v>
      </c>
      <c r="C170" t="s">
        <v>209</v>
      </c>
      <c r="D170" t="s">
        <v>280</v>
      </c>
      <c r="E170" t="s">
        <v>26</v>
      </c>
      <c r="F170" s="2">
        <v>0</v>
      </c>
      <c r="G170" s="2">
        <v>0</v>
      </c>
      <c r="H170" s="2">
        <v>-3.3E-3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f t="shared" si="24"/>
        <v>-3.3E-3</v>
      </c>
      <c r="S170" s="2">
        <f t="shared" si="25"/>
        <v>0</v>
      </c>
      <c r="T170" s="2">
        <f t="shared" si="26"/>
        <v>0</v>
      </c>
      <c r="U170" s="2">
        <f t="shared" si="27"/>
        <v>0</v>
      </c>
      <c r="V170" s="2">
        <f t="shared" si="32"/>
        <v>0</v>
      </c>
      <c r="W170" s="2">
        <f t="shared" si="33"/>
        <v>-3.3E-3</v>
      </c>
      <c r="X170" s="2">
        <v>0</v>
      </c>
      <c r="Y170" s="2">
        <v>0</v>
      </c>
      <c r="Z170" s="2">
        <v>-3.3E-3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f t="shared" si="28"/>
        <v>-3.3E-3</v>
      </c>
      <c r="AK170" s="2">
        <f t="shared" si="29"/>
        <v>0</v>
      </c>
      <c r="AL170" s="2">
        <f t="shared" si="30"/>
        <v>0</v>
      </c>
      <c r="AM170" s="2">
        <f t="shared" si="31"/>
        <v>0</v>
      </c>
      <c r="AN170" s="2">
        <f t="shared" si="34"/>
        <v>0</v>
      </c>
      <c r="AO170" s="2">
        <f t="shared" si="35"/>
        <v>-3.3E-3</v>
      </c>
    </row>
    <row r="171" spans="1:41" x14ac:dyDescent="0.35">
      <c r="A171" t="s">
        <v>32</v>
      </c>
      <c r="B171" s="4">
        <v>9940528940</v>
      </c>
      <c r="C171" t="s">
        <v>210</v>
      </c>
      <c r="D171" t="s">
        <v>270</v>
      </c>
      <c r="E171" t="s">
        <v>26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/>
      <c r="Q171" s="2"/>
      <c r="R171" s="2">
        <f t="shared" si="24"/>
        <v>0</v>
      </c>
      <c r="S171" s="2">
        <f t="shared" si="25"/>
        <v>0</v>
      </c>
      <c r="T171" s="2">
        <f t="shared" si="26"/>
        <v>0</v>
      </c>
      <c r="U171" s="2">
        <f t="shared" si="27"/>
        <v>0</v>
      </c>
      <c r="V171" s="2">
        <f t="shared" si="32"/>
        <v>0</v>
      </c>
      <c r="W171" s="2">
        <f t="shared" si="33"/>
        <v>0</v>
      </c>
      <c r="X171" s="2">
        <v>-0.18947</v>
      </c>
      <c r="Y171" s="2">
        <v>0</v>
      </c>
      <c r="Z171" s="2">
        <v>-0.21049000000000001</v>
      </c>
      <c r="AA171" s="2">
        <v>-0.48942999999999998</v>
      </c>
      <c r="AB171" s="2">
        <v>-0.42036000000000001</v>
      </c>
      <c r="AC171" s="2">
        <v>-1.47E-2</v>
      </c>
      <c r="AD171" s="2">
        <v>0</v>
      </c>
      <c r="AE171" s="2">
        <v>0</v>
      </c>
      <c r="AF171" s="2">
        <v>0</v>
      </c>
      <c r="AG171" s="2">
        <v>0</v>
      </c>
      <c r="AH171" s="2"/>
      <c r="AI171" s="2"/>
      <c r="AJ171" s="2">
        <f t="shared" si="28"/>
        <v>-0.39995999999999998</v>
      </c>
      <c r="AK171" s="2">
        <f t="shared" si="29"/>
        <v>-0.92449000000000003</v>
      </c>
      <c r="AL171" s="2">
        <f t="shared" si="30"/>
        <v>0</v>
      </c>
      <c r="AM171" s="2">
        <f t="shared" si="31"/>
        <v>0</v>
      </c>
      <c r="AN171" s="2">
        <f t="shared" si="34"/>
        <v>0</v>
      </c>
      <c r="AO171" s="2">
        <f t="shared" si="35"/>
        <v>-1.3244500000000001</v>
      </c>
    </row>
    <row r="172" spans="1:41" x14ac:dyDescent="0.35">
      <c r="A172" t="s">
        <v>32</v>
      </c>
      <c r="B172" s="4">
        <v>9940530749</v>
      </c>
      <c r="C172" t="s">
        <v>211</v>
      </c>
      <c r="D172" t="s">
        <v>271</v>
      </c>
      <c r="E172" t="s">
        <v>26</v>
      </c>
      <c r="F172" s="2">
        <v>-9.1500000000000001E-3</v>
      </c>
      <c r="G172" s="2">
        <v>-43.30742</v>
      </c>
      <c r="H172" s="2">
        <v>0.31281999999999999</v>
      </c>
      <c r="I172" s="2">
        <v>0.72985</v>
      </c>
      <c r="J172" s="2">
        <v>0.63092999999999999</v>
      </c>
      <c r="K172" s="2">
        <v>44.292589999999997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f t="shared" si="24"/>
        <v>-43.003749999999997</v>
      </c>
      <c r="S172" s="2">
        <f t="shared" si="25"/>
        <v>45.653369999999995</v>
      </c>
      <c r="T172" s="2">
        <f t="shared" si="26"/>
        <v>0</v>
      </c>
      <c r="U172" s="2">
        <f t="shared" si="27"/>
        <v>0</v>
      </c>
      <c r="V172" s="2">
        <f t="shared" si="32"/>
        <v>0</v>
      </c>
      <c r="W172" s="2">
        <f t="shared" si="33"/>
        <v>2.6496199999999988</v>
      </c>
      <c r="X172" s="2">
        <v>0.41576000000000002</v>
      </c>
      <c r="Y172" s="2">
        <v>-42.876489999999997</v>
      </c>
      <c r="Z172" s="2">
        <v>0.56032999999999999</v>
      </c>
      <c r="AA172" s="2">
        <v>0.72119</v>
      </c>
      <c r="AB172" s="2">
        <v>0.66835999999999995</v>
      </c>
      <c r="AC172" s="2">
        <v>44.697710000000001</v>
      </c>
      <c r="AD172" s="2">
        <v>-6.6E-4</v>
      </c>
      <c r="AE172" s="2">
        <v>-2.0000000000000002E-5</v>
      </c>
      <c r="AF172" s="2">
        <v>0</v>
      </c>
      <c r="AG172" s="2">
        <v>0</v>
      </c>
      <c r="AH172" s="2">
        <v>0</v>
      </c>
      <c r="AI172" s="2">
        <v>0</v>
      </c>
      <c r="AJ172" s="2">
        <f t="shared" si="28"/>
        <v>-41.900399999999998</v>
      </c>
      <c r="AK172" s="2">
        <f t="shared" si="29"/>
        <v>46.087260000000001</v>
      </c>
      <c r="AL172" s="2">
        <f t="shared" si="30"/>
        <v>-6.8000000000000005E-4</v>
      </c>
      <c r="AM172" s="2">
        <f t="shared" si="31"/>
        <v>0</v>
      </c>
      <c r="AN172" s="2">
        <f t="shared" si="34"/>
        <v>0</v>
      </c>
      <c r="AO172" s="2">
        <f t="shared" si="35"/>
        <v>4.1861800000000029</v>
      </c>
    </row>
    <row r="173" spans="1:41" x14ac:dyDescent="0.35">
      <c r="A173" t="s">
        <v>32</v>
      </c>
      <c r="B173" s="4">
        <v>9940540705</v>
      </c>
      <c r="C173" t="s">
        <v>212</v>
      </c>
      <c r="D173" t="s">
        <v>232</v>
      </c>
      <c r="E173" t="s">
        <v>26</v>
      </c>
      <c r="F173" s="2">
        <v>20.362110000000001</v>
      </c>
      <c r="G173" s="2">
        <v>27.22692</v>
      </c>
      <c r="H173" s="2">
        <v>43.4069</v>
      </c>
      <c r="I173" s="2">
        <v>45.639719999999997</v>
      </c>
      <c r="J173" s="2">
        <v>7.1292799999999996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/>
      <c r="Q173" s="2"/>
      <c r="R173" s="2">
        <f t="shared" si="24"/>
        <v>90.995930000000001</v>
      </c>
      <c r="S173" s="2">
        <f t="shared" si="25"/>
        <v>52.768999999999998</v>
      </c>
      <c r="T173" s="2">
        <f t="shared" si="26"/>
        <v>0</v>
      </c>
      <c r="U173" s="2">
        <f t="shared" si="27"/>
        <v>0</v>
      </c>
      <c r="V173" s="2">
        <f t="shared" si="32"/>
        <v>0</v>
      </c>
      <c r="W173" s="2">
        <f t="shared" si="33"/>
        <v>143.76492999999999</v>
      </c>
      <c r="X173" s="2">
        <v>6.9966799999999996</v>
      </c>
      <c r="Y173" s="2">
        <v>7.96943</v>
      </c>
      <c r="Z173" s="2">
        <v>14.40645</v>
      </c>
      <c r="AA173" s="2">
        <v>14.309839999999999</v>
      </c>
      <c r="AB173" s="2">
        <v>-5.1763599999999999</v>
      </c>
      <c r="AC173" s="2">
        <v>-24.90089</v>
      </c>
      <c r="AD173" s="2">
        <v>10.738329999999999</v>
      </c>
      <c r="AE173" s="2">
        <v>2.81643</v>
      </c>
      <c r="AF173" s="2">
        <v>3.391</v>
      </c>
      <c r="AG173" s="2">
        <v>0</v>
      </c>
      <c r="AH173" s="2"/>
      <c r="AI173" s="2"/>
      <c r="AJ173" s="2">
        <f t="shared" si="28"/>
        <v>29.37256</v>
      </c>
      <c r="AK173" s="2">
        <f t="shared" si="29"/>
        <v>-15.767410000000002</v>
      </c>
      <c r="AL173" s="2">
        <f t="shared" si="30"/>
        <v>16.94576</v>
      </c>
      <c r="AM173" s="2">
        <f t="shared" si="31"/>
        <v>0</v>
      </c>
      <c r="AN173" s="2">
        <f t="shared" si="34"/>
        <v>0</v>
      </c>
      <c r="AO173" s="2">
        <f t="shared" si="35"/>
        <v>30.550909999999998</v>
      </c>
    </row>
    <row r="174" spans="1:41" x14ac:dyDescent="0.35">
      <c r="A174" t="s">
        <v>32</v>
      </c>
      <c r="B174" s="4">
        <v>9940564207</v>
      </c>
      <c r="C174" t="s">
        <v>163</v>
      </c>
      <c r="D174" t="s">
        <v>232</v>
      </c>
      <c r="E174" t="s">
        <v>26</v>
      </c>
      <c r="F174" s="2"/>
      <c r="G174" s="2"/>
      <c r="H174" s="2"/>
      <c r="I174" s="2"/>
      <c r="J174" s="2"/>
      <c r="K174" s="2">
        <v>0</v>
      </c>
      <c r="L174" s="2">
        <v>23.733699999999999</v>
      </c>
      <c r="M174" s="2">
        <v>2.06284</v>
      </c>
      <c r="N174" s="2">
        <v>8.8611799999999992</v>
      </c>
      <c r="O174" s="2">
        <v>2.2587000000000002</v>
      </c>
      <c r="P174" s="2">
        <v>0</v>
      </c>
      <c r="Q174" s="2">
        <v>0</v>
      </c>
      <c r="R174" s="2">
        <f t="shared" si="24"/>
        <v>0</v>
      </c>
      <c r="S174" s="2">
        <f t="shared" si="25"/>
        <v>0</v>
      </c>
      <c r="T174" s="2">
        <f t="shared" si="26"/>
        <v>34.657719999999998</v>
      </c>
      <c r="U174" s="2">
        <f t="shared" si="27"/>
        <v>2.2587000000000002</v>
      </c>
      <c r="V174" s="2">
        <f t="shared" si="32"/>
        <v>0</v>
      </c>
      <c r="W174" s="2">
        <f t="shared" si="33"/>
        <v>36.916419999999995</v>
      </c>
      <c r="X174" s="2"/>
      <c r="Y174" s="2"/>
      <c r="Z174" s="2"/>
      <c r="AA174" s="2"/>
      <c r="AB174" s="2"/>
      <c r="AC174" s="2">
        <v>0</v>
      </c>
      <c r="AD174" s="2">
        <v>7.91465</v>
      </c>
      <c r="AE174" s="2">
        <v>-4.4340400000000004</v>
      </c>
      <c r="AF174" s="2">
        <v>2.5011399999999999</v>
      </c>
      <c r="AG174" s="2">
        <v>1.8092900000000001</v>
      </c>
      <c r="AH174" s="2">
        <v>8.5029999999999994E-2</v>
      </c>
      <c r="AI174" s="2">
        <v>0</v>
      </c>
      <c r="AJ174" s="2">
        <f t="shared" si="28"/>
        <v>0</v>
      </c>
      <c r="AK174" s="2">
        <f t="shared" si="29"/>
        <v>0</v>
      </c>
      <c r="AL174" s="2">
        <f t="shared" si="30"/>
        <v>5.9817499999999999</v>
      </c>
      <c r="AM174" s="2">
        <f t="shared" si="31"/>
        <v>1.89432</v>
      </c>
      <c r="AN174" s="2">
        <f t="shared" si="34"/>
        <v>8.5029999999999994E-2</v>
      </c>
      <c r="AO174" s="2">
        <f t="shared" si="35"/>
        <v>7.8760700000000003</v>
      </c>
    </row>
    <row r="175" spans="1:41" x14ac:dyDescent="0.35">
      <c r="A175" t="s">
        <v>281</v>
      </c>
      <c r="B175" s="4">
        <v>9940564207</v>
      </c>
      <c r="C175" t="s">
        <v>163</v>
      </c>
      <c r="D175" t="s">
        <v>232</v>
      </c>
      <c r="E175" t="s">
        <v>26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f t="shared" si="24"/>
        <v>0</v>
      </c>
      <c r="S175" s="2">
        <f t="shared" si="25"/>
        <v>0</v>
      </c>
      <c r="T175" s="2">
        <f t="shared" si="26"/>
        <v>0</v>
      </c>
      <c r="U175" s="2">
        <f t="shared" si="27"/>
        <v>0</v>
      </c>
      <c r="V175" s="2">
        <f t="shared" si="32"/>
        <v>0</v>
      </c>
      <c r="W175" s="2">
        <f t="shared" si="33"/>
        <v>0</v>
      </c>
      <c r="X175" s="2">
        <v>4.2926399999999996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f t="shared" si="28"/>
        <v>4.2926399999999996</v>
      </c>
      <c r="AK175" s="2">
        <f t="shared" si="29"/>
        <v>0</v>
      </c>
      <c r="AL175" s="2">
        <f t="shared" si="30"/>
        <v>0</v>
      </c>
      <c r="AM175" s="2">
        <f t="shared" si="31"/>
        <v>0</v>
      </c>
      <c r="AN175" s="2">
        <f t="shared" si="34"/>
        <v>0</v>
      </c>
      <c r="AO175" s="2">
        <f t="shared" si="35"/>
        <v>4.2926399999999996</v>
      </c>
    </row>
    <row r="176" spans="1:41" x14ac:dyDescent="0.35">
      <c r="A176" t="s">
        <v>32</v>
      </c>
      <c r="B176" s="4">
        <v>9940548842</v>
      </c>
      <c r="C176" t="s">
        <v>214</v>
      </c>
      <c r="D176" t="s">
        <v>232</v>
      </c>
      <c r="E176" t="s">
        <v>26</v>
      </c>
      <c r="F176" s="2"/>
      <c r="G176" s="2">
        <v>9.9618599999999997</v>
      </c>
      <c r="H176" s="2">
        <v>26.018709999999999</v>
      </c>
      <c r="I176" s="2">
        <v>23.75104</v>
      </c>
      <c r="J176" s="2">
        <v>0</v>
      </c>
      <c r="K176" s="2">
        <v>-7.28E-3</v>
      </c>
      <c r="L176" s="2">
        <v>0</v>
      </c>
      <c r="M176" s="2">
        <v>0</v>
      </c>
      <c r="N176" s="2">
        <v>0</v>
      </c>
      <c r="O176" s="2">
        <v>0</v>
      </c>
      <c r="P176" s="2"/>
      <c r="Q176" s="2"/>
      <c r="R176" s="2">
        <f t="shared" si="24"/>
        <v>35.98057</v>
      </c>
      <c r="S176" s="2">
        <f t="shared" si="25"/>
        <v>23.743759999999998</v>
      </c>
      <c r="T176" s="2">
        <f t="shared" si="26"/>
        <v>0</v>
      </c>
      <c r="U176" s="2">
        <f t="shared" si="27"/>
        <v>0</v>
      </c>
      <c r="V176" s="2">
        <f t="shared" si="32"/>
        <v>0</v>
      </c>
      <c r="W176" s="2">
        <f t="shared" si="33"/>
        <v>59.724329999999995</v>
      </c>
      <c r="X176" s="2"/>
      <c r="Y176" s="2">
        <v>5.22966</v>
      </c>
      <c r="Z176" s="2">
        <v>15.83381</v>
      </c>
      <c r="AA176" s="2">
        <v>13.669600000000001</v>
      </c>
      <c r="AB176" s="2">
        <v>-1.37096</v>
      </c>
      <c r="AC176" s="2">
        <v>-7.28E-3</v>
      </c>
      <c r="AD176" s="2">
        <v>0</v>
      </c>
      <c r="AE176" s="2">
        <v>0</v>
      </c>
      <c r="AF176" s="2">
        <v>0</v>
      </c>
      <c r="AG176" s="2">
        <v>0</v>
      </c>
      <c r="AH176" s="2"/>
      <c r="AI176" s="2"/>
      <c r="AJ176" s="2">
        <f t="shared" si="28"/>
        <v>21.063469999999999</v>
      </c>
      <c r="AK176" s="2">
        <f t="shared" si="29"/>
        <v>12.291360000000001</v>
      </c>
      <c r="AL176" s="2">
        <f t="shared" si="30"/>
        <v>0</v>
      </c>
      <c r="AM176" s="2">
        <f t="shared" si="31"/>
        <v>0</v>
      </c>
      <c r="AN176" s="2">
        <f t="shared" si="34"/>
        <v>0</v>
      </c>
      <c r="AO176" s="2">
        <f t="shared" si="35"/>
        <v>33.35483</v>
      </c>
    </row>
    <row r="177" spans="1:41" x14ac:dyDescent="0.35">
      <c r="A177" t="s">
        <v>32</v>
      </c>
      <c r="B177" s="4">
        <v>9940566814</v>
      </c>
      <c r="C177" t="s">
        <v>120</v>
      </c>
      <c r="D177" t="s">
        <v>232</v>
      </c>
      <c r="E177" t="s">
        <v>26</v>
      </c>
      <c r="F177" s="2"/>
      <c r="G177" s="2"/>
      <c r="H177" s="2"/>
      <c r="I177" s="2"/>
      <c r="J177" s="2"/>
      <c r="K177" s="2"/>
      <c r="L177" s="2">
        <v>19.6252</v>
      </c>
      <c r="M177" s="2">
        <v>49.061729999999997</v>
      </c>
      <c r="N177" s="2">
        <v>24.951509999999999</v>
      </c>
      <c r="O177" s="2">
        <v>28.161010000000001</v>
      </c>
      <c r="P177" s="2">
        <v>22.035270000000001</v>
      </c>
      <c r="Q177" s="2">
        <v>18.394110000000001</v>
      </c>
      <c r="R177" s="2">
        <f t="shared" si="24"/>
        <v>0</v>
      </c>
      <c r="S177" s="2">
        <f t="shared" si="25"/>
        <v>0</v>
      </c>
      <c r="T177" s="2">
        <f t="shared" si="26"/>
        <v>93.638439999999989</v>
      </c>
      <c r="U177" s="2">
        <f t="shared" si="27"/>
        <v>68.590389999999999</v>
      </c>
      <c r="V177" s="2">
        <f t="shared" si="32"/>
        <v>40.429380000000002</v>
      </c>
      <c r="W177" s="2">
        <f t="shared" si="33"/>
        <v>162.22882999999999</v>
      </c>
      <c r="X177" s="2"/>
      <c r="Y177" s="2"/>
      <c r="Z177" s="2"/>
      <c r="AA177" s="2"/>
      <c r="AB177" s="2"/>
      <c r="AC177" s="2"/>
      <c r="AD177" s="2">
        <v>5.4893599999999996</v>
      </c>
      <c r="AE177" s="2">
        <v>17.167079999999999</v>
      </c>
      <c r="AF177" s="2">
        <v>8.1071600000000004</v>
      </c>
      <c r="AG177" s="2">
        <v>8.6781900000000007</v>
      </c>
      <c r="AH177" s="2">
        <v>7.7249999999999996</v>
      </c>
      <c r="AI177" s="2">
        <v>5.9596900000000002</v>
      </c>
      <c r="AJ177" s="2">
        <f t="shared" si="28"/>
        <v>0</v>
      </c>
      <c r="AK177" s="2">
        <f t="shared" si="29"/>
        <v>0</v>
      </c>
      <c r="AL177" s="2">
        <f t="shared" si="30"/>
        <v>30.763599999999997</v>
      </c>
      <c r="AM177" s="2">
        <f t="shared" si="31"/>
        <v>22.362880000000004</v>
      </c>
      <c r="AN177" s="2">
        <f t="shared" si="34"/>
        <v>13.68469</v>
      </c>
      <c r="AO177" s="2">
        <f t="shared" si="35"/>
        <v>53.126480000000001</v>
      </c>
    </row>
    <row r="178" spans="1:41" x14ac:dyDescent="0.35">
      <c r="A178" t="s">
        <v>32</v>
      </c>
      <c r="B178" s="4">
        <v>9940557954</v>
      </c>
      <c r="C178" t="s">
        <v>216</v>
      </c>
      <c r="D178" t="s">
        <v>256</v>
      </c>
      <c r="E178" t="s">
        <v>26</v>
      </c>
      <c r="F178" s="2"/>
      <c r="G178" s="2"/>
      <c r="H178" s="2"/>
      <c r="I178" s="2">
        <v>0</v>
      </c>
      <c r="J178" s="2">
        <v>23.739239999999999</v>
      </c>
      <c r="K178" s="2">
        <v>18.311769999999999</v>
      </c>
      <c r="L178" s="2">
        <v>4.4835099999999999</v>
      </c>
      <c r="M178" s="2">
        <v>1.7723199999999999</v>
      </c>
      <c r="N178" s="2">
        <v>0</v>
      </c>
      <c r="O178" s="2">
        <v>0</v>
      </c>
      <c r="P178" s="2">
        <v>0</v>
      </c>
      <c r="Q178" s="2">
        <v>0</v>
      </c>
      <c r="R178" s="2">
        <f t="shared" si="24"/>
        <v>0</v>
      </c>
      <c r="S178" s="2">
        <f t="shared" si="25"/>
        <v>42.051009999999998</v>
      </c>
      <c r="T178" s="2">
        <f t="shared" si="26"/>
        <v>6.2558299999999996</v>
      </c>
      <c r="U178" s="2">
        <f t="shared" si="27"/>
        <v>0</v>
      </c>
      <c r="V178" s="2">
        <f t="shared" si="32"/>
        <v>0</v>
      </c>
      <c r="W178" s="2">
        <f t="shared" si="33"/>
        <v>48.306839999999994</v>
      </c>
      <c r="X178" s="2"/>
      <c r="Y178" s="2"/>
      <c r="Z178" s="2"/>
      <c r="AA178" s="2">
        <v>0</v>
      </c>
      <c r="AB178" s="2">
        <v>11.54396</v>
      </c>
      <c r="AC178" s="2">
        <v>8.8278999999999996</v>
      </c>
      <c r="AD178" s="2">
        <v>2.0563199999999999</v>
      </c>
      <c r="AE178" s="2">
        <v>2.0670000000000001E-2</v>
      </c>
      <c r="AF178" s="2">
        <v>-3.116E-2</v>
      </c>
      <c r="AG178" s="2">
        <v>0</v>
      </c>
      <c r="AH178" s="2">
        <v>0</v>
      </c>
      <c r="AI178" s="2">
        <v>0</v>
      </c>
      <c r="AJ178" s="2">
        <f t="shared" si="28"/>
        <v>0</v>
      </c>
      <c r="AK178" s="2">
        <f t="shared" si="29"/>
        <v>20.371859999999998</v>
      </c>
      <c r="AL178" s="2">
        <f t="shared" si="30"/>
        <v>2.04583</v>
      </c>
      <c r="AM178" s="2">
        <f t="shared" si="31"/>
        <v>0</v>
      </c>
      <c r="AN178" s="2">
        <f t="shared" si="34"/>
        <v>0</v>
      </c>
      <c r="AO178" s="2">
        <f t="shared" si="35"/>
        <v>22.417689999999997</v>
      </c>
    </row>
    <row r="179" spans="1:41" x14ac:dyDescent="0.35">
      <c r="A179" t="s">
        <v>32</v>
      </c>
      <c r="B179" s="4">
        <v>9940560220</v>
      </c>
      <c r="C179" t="s">
        <v>217</v>
      </c>
      <c r="D179" t="s">
        <v>230</v>
      </c>
      <c r="E179" t="s">
        <v>26</v>
      </c>
      <c r="F179" s="2"/>
      <c r="G179" s="2"/>
      <c r="H179" s="2"/>
      <c r="I179" s="2"/>
      <c r="J179" s="2">
        <v>0</v>
      </c>
      <c r="K179" s="2">
        <v>42.594200000000001</v>
      </c>
      <c r="L179" s="2">
        <v>1.5523400000000001</v>
      </c>
      <c r="M179" s="2">
        <v>0</v>
      </c>
      <c r="N179" s="2">
        <v>0</v>
      </c>
      <c r="O179" s="2">
        <v>0</v>
      </c>
      <c r="P179" s="2"/>
      <c r="Q179" s="2"/>
      <c r="R179" s="2">
        <f t="shared" si="24"/>
        <v>0</v>
      </c>
      <c r="S179" s="2">
        <f t="shared" si="25"/>
        <v>42.594200000000001</v>
      </c>
      <c r="T179" s="2">
        <f t="shared" si="26"/>
        <v>1.5523400000000001</v>
      </c>
      <c r="U179" s="2">
        <f t="shared" si="27"/>
        <v>0</v>
      </c>
      <c r="V179" s="2">
        <f t="shared" si="32"/>
        <v>0</v>
      </c>
      <c r="W179" s="2">
        <f t="shared" si="33"/>
        <v>44.146540000000002</v>
      </c>
      <c r="X179" s="2"/>
      <c r="Y179" s="2"/>
      <c r="Z179" s="2"/>
      <c r="AA179" s="2"/>
      <c r="AB179" s="2">
        <v>0</v>
      </c>
      <c r="AC179" s="2">
        <v>18.62696</v>
      </c>
      <c r="AD179" s="2">
        <v>-1.5910000000000001E-2</v>
      </c>
      <c r="AE179" s="2">
        <v>0</v>
      </c>
      <c r="AF179" s="2">
        <v>0</v>
      </c>
      <c r="AG179" s="2">
        <v>0</v>
      </c>
      <c r="AH179" s="2"/>
      <c r="AI179" s="2"/>
      <c r="AJ179" s="2">
        <f t="shared" si="28"/>
        <v>0</v>
      </c>
      <c r="AK179" s="2">
        <f t="shared" si="29"/>
        <v>18.62696</v>
      </c>
      <c r="AL179" s="2">
        <f t="shared" si="30"/>
        <v>-1.5910000000000001E-2</v>
      </c>
      <c r="AM179" s="2">
        <f t="shared" si="31"/>
        <v>0</v>
      </c>
      <c r="AN179" s="2">
        <f t="shared" si="34"/>
        <v>0</v>
      </c>
      <c r="AO179" s="2">
        <f t="shared" si="35"/>
        <v>18.611049999999999</v>
      </c>
    </row>
    <row r="180" spans="1:41" x14ac:dyDescent="0.35">
      <c r="A180" t="s">
        <v>32</v>
      </c>
      <c r="B180" s="4">
        <v>9940569550</v>
      </c>
      <c r="C180" t="s">
        <v>218</v>
      </c>
      <c r="D180" t="s">
        <v>231</v>
      </c>
      <c r="E180" t="s">
        <v>26</v>
      </c>
      <c r="F180" s="2"/>
      <c r="G180" s="2"/>
      <c r="H180" s="2"/>
      <c r="I180" s="2"/>
      <c r="J180" s="2"/>
      <c r="K180" s="2"/>
      <c r="L180" s="2">
        <v>0</v>
      </c>
      <c r="M180" s="2">
        <v>28.878869999999999</v>
      </c>
      <c r="N180" s="2">
        <v>68.907550000000001</v>
      </c>
      <c r="O180" s="2">
        <v>82.534949999999995</v>
      </c>
      <c r="P180" s="2">
        <v>13.219284</v>
      </c>
      <c r="Q180" s="2">
        <v>11.391654000000001</v>
      </c>
      <c r="R180" s="2">
        <f t="shared" si="24"/>
        <v>0</v>
      </c>
      <c r="S180" s="2">
        <f t="shared" si="25"/>
        <v>0</v>
      </c>
      <c r="T180" s="2">
        <f t="shared" si="26"/>
        <v>97.786419999999993</v>
      </c>
      <c r="U180" s="2">
        <f t="shared" si="27"/>
        <v>107.145888</v>
      </c>
      <c r="V180" s="2">
        <f t="shared" si="32"/>
        <v>24.610938000000001</v>
      </c>
      <c r="W180" s="2">
        <f t="shared" si="33"/>
        <v>204.93230799999998</v>
      </c>
      <c r="X180" s="2"/>
      <c r="Y180" s="2"/>
      <c r="Z180" s="2"/>
      <c r="AA180" s="2"/>
      <c r="AB180" s="2"/>
      <c r="AC180" s="2"/>
      <c r="AD180" s="2">
        <v>0</v>
      </c>
      <c r="AE180" s="2">
        <v>11.209910000000001</v>
      </c>
      <c r="AF180" s="2">
        <v>24.547219999999999</v>
      </c>
      <c r="AG180" s="2">
        <v>26.846630000000001</v>
      </c>
      <c r="AH180" s="2">
        <v>3.5341320000000001</v>
      </c>
      <c r="AI180" s="2">
        <v>3.4736940000000001</v>
      </c>
      <c r="AJ180" s="2">
        <f t="shared" si="28"/>
        <v>0</v>
      </c>
      <c r="AK180" s="2">
        <f t="shared" si="29"/>
        <v>0</v>
      </c>
      <c r="AL180" s="2">
        <f t="shared" si="30"/>
        <v>35.757130000000004</v>
      </c>
      <c r="AM180" s="2">
        <f t="shared" si="31"/>
        <v>33.854455999999999</v>
      </c>
      <c r="AN180" s="2">
        <f t="shared" si="34"/>
        <v>7.0078259999999997</v>
      </c>
      <c r="AO180" s="2">
        <f t="shared" si="35"/>
        <v>69.611586000000003</v>
      </c>
    </row>
    <row r="181" spans="1:41" x14ac:dyDescent="0.35">
      <c r="A181" t="s">
        <v>281</v>
      </c>
      <c r="B181" s="4">
        <v>9940566814</v>
      </c>
      <c r="C181" t="s">
        <v>120</v>
      </c>
      <c r="D181" t="s">
        <v>232</v>
      </c>
      <c r="E181" t="s">
        <v>26</v>
      </c>
      <c r="F181" s="2">
        <v>18.806950000000001</v>
      </c>
      <c r="G181" s="2">
        <v>18.806950000000001</v>
      </c>
      <c r="H181" s="2">
        <v>6.5169600000000001</v>
      </c>
      <c r="I181" s="2">
        <v>4.4527599999999996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f t="shared" si="24"/>
        <v>44.130859999999998</v>
      </c>
      <c r="S181" s="2">
        <f t="shared" si="25"/>
        <v>4.4527599999999996</v>
      </c>
      <c r="T181" s="2">
        <f t="shared" si="26"/>
        <v>0</v>
      </c>
      <c r="U181" s="2">
        <f t="shared" si="27"/>
        <v>0</v>
      </c>
      <c r="V181" s="2">
        <f t="shared" si="32"/>
        <v>0</v>
      </c>
      <c r="W181" s="2">
        <f t="shared" si="33"/>
        <v>48.583619999999996</v>
      </c>
      <c r="X181" s="2">
        <v>6.0934600000000003</v>
      </c>
      <c r="Y181" s="2">
        <v>6.0934600000000003</v>
      </c>
      <c r="Z181" s="2">
        <v>2.1114999999999999</v>
      </c>
      <c r="AA181" s="2">
        <v>2.1406999999999998</v>
      </c>
      <c r="AB181" s="2">
        <v>-0.73968999999999996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f t="shared" si="28"/>
        <v>14.29842</v>
      </c>
      <c r="AK181" s="2">
        <f t="shared" si="29"/>
        <v>1.4010099999999999</v>
      </c>
      <c r="AL181" s="2">
        <f t="shared" si="30"/>
        <v>0</v>
      </c>
      <c r="AM181" s="2">
        <f t="shared" si="31"/>
        <v>0</v>
      </c>
      <c r="AN181" s="2">
        <f t="shared" si="34"/>
        <v>0</v>
      </c>
      <c r="AO181" s="2">
        <f t="shared" si="35"/>
        <v>15.69943</v>
      </c>
    </row>
    <row r="182" spans="1:41" x14ac:dyDescent="0.35">
      <c r="A182" t="s">
        <v>281</v>
      </c>
      <c r="B182" s="4">
        <v>9940558396</v>
      </c>
      <c r="C182" t="s">
        <v>41</v>
      </c>
      <c r="D182" t="s">
        <v>222</v>
      </c>
      <c r="E182" t="s">
        <v>26</v>
      </c>
      <c r="F182" s="2">
        <v>49.085068999999997</v>
      </c>
      <c r="G182" s="2">
        <v>48.171489000000001</v>
      </c>
      <c r="H182" s="2">
        <v>50.726368000000001</v>
      </c>
      <c r="I182" s="2">
        <v>38.258738000000001</v>
      </c>
      <c r="J182" s="2">
        <v>38.578626999999997</v>
      </c>
      <c r="K182" s="2">
        <v>53.935934000000003</v>
      </c>
      <c r="L182" s="2">
        <v>37.044699999999999</v>
      </c>
      <c r="M182" s="2">
        <v>26.681619000000001</v>
      </c>
      <c r="N182" s="2">
        <v>33.281699000000003</v>
      </c>
      <c r="O182" s="2">
        <v>34.298077999999997</v>
      </c>
      <c r="P182" s="2">
        <v>31.675402999999999</v>
      </c>
      <c r="Q182" s="2">
        <v>26.901633</v>
      </c>
      <c r="R182" s="2">
        <f t="shared" si="24"/>
        <v>147.98292599999999</v>
      </c>
      <c r="S182" s="2">
        <f t="shared" si="25"/>
        <v>130.77329900000001</v>
      </c>
      <c r="T182" s="2">
        <f t="shared" si="26"/>
        <v>97.008018000000007</v>
      </c>
      <c r="U182" s="2">
        <f t="shared" si="27"/>
        <v>92.875113999999996</v>
      </c>
      <c r="V182" s="2">
        <f t="shared" si="32"/>
        <v>58.577036</v>
      </c>
      <c r="W182" s="2">
        <f t="shared" si="33"/>
        <v>468.63935699999996</v>
      </c>
      <c r="X182" s="2">
        <v>18.150100999999999</v>
      </c>
      <c r="Y182" s="2">
        <v>18.506029999999999</v>
      </c>
      <c r="Z182" s="2">
        <v>19.298808000000001</v>
      </c>
      <c r="AA182" s="2">
        <v>14.184834</v>
      </c>
      <c r="AB182" s="2">
        <v>14.82077</v>
      </c>
      <c r="AC182" s="2">
        <v>21.281603</v>
      </c>
      <c r="AD182" s="2">
        <v>15.01202</v>
      </c>
      <c r="AE182" s="2">
        <v>10.219244</v>
      </c>
      <c r="AF182" s="2">
        <v>9.2774269999999994</v>
      </c>
      <c r="AG182" s="2">
        <v>9.6612019999999994</v>
      </c>
      <c r="AH182" s="2">
        <v>11.952734</v>
      </c>
      <c r="AI182" s="2">
        <v>9.5112620000000003</v>
      </c>
      <c r="AJ182" s="2">
        <f t="shared" si="28"/>
        <v>55.954939000000003</v>
      </c>
      <c r="AK182" s="2">
        <f t="shared" si="29"/>
        <v>50.287206999999995</v>
      </c>
      <c r="AL182" s="2">
        <f t="shared" si="30"/>
        <v>34.508690999999999</v>
      </c>
      <c r="AM182" s="2">
        <f t="shared" si="31"/>
        <v>31.125197999999997</v>
      </c>
      <c r="AN182" s="2">
        <f t="shared" si="34"/>
        <v>21.463996000000002</v>
      </c>
      <c r="AO182" s="2">
        <f t="shared" si="35"/>
        <v>171.876035</v>
      </c>
    </row>
    <row r="183" spans="1:41" x14ac:dyDescent="0.35">
      <c r="A183" t="s">
        <v>281</v>
      </c>
      <c r="B183" s="4">
        <v>9940488298</v>
      </c>
      <c r="C183" t="s">
        <v>45</v>
      </c>
      <c r="D183" t="s">
        <v>225</v>
      </c>
      <c r="E183" t="s">
        <v>26</v>
      </c>
      <c r="F183" s="2">
        <v>201.18608510000001</v>
      </c>
      <c r="G183" s="2">
        <v>144.0554808</v>
      </c>
      <c r="H183" s="2">
        <v>129.62719000000001</v>
      </c>
      <c r="I183" s="2">
        <v>96.280584399999995</v>
      </c>
      <c r="J183" s="2">
        <v>98.245077699999996</v>
      </c>
      <c r="K183" s="2">
        <v>98.269394300000002</v>
      </c>
      <c r="L183" s="2">
        <v>98.298223100000001</v>
      </c>
      <c r="M183" s="2">
        <v>98.449897699999994</v>
      </c>
      <c r="N183" s="2">
        <v>98.682845799999996</v>
      </c>
      <c r="O183" s="2">
        <v>99.261862699999995</v>
      </c>
      <c r="P183" s="2">
        <v>99.5122128</v>
      </c>
      <c r="Q183" s="2">
        <v>99.970524499999996</v>
      </c>
      <c r="R183" s="2">
        <f t="shared" si="24"/>
        <v>474.8687559</v>
      </c>
      <c r="S183" s="2">
        <f t="shared" si="25"/>
        <v>292.79505639999996</v>
      </c>
      <c r="T183" s="2">
        <f t="shared" si="26"/>
        <v>295.43096659999998</v>
      </c>
      <c r="U183" s="2">
        <f t="shared" si="27"/>
        <v>298.74459999999999</v>
      </c>
      <c r="V183" s="2">
        <f t="shared" si="32"/>
        <v>199.4827373</v>
      </c>
      <c r="W183" s="2">
        <f t="shared" si="33"/>
        <v>1361.8393788999999</v>
      </c>
      <c r="X183" s="2">
        <v>-19.272630299999999</v>
      </c>
      <c r="Y183" s="2">
        <v>-31.190351499999998</v>
      </c>
      <c r="Z183" s="2">
        <v>19.699425900000001</v>
      </c>
      <c r="AA183" s="2">
        <v>35.055851599999997</v>
      </c>
      <c r="AB183" s="2">
        <v>36.316649599999998</v>
      </c>
      <c r="AC183" s="2">
        <v>35.690570299999997</v>
      </c>
      <c r="AD183" s="2">
        <v>35.0344148</v>
      </c>
      <c r="AE183" s="2">
        <v>33.470637199999999</v>
      </c>
      <c r="AF183" s="2">
        <v>32.620310799999999</v>
      </c>
      <c r="AG183" s="2">
        <v>27.605878300000001</v>
      </c>
      <c r="AH183" s="2">
        <v>27.434599500000001</v>
      </c>
      <c r="AI183" s="2">
        <v>26.568973199999999</v>
      </c>
      <c r="AJ183" s="2">
        <f t="shared" si="28"/>
        <v>-30.763555899999993</v>
      </c>
      <c r="AK183" s="2">
        <f t="shared" si="29"/>
        <v>107.06307149999998</v>
      </c>
      <c r="AL183" s="2">
        <f t="shared" si="30"/>
        <v>101.1253628</v>
      </c>
      <c r="AM183" s="2">
        <f t="shared" si="31"/>
        <v>81.609451000000007</v>
      </c>
      <c r="AN183" s="2">
        <f t="shared" si="34"/>
        <v>54.003572699999999</v>
      </c>
      <c r="AO183" s="2">
        <f t="shared" si="35"/>
        <v>259.03432939999999</v>
      </c>
    </row>
    <row r="184" spans="1:41" x14ac:dyDescent="0.35">
      <c r="A184" t="s">
        <v>281</v>
      </c>
      <c r="B184" s="4">
        <v>9940533037</v>
      </c>
      <c r="C184" t="s">
        <v>51</v>
      </c>
      <c r="D184" t="s">
        <v>228</v>
      </c>
      <c r="E184" t="s">
        <v>26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f t="shared" si="24"/>
        <v>0</v>
      </c>
      <c r="S184" s="2">
        <f t="shared" si="25"/>
        <v>0</v>
      </c>
      <c r="T184" s="2">
        <f t="shared" si="26"/>
        <v>0</v>
      </c>
      <c r="U184" s="2">
        <f t="shared" si="27"/>
        <v>0</v>
      </c>
      <c r="V184" s="2">
        <f t="shared" si="32"/>
        <v>0</v>
      </c>
      <c r="W184" s="2">
        <f t="shared" si="33"/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f t="shared" si="28"/>
        <v>0</v>
      </c>
      <c r="AK184" s="2">
        <f t="shared" si="29"/>
        <v>0</v>
      </c>
      <c r="AL184" s="2">
        <f t="shared" si="30"/>
        <v>0</v>
      </c>
      <c r="AM184" s="2">
        <f t="shared" si="31"/>
        <v>0</v>
      </c>
      <c r="AN184" s="2">
        <f t="shared" si="34"/>
        <v>0</v>
      </c>
      <c r="AO184" s="2">
        <f t="shared" si="35"/>
        <v>0</v>
      </c>
    </row>
    <row r="185" spans="1:41" x14ac:dyDescent="0.35">
      <c r="A185" t="s">
        <v>281</v>
      </c>
      <c r="B185" s="4">
        <v>9940533180</v>
      </c>
      <c r="C185" t="s">
        <v>52</v>
      </c>
      <c r="D185" t="s">
        <v>229</v>
      </c>
      <c r="E185" t="s">
        <v>26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f t="shared" si="24"/>
        <v>0</v>
      </c>
      <c r="S185" s="2">
        <f t="shared" si="25"/>
        <v>0</v>
      </c>
      <c r="T185" s="2">
        <f t="shared" si="26"/>
        <v>0</v>
      </c>
      <c r="U185" s="2">
        <f t="shared" si="27"/>
        <v>0</v>
      </c>
      <c r="V185" s="2">
        <f t="shared" si="32"/>
        <v>0</v>
      </c>
      <c r="W185" s="2">
        <f t="shared" si="33"/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f t="shared" si="28"/>
        <v>0</v>
      </c>
      <c r="AK185" s="2">
        <f t="shared" si="29"/>
        <v>0</v>
      </c>
      <c r="AL185" s="2">
        <f t="shared" si="30"/>
        <v>0</v>
      </c>
      <c r="AM185" s="2">
        <f t="shared" si="31"/>
        <v>0</v>
      </c>
      <c r="AN185" s="2">
        <f t="shared" si="34"/>
        <v>0</v>
      </c>
      <c r="AO185" s="2">
        <f t="shared" si="35"/>
        <v>0</v>
      </c>
    </row>
    <row r="186" spans="1:41" x14ac:dyDescent="0.35">
      <c r="A186" t="s">
        <v>281</v>
      </c>
      <c r="B186" s="4">
        <v>9940473365</v>
      </c>
      <c r="C186" t="s">
        <v>55</v>
      </c>
      <c r="D186" t="s">
        <v>231</v>
      </c>
      <c r="E186" t="s">
        <v>26</v>
      </c>
      <c r="F186" s="2">
        <v>68.942895399999998</v>
      </c>
      <c r="G186" s="2">
        <v>69.1464778</v>
      </c>
      <c r="H186" s="2">
        <v>69.310698099999996</v>
      </c>
      <c r="I186" s="2">
        <v>70.102550500000007</v>
      </c>
      <c r="J186" s="2">
        <v>68.021152900000004</v>
      </c>
      <c r="K186" s="2">
        <v>67.733165299999996</v>
      </c>
      <c r="L186" s="2">
        <v>67.461827700000001</v>
      </c>
      <c r="M186" s="2">
        <v>67.042840100000006</v>
      </c>
      <c r="N186" s="2">
        <v>66.636102500000007</v>
      </c>
      <c r="O186" s="2">
        <v>67.791414900000007</v>
      </c>
      <c r="P186" s="2">
        <v>68.452037300000001</v>
      </c>
      <c r="Q186" s="2">
        <v>69.284239700000001</v>
      </c>
      <c r="R186" s="2">
        <f t="shared" si="24"/>
        <v>207.40007130000001</v>
      </c>
      <c r="S186" s="2">
        <f t="shared" si="25"/>
        <v>205.85686870000001</v>
      </c>
      <c r="T186" s="2">
        <f t="shared" si="26"/>
        <v>201.14077029999999</v>
      </c>
      <c r="U186" s="2">
        <f t="shared" si="27"/>
        <v>205.52769190000001</v>
      </c>
      <c r="V186" s="2">
        <f t="shared" si="32"/>
        <v>137.736277</v>
      </c>
      <c r="W186" s="2">
        <f t="shared" si="33"/>
        <v>819.92540220000001</v>
      </c>
      <c r="X186" s="2">
        <v>-26.2042419</v>
      </c>
      <c r="Y186" s="2">
        <v>-25.545225599999998</v>
      </c>
      <c r="Z186" s="2">
        <v>-24.921336100000001</v>
      </c>
      <c r="AA186" s="2">
        <v>-23.6637792</v>
      </c>
      <c r="AB186" s="2">
        <v>-25.2811749</v>
      </c>
      <c r="AC186" s="2">
        <v>-25.066253199999998</v>
      </c>
      <c r="AD186" s="2">
        <v>-24.8498962</v>
      </c>
      <c r="AE186" s="2">
        <v>-24.7758018</v>
      </c>
      <c r="AF186" s="2">
        <v>-24.682172099999999</v>
      </c>
      <c r="AG186" s="2">
        <v>-23.021045000000001</v>
      </c>
      <c r="AH186" s="2">
        <v>-21.867160500000001</v>
      </c>
      <c r="AI186" s="2">
        <v>-20.530370699999999</v>
      </c>
      <c r="AJ186" s="2">
        <f t="shared" si="28"/>
        <v>-76.670803599999999</v>
      </c>
      <c r="AK186" s="2">
        <f t="shared" si="29"/>
        <v>-74.011207299999995</v>
      </c>
      <c r="AL186" s="2">
        <f t="shared" si="30"/>
        <v>-74.307870100000002</v>
      </c>
      <c r="AM186" s="2">
        <f t="shared" si="31"/>
        <v>-65.41857619999999</v>
      </c>
      <c r="AN186" s="2">
        <f t="shared" si="34"/>
        <v>-42.397531200000003</v>
      </c>
      <c r="AO186" s="2">
        <f t="shared" si="35"/>
        <v>-290.40845719999999</v>
      </c>
    </row>
    <row r="187" spans="1:41" x14ac:dyDescent="0.35">
      <c r="A187" t="s">
        <v>281</v>
      </c>
      <c r="B187" s="4">
        <v>9940490800</v>
      </c>
      <c r="C187" t="s">
        <v>61</v>
      </c>
      <c r="D187" t="s">
        <v>234</v>
      </c>
      <c r="E187" t="s">
        <v>26</v>
      </c>
      <c r="F187" s="2">
        <v>118.5468438</v>
      </c>
      <c r="G187" s="2">
        <v>108.20230960000001</v>
      </c>
      <c r="H187" s="2">
        <v>102.0626992</v>
      </c>
      <c r="I187" s="2">
        <v>97.630540699999997</v>
      </c>
      <c r="J187" s="2">
        <v>48.653751300000003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f t="shared" si="24"/>
        <v>328.81185260000001</v>
      </c>
      <c r="S187" s="2">
        <f t="shared" si="25"/>
        <v>146.28429199999999</v>
      </c>
      <c r="T187" s="2">
        <f t="shared" si="26"/>
        <v>0</v>
      </c>
      <c r="U187" s="2">
        <f t="shared" si="27"/>
        <v>0</v>
      </c>
      <c r="V187" s="2">
        <f t="shared" si="32"/>
        <v>0</v>
      </c>
      <c r="W187" s="2">
        <f t="shared" si="33"/>
        <v>475.0961446</v>
      </c>
      <c r="X187" s="2">
        <v>44.116772699999999</v>
      </c>
      <c r="Y187" s="2">
        <v>33.866178499999997</v>
      </c>
      <c r="Z187" s="2">
        <v>37.060261699999998</v>
      </c>
      <c r="AA187" s="2">
        <v>34.590579099999999</v>
      </c>
      <c r="AB187" s="2">
        <v>-11.5618888</v>
      </c>
      <c r="AC187" s="2">
        <v>-47.567573899999999</v>
      </c>
      <c r="AD187" s="2">
        <v>-3.5993111</v>
      </c>
      <c r="AE187" s="2">
        <v>-2.9054025000000001</v>
      </c>
      <c r="AF187" s="2">
        <v>-0.25356099999999998</v>
      </c>
      <c r="AG187" s="2">
        <v>-0.2474857</v>
      </c>
      <c r="AH187" s="2">
        <v>-0.23000670000000001</v>
      </c>
      <c r="AI187" s="2">
        <v>0</v>
      </c>
      <c r="AJ187" s="2">
        <f t="shared" si="28"/>
        <v>115.0432129</v>
      </c>
      <c r="AK187" s="2">
        <f t="shared" si="29"/>
        <v>-24.538883599999998</v>
      </c>
      <c r="AL187" s="2">
        <f t="shared" si="30"/>
        <v>-6.7582746000000009</v>
      </c>
      <c r="AM187" s="2">
        <f t="shared" si="31"/>
        <v>-0.47749240000000004</v>
      </c>
      <c r="AN187" s="2">
        <f t="shared" si="34"/>
        <v>-0.23000670000000001</v>
      </c>
      <c r="AO187" s="2">
        <f t="shared" si="35"/>
        <v>83.268562299999985</v>
      </c>
    </row>
    <row r="188" spans="1:41" x14ac:dyDescent="0.35">
      <c r="A188" t="s">
        <v>281</v>
      </c>
      <c r="B188" s="4">
        <v>9940477325</v>
      </c>
      <c r="C188" t="s">
        <v>67</v>
      </c>
      <c r="D188" t="s">
        <v>237</v>
      </c>
      <c r="E188" t="s">
        <v>26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f t="shared" si="24"/>
        <v>0</v>
      </c>
      <c r="S188" s="2">
        <f t="shared" si="25"/>
        <v>0</v>
      </c>
      <c r="T188" s="2">
        <f t="shared" si="26"/>
        <v>0</v>
      </c>
      <c r="U188" s="2">
        <f t="shared" si="27"/>
        <v>0</v>
      </c>
      <c r="V188" s="2">
        <f t="shared" si="32"/>
        <v>0</v>
      </c>
      <c r="W188" s="2">
        <f t="shared" si="33"/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f t="shared" si="28"/>
        <v>0</v>
      </c>
      <c r="AK188" s="2">
        <f t="shared" si="29"/>
        <v>0</v>
      </c>
      <c r="AL188" s="2">
        <f t="shared" si="30"/>
        <v>0</v>
      </c>
      <c r="AM188" s="2">
        <f t="shared" si="31"/>
        <v>0</v>
      </c>
      <c r="AN188" s="2">
        <f t="shared" si="34"/>
        <v>0</v>
      </c>
      <c r="AO188" s="2">
        <f t="shared" si="35"/>
        <v>0</v>
      </c>
    </row>
    <row r="189" spans="1:41" x14ac:dyDescent="0.35">
      <c r="A189" t="s">
        <v>32</v>
      </c>
      <c r="B189" s="4">
        <v>9940567777</v>
      </c>
      <c r="C189" t="s">
        <v>153</v>
      </c>
      <c r="D189" t="s">
        <v>232</v>
      </c>
      <c r="E189" t="s">
        <v>26</v>
      </c>
      <c r="F189" s="2"/>
      <c r="G189" s="2"/>
      <c r="H189" s="2"/>
      <c r="I189" s="2"/>
      <c r="J189" s="2"/>
      <c r="K189" s="2"/>
      <c r="L189" s="2">
        <v>25.079809999999998</v>
      </c>
      <c r="M189" s="2">
        <v>15.78898</v>
      </c>
      <c r="N189" s="2">
        <v>7.6873800000000001</v>
      </c>
      <c r="O189" s="2">
        <v>10.168710000000001</v>
      </c>
      <c r="P189" s="2">
        <v>10.83211</v>
      </c>
      <c r="Q189" s="2">
        <v>10.107989999999999</v>
      </c>
      <c r="R189" s="2">
        <f t="shared" si="24"/>
        <v>0</v>
      </c>
      <c r="S189" s="2">
        <f t="shared" si="25"/>
        <v>0</v>
      </c>
      <c r="T189" s="2">
        <f t="shared" si="26"/>
        <v>48.556169999999995</v>
      </c>
      <c r="U189" s="2">
        <f t="shared" si="27"/>
        <v>31.108809999999998</v>
      </c>
      <c r="V189" s="2">
        <f t="shared" si="32"/>
        <v>20.940100000000001</v>
      </c>
      <c r="W189" s="2">
        <f t="shared" si="33"/>
        <v>79.664979999999986</v>
      </c>
      <c r="X189" s="2"/>
      <c r="Y189" s="2"/>
      <c r="Z189" s="2"/>
      <c r="AA189" s="2"/>
      <c r="AB189" s="2"/>
      <c r="AC189" s="2"/>
      <c r="AD189" s="2">
        <v>8.9058899999999994</v>
      </c>
      <c r="AE189" s="2">
        <v>5.6480300000000003</v>
      </c>
      <c r="AF189" s="2">
        <v>1.02352</v>
      </c>
      <c r="AG189" s="2">
        <v>3.2250100000000002</v>
      </c>
      <c r="AH189" s="2">
        <v>3.7756400000000001</v>
      </c>
      <c r="AI189" s="2">
        <v>3.5066600000000001</v>
      </c>
      <c r="AJ189" s="2">
        <f t="shared" si="28"/>
        <v>0</v>
      </c>
      <c r="AK189" s="2">
        <f t="shared" si="29"/>
        <v>0</v>
      </c>
      <c r="AL189" s="2">
        <f t="shared" si="30"/>
        <v>15.577439999999999</v>
      </c>
      <c r="AM189" s="2">
        <f t="shared" si="31"/>
        <v>10.50731</v>
      </c>
      <c r="AN189" s="2">
        <f t="shared" si="34"/>
        <v>7.2823000000000002</v>
      </c>
      <c r="AO189" s="2">
        <f t="shared" si="35"/>
        <v>26.08475</v>
      </c>
    </row>
    <row r="190" spans="1:41" x14ac:dyDescent="0.35">
      <c r="A190" t="s">
        <v>281</v>
      </c>
      <c r="B190" s="4">
        <v>9940547100</v>
      </c>
      <c r="C190" t="s">
        <v>69</v>
      </c>
      <c r="D190" t="s">
        <v>235</v>
      </c>
      <c r="E190" t="s">
        <v>26</v>
      </c>
      <c r="F190" s="2">
        <v>4.2035299999999998</v>
      </c>
      <c r="G190" s="2">
        <v>4.2035299999999998</v>
      </c>
      <c r="H190" s="2">
        <v>4.2035299999999998</v>
      </c>
      <c r="I190" s="2">
        <v>4.2035299999999998</v>
      </c>
      <c r="J190" s="2">
        <v>4.2035299999999998</v>
      </c>
      <c r="K190" s="2">
        <v>4.2035299999999998</v>
      </c>
      <c r="L190" s="2">
        <v>4.2035299999999998</v>
      </c>
      <c r="M190" s="2">
        <v>4.2035299999999998</v>
      </c>
      <c r="N190" s="2">
        <v>4.2035299999999998</v>
      </c>
      <c r="O190" s="2">
        <v>4.2035299999999998</v>
      </c>
      <c r="P190" s="2">
        <v>4.2035299999999998</v>
      </c>
      <c r="Q190" s="2">
        <v>4.2035299999999998</v>
      </c>
      <c r="R190" s="2">
        <f t="shared" si="24"/>
        <v>12.610589999999998</v>
      </c>
      <c r="S190" s="2">
        <f t="shared" si="25"/>
        <v>12.610589999999998</v>
      </c>
      <c r="T190" s="2">
        <f t="shared" si="26"/>
        <v>12.610589999999998</v>
      </c>
      <c r="U190" s="2">
        <f t="shared" si="27"/>
        <v>12.610589999999998</v>
      </c>
      <c r="V190" s="2">
        <f t="shared" si="32"/>
        <v>8.4070599999999995</v>
      </c>
      <c r="W190" s="2">
        <f t="shared" si="33"/>
        <v>50.442359999999994</v>
      </c>
      <c r="X190" s="2">
        <v>3.84761</v>
      </c>
      <c r="Y190" s="2">
        <v>3.8118699999999999</v>
      </c>
      <c r="Z190" s="2">
        <v>3.7761300000000002</v>
      </c>
      <c r="AA190" s="2">
        <v>3.7403900000000001</v>
      </c>
      <c r="AB190" s="2">
        <v>3.70465</v>
      </c>
      <c r="AC190" s="2">
        <v>3.66893</v>
      </c>
      <c r="AD190" s="2">
        <v>3.6331899999999999</v>
      </c>
      <c r="AE190" s="2">
        <v>3.5974499999999998</v>
      </c>
      <c r="AF190" s="2">
        <v>3.5617100000000002</v>
      </c>
      <c r="AG190" s="2">
        <v>3.52597</v>
      </c>
      <c r="AH190" s="2">
        <v>3.49024</v>
      </c>
      <c r="AI190" s="2">
        <v>3.4544999999999999</v>
      </c>
      <c r="AJ190" s="2">
        <f t="shared" si="28"/>
        <v>11.43561</v>
      </c>
      <c r="AK190" s="2">
        <f t="shared" si="29"/>
        <v>11.11397</v>
      </c>
      <c r="AL190" s="2">
        <f t="shared" si="30"/>
        <v>10.792349999999999</v>
      </c>
      <c r="AM190" s="2">
        <f t="shared" si="31"/>
        <v>10.47071</v>
      </c>
      <c r="AN190" s="2">
        <f t="shared" si="34"/>
        <v>6.9447399999999995</v>
      </c>
      <c r="AO190" s="2">
        <f t="shared" si="35"/>
        <v>43.812640000000002</v>
      </c>
    </row>
    <row r="191" spans="1:41" x14ac:dyDescent="0.35">
      <c r="A191" t="s">
        <v>281</v>
      </c>
      <c r="B191" s="4">
        <v>9940565208</v>
      </c>
      <c r="C191" t="s">
        <v>78</v>
      </c>
      <c r="D191" t="s">
        <v>243</v>
      </c>
      <c r="E191" t="s">
        <v>26</v>
      </c>
      <c r="F191" s="2">
        <v>187.14467999999999</v>
      </c>
      <c r="G191" s="2">
        <v>189.06827999999999</v>
      </c>
      <c r="H191" s="2">
        <v>176.99521999999999</v>
      </c>
      <c r="I191" s="2">
        <v>159.49844999999999</v>
      </c>
      <c r="J191" s="2">
        <v>180.07300000000001</v>
      </c>
      <c r="K191" s="2">
        <v>172.11152999999999</v>
      </c>
      <c r="L191" s="2">
        <v>196.38570999999999</v>
      </c>
      <c r="M191" s="2">
        <v>188.42420000000001</v>
      </c>
      <c r="N191" s="2">
        <v>181.24216999999999</v>
      </c>
      <c r="O191" s="2">
        <v>197.15442999999999</v>
      </c>
      <c r="P191" s="2">
        <v>197.42204000000001</v>
      </c>
      <c r="Q191" s="2">
        <v>195.28117</v>
      </c>
      <c r="R191" s="2">
        <f t="shared" si="24"/>
        <v>553.20817999999997</v>
      </c>
      <c r="S191" s="2">
        <f t="shared" si="25"/>
        <v>511.68298000000004</v>
      </c>
      <c r="T191" s="2">
        <f t="shared" si="26"/>
        <v>566.05207999999993</v>
      </c>
      <c r="U191" s="2">
        <f t="shared" si="27"/>
        <v>589.85763999999995</v>
      </c>
      <c r="V191" s="2">
        <f t="shared" si="32"/>
        <v>392.70321000000001</v>
      </c>
      <c r="W191" s="2">
        <f t="shared" si="33"/>
        <v>2220.8008799999998</v>
      </c>
      <c r="X191" s="2">
        <v>91.286799999999999</v>
      </c>
      <c r="Y191" s="2">
        <v>94.402159999999995</v>
      </c>
      <c r="Z191" s="2">
        <v>83.728880000000004</v>
      </c>
      <c r="AA191" s="2">
        <v>76.276949999999999</v>
      </c>
      <c r="AB191" s="2">
        <v>89.50761</v>
      </c>
      <c r="AC191" s="2">
        <v>80.510059999999996</v>
      </c>
      <c r="AD191" s="2">
        <v>94.939750000000004</v>
      </c>
      <c r="AE191" s="2">
        <v>93.039349999999999</v>
      </c>
      <c r="AF191" s="2">
        <v>84.274039999999999</v>
      </c>
      <c r="AG191" s="2">
        <v>93.895759999999996</v>
      </c>
      <c r="AH191" s="2">
        <v>96.274720000000002</v>
      </c>
      <c r="AI191" s="2">
        <v>90.467759999999998</v>
      </c>
      <c r="AJ191" s="2">
        <f t="shared" si="28"/>
        <v>269.41784000000001</v>
      </c>
      <c r="AK191" s="2">
        <f t="shared" si="29"/>
        <v>246.29462000000001</v>
      </c>
      <c r="AL191" s="2">
        <f t="shared" si="30"/>
        <v>272.25314000000003</v>
      </c>
      <c r="AM191" s="2">
        <f t="shared" si="31"/>
        <v>280.63824</v>
      </c>
      <c r="AN191" s="2">
        <f t="shared" si="34"/>
        <v>186.74248</v>
      </c>
      <c r="AO191" s="2">
        <f t="shared" si="35"/>
        <v>1068.60384</v>
      </c>
    </row>
    <row r="192" spans="1:41" x14ac:dyDescent="0.35">
      <c r="A192" t="s">
        <v>281</v>
      </c>
      <c r="B192" s="4">
        <v>9940574084</v>
      </c>
      <c r="C192" t="s">
        <v>79</v>
      </c>
      <c r="D192" t="s">
        <v>225</v>
      </c>
      <c r="E192" t="s">
        <v>26</v>
      </c>
      <c r="F192" s="2">
        <v>9.5997593999999999</v>
      </c>
      <c r="G192" s="2">
        <v>17.386923400000001</v>
      </c>
      <c r="H192" s="2">
        <v>8.0650647000000006</v>
      </c>
      <c r="I192" s="2">
        <v>7.1433285</v>
      </c>
      <c r="J192" s="2">
        <v>5.2367007000000001</v>
      </c>
      <c r="K192" s="2">
        <v>5.2131002000000004</v>
      </c>
      <c r="L192" s="2">
        <v>5.1851260999999997</v>
      </c>
      <c r="M192" s="2">
        <v>5.0379174999999998</v>
      </c>
      <c r="N192" s="2">
        <v>4.8118069999999999</v>
      </c>
      <c r="O192" s="2">
        <v>4.2498610000000001</v>
      </c>
      <c r="P192" s="2">
        <v>4.0068720999999998</v>
      </c>
      <c r="Q192" s="2">
        <v>3.5620508000000002</v>
      </c>
      <c r="R192" s="2">
        <f t="shared" si="24"/>
        <v>35.051747500000005</v>
      </c>
      <c r="S192" s="2">
        <f t="shared" si="25"/>
        <v>17.593129399999999</v>
      </c>
      <c r="T192" s="2">
        <f t="shared" si="26"/>
        <v>15.0348506</v>
      </c>
      <c r="U192" s="2">
        <f t="shared" si="27"/>
        <v>11.8187839</v>
      </c>
      <c r="V192" s="2">
        <f t="shared" si="32"/>
        <v>7.5689229000000005</v>
      </c>
      <c r="W192" s="2">
        <f t="shared" si="33"/>
        <v>79.498511399999998</v>
      </c>
      <c r="X192" s="2">
        <v>-49.39396</v>
      </c>
      <c r="Y192" s="2">
        <v>-7.4704629999999996</v>
      </c>
      <c r="Z192" s="2">
        <v>-19.075795200000002</v>
      </c>
      <c r="AA192" s="2">
        <v>-20.5171505</v>
      </c>
      <c r="AB192" s="2">
        <v>-21.740718999999999</v>
      </c>
      <c r="AC192" s="2">
        <v>-21.1334585</v>
      </c>
      <c r="AD192" s="2">
        <v>-20.496360500000002</v>
      </c>
      <c r="AE192" s="2">
        <v>-18.978590400000002</v>
      </c>
      <c r="AF192" s="2">
        <v>-18.153212</v>
      </c>
      <c r="AG192" s="2">
        <v>-13.2863962</v>
      </c>
      <c r="AH192" s="2">
        <v>-13.120468900000001</v>
      </c>
      <c r="AI192" s="2">
        <v>-12.280337299999999</v>
      </c>
      <c r="AJ192" s="2">
        <f t="shared" si="28"/>
        <v>-75.940218200000004</v>
      </c>
      <c r="AK192" s="2">
        <f t="shared" si="29"/>
        <v>-63.391328000000001</v>
      </c>
      <c r="AL192" s="2">
        <f t="shared" si="30"/>
        <v>-57.628162900000007</v>
      </c>
      <c r="AM192" s="2">
        <f t="shared" si="31"/>
        <v>-38.687202400000004</v>
      </c>
      <c r="AN192" s="2">
        <f t="shared" si="34"/>
        <v>-25.400806199999998</v>
      </c>
      <c r="AO192" s="2">
        <f t="shared" si="35"/>
        <v>-235.64691149999999</v>
      </c>
    </row>
    <row r="193" spans="1:41" x14ac:dyDescent="0.35">
      <c r="A193" t="s">
        <v>281</v>
      </c>
      <c r="B193" s="4">
        <v>9940503547</v>
      </c>
      <c r="C193" t="s">
        <v>82</v>
      </c>
      <c r="D193" t="s">
        <v>242</v>
      </c>
      <c r="E193" t="s">
        <v>26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f t="shared" si="24"/>
        <v>0</v>
      </c>
      <c r="S193" s="2">
        <f t="shared" si="25"/>
        <v>0</v>
      </c>
      <c r="T193" s="2">
        <f t="shared" si="26"/>
        <v>0</v>
      </c>
      <c r="U193" s="2">
        <f t="shared" si="27"/>
        <v>0</v>
      </c>
      <c r="V193" s="2">
        <f t="shared" si="32"/>
        <v>0</v>
      </c>
      <c r="W193" s="2">
        <f t="shared" si="33"/>
        <v>0</v>
      </c>
      <c r="X193" s="2">
        <v>-0.99895</v>
      </c>
      <c r="Y193" s="2">
        <v>0</v>
      </c>
      <c r="Z193" s="2">
        <v>0</v>
      </c>
      <c r="AA193" s="2">
        <v>8.0805299999999995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f t="shared" si="28"/>
        <v>-0.99895</v>
      </c>
      <c r="AK193" s="2">
        <f t="shared" si="29"/>
        <v>8.0805299999999995</v>
      </c>
      <c r="AL193" s="2">
        <f t="shared" si="30"/>
        <v>0</v>
      </c>
      <c r="AM193" s="2">
        <f t="shared" si="31"/>
        <v>0</v>
      </c>
      <c r="AN193" s="2">
        <f t="shared" si="34"/>
        <v>0</v>
      </c>
      <c r="AO193" s="2">
        <f t="shared" si="35"/>
        <v>7.0815799999999998</v>
      </c>
    </row>
    <row r="194" spans="1:41" x14ac:dyDescent="0.35">
      <c r="A194" t="s">
        <v>281</v>
      </c>
      <c r="B194" s="4">
        <v>9940547135</v>
      </c>
      <c r="C194" t="s">
        <v>83</v>
      </c>
      <c r="D194" t="s">
        <v>240</v>
      </c>
      <c r="E194" t="s">
        <v>26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f t="shared" si="24"/>
        <v>0</v>
      </c>
      <c r="S194" s="2">
        <f t="shared" si="25"/>
        <v>0</v>
      </c>
      <c r="T194" s="2">
        <f t="shared" si="26"/>
        <v>0</v>
      </c>
      <c r="U194" s="2">
        <f t="shared" si="27"/>
        <v>0</v>
      </c>
      <c r="V194" s="2">
        <f t="shared" si="32"/>
        <v>0</v>
      </c>
      <c r="W194" s="2">
        <f t="shared" si="33"/>
        <v>0</v>
      </c>
      <c r="X194" s="2">
        <v>-7.6147103999999999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f t="shared" si="28"/>
        <v>-7.6147103999999999</v>
      </c>
      <c r="AK194" s="2">
        <f t="shared" si="29"/>
        <v>0</v>
      </c>
      <c r="AL194" s="2">
        <f t="shared" si="30"/>
        <v>0</v>
      </c>
      <c r="AM194" s="2">
        <f t="shared" si="31"/>
        <v>0</v>
      </c>
      <c r="AN194" s="2">
        <f t="shared" si="34"/>
        <v>0</v>
      </c>
      <c r="AO194" s="2">
        <f t="shared" si="35"/>
        <v>-7.6147103999999999</v>
      </c>
    </row>
    <row r="195" spans="1:41" x14ac:dyDescent="0.35">
      <c r="A195" t="s">
        <v>281</v>
      </c>
      <c r="B195" s="4">
        <v>9940548081</v>
      </c>
      <c r="C195" t="s">
        <v>84</v>
      </c>
      <c r="D195" t="s">
        <v>245</v>
      </c>
      <c r="E195" t="s">
        <v>26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5.9839999999999997E-2</v>
      </c>
      <c r="R195" s="2">
        <f t="shared" ref="R195:R252" si="36">F195+G195+H195</f>
        <v>0</v>
      </c>
      <c r="S195" s="2">
        <f t="shared" ref="S195:S252" si="37">I195+J195+K195</f>
        <v>0</v>
      </c>
      <c r="T195" s="2">
        <f t="shared" ref="T195:T252" si="38">L195+M195+N195</f>
        <v>0</v>
      </c>
      <c r="U195" s="2">
        <f t="shared" ref="U195:U252" si="39">O195+P195+Q195</f>
        <v>5.9839999999999997E-2</v>
      </c>
      <c r="V195" s="2">
        <f t="shared" si="32"/>
        <v>5.9839999999999997E-2</v>
      </c>
      <c r="W195" s="2">
        <f t="shared" si="33"/>
        <v>5.9839999999999997E-2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1.917E-2</v>
      </c>
      <c r="AJ195" s="2">
        <f t="shared" ref="AJ195:AJ252" si="40">X195+Y195+Z195</f>
        <v>0</v>
      </c>
      <c r="AK195" s="2">
        <f t="shared" ref="AK195:AK252" si="41">AA195+AB195+AC195</f>
        <v>0</v>
      </c>
      <c r="AL195" s="2">
        <f t="shared" ref="AL195:AL252" si="42">AD195+AE195+AF195</f>
        <v>0</v>
      </c>
      <c r="AM195" s="2">
        <f t="shared" ref="AM195:AM252" si="43">AG195+AH195+AI195</f>
        <v>1.917E-2</v>
      </c>
      <c r="AN195" s="2">
        <f t="shared" si="34"/>
        <v>1.917E-2</v>
      </c>
      <c r="AO195" s="2">
        <f t="shared" si="35"/>
        <v>1.917E-2</v>
      </c>
    </row>
    <row r="196" spans="1:41" x14ac:dyDescent="0.35">
      <c r="A196" t="s">
        <v>281</v>
      </c>
      <c r="B196" s="4">
        <v>9940575995</v>
      </c>
      <c r="C196" t="s">
        <v>86</v>
      </c>
      <c r="D196" t="s">
        <v>231</v>
      </c>
      <c r="E196" t="s">
        <v>26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f t="shared" si="36"/>
        <v>0</v>
      </c>
      <c r="S196" s="2">
        <f t="shared" si="37"/>
        <v>0</v>
      </c>
      <c r="T196" s="2">
        <f t="shared" si="38"/>
        <v>0</v>
      </c>
      <c r="U196" s="2">
        <f t="shared" si="39"/>
        <v>0</v>
      </c>
      <c r="V196" s="2">
        <f t="shared" ref="V196:V257" si="44">P196+Q196</f>
        <v>0</v>
      </c>
      <c r="W196" s="2">
        <f t="shared" ref="W196:W257" si="45">R196+S196+T196+U196</f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f t="shared" si="40"/>
        <v>0</v>
      </c>
      <c r="AK196" s="2">
        <f t="shared" si="41"/>
        <v>0</v>
      </c>
      <c r="AL196" s="2">
        <f t="shared" si="42"/>
        <v>0</v>
      </c>
      <c r="AM196" s="2">
        <f t="shared" si="43"/>
        <v>0</v>
      </c>
      <c r="AN196" s="2">
        <f t="shared" ref="AN196:AN257" si="46">AH196+AI196</f>
        <v>0</v>
      </c>
      <c r="AO196" s="2">
        <f t="shared" ref="AO196:AO257" si="47">AJ196+AK196+AL196+AM196</f>
        <v>0</v>
      </c>
    </row>
    <row r="197" spans="1:41" x14ac:dyDescent="0.35">
      <c r="A197" t="s">
        <v>281</v>
      </c>
      <c r="B197" s="4">
        <v>9940498656</v>
      </c>
      <c r="C197" t="s">
        <v>89</v>
      </c>
      <c r="D197" t="s">
        <v>227</v>
      </c>
      <c r="E197" t="s">
        <v>26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f t="shared" si="36"/>
        <v>0</v>
      </c>
      <c r="S197" s="2">
        <f t="shared" si="37"/>
        <v>0</v>
      </c>
      <c r="T197" s="2">
        <f t="shared" si="38"/>
        <v>0</v>
      </c>
      <c r="U197" s="2">
        <f t="shared" si="39"/>
        <v>0</v>
      </c>
      <c r="V197" s="2">
        <f t="shared" si="44"/>
        <v>0</v>
      </c>
      <c r="W197" s="2">
        <f t="shared" si="45"/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f t="shared" si="40"/>
        <v>0</v>
      </c>
      <c r="AK197" s="2">
        <f t="shared" si="41"/>
        <v>0</v>
      </c>
      <c r="AL197" s="2">
        <f t="shared" si="42"/>
        <v>0</v>
      </c>
      <c r="AM197" s="2">
        <f t="shared" si="43"/>
        <v>0</v>
      </c>
      <c r="AN197" s="2">
        <f t="shared" si="46"/>
        <v>0</v>
      </c>
      <c r="AO197" s="2">
        <f t="shared" si="47"/>
        <v>0</v>
      </c>
    </row>
    <row r="198" spans="1:41" x14ac:dyDescent="0.35">
      <c r="A198" t="s">
        <v>281</v>
      </c>
      <c r="B198" s="4">
        <v>9940529592</v>
      </c>
      <c r="C198" t="s">
        <v>90</v>
      </c>
      <c r="D198" t="s">
        <v>247</v>
      </c>
      <c r="E198" t="s">
        <v>26</v>
      </c>
      <c r="F198" s="2">
        <v>37.410170000000001</v>
      </c>
      <c r="G198" s="2">
        <v>40.825600000000001</v>
      </c>
      <c r="H198" s="2">
        <v>46.054319999999997</v>
      </c>
      <c r="I198" s="2">
        <v>27.877700000000001</v>
      </c>
      <c r="J198" s="2">
        <v>6.0941099999999997</v>
      </c>
      <c r="K198" s="2">
        <v>5.8076400000000001</v>
      </c>
      <c r="L198" s="2">
        <v>6.6670800000000003</v>
      </c>
      <c r="M198" s="2">
        <v>6.4603299999999999</v>
      </c>
      <c r="N198" s="2">
        <v>7.5697200000000002</v>
      </c>
      <c r="O198" s="2">
        <v>39.294289999999997</v>
      </c>
      <c r="P198" s="2">
        <v>66.26061</v>
      </c>
      <c r="Q198" s="2">
        <v>70.265190000000004</v>
      </c>
      <c r="R198" s="2">
        <f t="shared" si="36"/>
        <v>124.29008999999999</v>
      </c>
      <c r="S198" s="2">
        <f t="shared" si="37"/>
        <v>39.779449999999997</v>
      </c>
      <c r="T198" s="2">
        <f t="shared" si="38"/>
        <v>20.697130000000001</v>
      </c>
      <c r="U198" s="2">
        <f t="shared" si="39"/>
        <v>175.82008999999999</v>
      </c>
      <c r="V198" s="2">
        <f t="shared" si="44"/>
        <v>136.5258</v>
      </c>
      <c r="W198" s="2">
        <f t="shared" si="45"/>
        <v>360.58675999999997</v>
      </c>
      <c r="X198" s="2">
        <v>14.85787</v>
      </c>
      <c r="Y198" s="2">
        <v>9.3359900000000007</v>
      </c>
      <c r="Z198" s="2">
        <v>12.335940000000001</v>
      </c>
      <c r="AA198" s="2">
        <v>4.0936700000000004</v>
      </c>
      <c r="AB198" s="2">
        <v>2.9188399999999999</v>
      </c>
      <c r="AC198" s="2">
        <v>3.3180000000000001</v>
      </c>
      <c r="AD198" s="2">
        <v>3.7168100000000002</v>
      </c>
      <c r="AE198" s="2">
        <v>3.6941099999999998</v>
      </c>
      <c r="AF198" s="2">
        <v>4.3300299999999998</v>
      </c>
      <c r="AG198" s="2">
        <v>19.901340000000001</v>
      </c>
      <c r="AH198" s="2">
        <v>33.323430000000002</v>
      </c>
      <c r="AI198" s="2">
        <v>34.148829999999997</v>
      </c>
      <c r="AJ198" s="2">
        <f t="shared" si="40"/>
        <v>36.529800000000002</v>
      </c>
      <c r="AK198" s="2">
        <f t="shared" si="41"/>
        <v>10.33051</v>
      </c>
      <c r="AL198" s="2">
        <f t="shared" si="42"/>
        <v>11.74095</v>
      </c>
      <c r="AM198" s="2">
        <f t="shared" si="43"/>
        <v>87.37360000000001</v>
      </c>
      <c r="AN198" s="2">
        <f t="shared" si="46"/>
        <v>67.472260000000006</v>
      </c>
      <c r="AO198" s="2">
        <f t="shared" si="47"/>
        <v>145.97486000000001</v>
      </c>
    </row>
    <row r="199" spans="1:41" x14ac:dyDescent="0.35">
      <c r="A199" t="s">
        <v>281</v>
      </c>
      <c r="B199" s="4">
        <v>9940541530</v>
      </c>
      <c r="C199" t="s">
        <v>93</v>
      </c>
      <c r="D199" t="s">
        <v>240</v>
      </c>
      <c r="E199" t="s">
        <v>26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f t="shared" si="36"/>
        <v>0</v>
      </c>
      <c r="S199" s="2">
        <f t="shared" si="37"/>
        <v>0</v>
      </c>
      <c r="T199" s="2">
        <f t="shared" si="38"/>
        <v>0</v>
      </c>
      <c r="U199" s="2">
        <f t="shared" si="39"/>
        <v>0</v>
      </c>
      <c r="V199" s="2">
        <f t="shared" si="44"/>
        <v>0</v>
      </c>
      <c r="W199" s="2">
        <f t="shared" si="45"/>
        <v>0</v>
      </c>
      <c r="X199" s="2">
        <v>-23.22345</v>
      </c>
      <c r="Y199" s="2">
        <v>-1.89737</v>
      </c>
      <c r="Z199" s="2">
        <v>-0.82450999999999997</v>
      </c>
      <c r="AA199" s="2">
        <v>-0.28808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f t="shared" si="40"/>
        <v>-25.945329999999998</v>
      </c>
      <c r="AK199" s="2">
        <f t="shared" si="41"/>
        <v>-0.28808</v>
      </c>
      <c r="AL199" s="2">
        <f t="shared" si="42"/>
        <v>0</v>
      </c>
      <c r="AM199" s="2">
        <f t="shared" si="43"/>
        <v>0</v>
      </c>
      <c r="AN199" s="2">
        <f t="shared" si="46"/>
        <v>0</v>
      </c>
      <c r="AO199" s="2">
        <f t="shared" si="47"/>
        <v>-26.233409999999999</v>
      </c>
    </row>
    <row r="200" spans="1:41" x14ac:dyDescent="0.35">
      <c r="A200" t="s">
        <v>281</v>
      </c>
      <c r="B200" s="4">
        <v>9940325859</v>
      </c>
      <c r="C200" t="s">
        <v>94</v>
      </c>
      <c r="D200" t="s">
        <v>250</v>
      </c>
      <c r="E200" t="s">
        <v>26</v>
      </c>
      <c r="F200" s="2">
        <v>15.444988199999999</v>
      </c>
      <c r="G200" s="2">
        <v>0.44350859999999998</v>
      </c>
      <c r="H200" s="2">
        <v>0.29025810000000002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f t="shared" si="36"/>
        <v>16.178754899999998</v>
      </c>
      <c r="S200" s="2">
        <f t="shared" si="37"/>
        <v>0</v>
      </c>
      <c r="T200" s="2">
        <f t="shared" si="38"/>
        <v>0</v>
      </c>
      <c r="U200" s="2">
        <f t="shared" si="39"/>
        <v>0</v>
      </c>
      <c r="V200" s="2">
        <f t="shared" si="44"/>
        <v>0</v>
      </c>
      <c r="W200" s="2">
        <f t="shared" si="45"/>
        <v>16.178754899999998</v>
      </c>
      <c r="X200" s="2">
        <v>3.3982112999999998</v>
      </c>
      <c r="Y200" s="2">
        <v>-1.3392953999999999</v>
      </c>
      <c r="Z200" s="2">
        <v>-0.57420870000000002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f t="shared" si="40"/>
        <v>1.4847071999999997</v>
      </c>
      <c r="AK200" s="2">
        <f t="shared" si="41"/>
        <v>0</v>
      </c>
      <c r="AL200" s="2">
        <f t="shared" si="42"/>
        <v>0</v>
      </c>
      <c r="AM200" s="2">
        <f t="shared" si="43"/>
        <v>0</v>
      </c>
      <c r="AN200" s="2">
        <f t="shared" si="46"/>
        <v>0</v>
      </c>
      <c r="AO200" s="2">
        <f t="shared" si="47"/>
        <v>1.4847071999999997</v>
      </c>
    </row>
    <row r="201" spans="1:41" x14ac:dyDescent="0.35">
      <c r="A201" t="s">
        <v>281</v>
      </c>
      <c r="B201" s="4">
        <v>9940364931</v>
      </c>
      <c r="C201" t="s">
        <v>95</v>
      </c>
      <c r="D201" t="s">
        <v>225</v>
      </c>
      <c r="E201" t="s">
        <v>26</v>
      </c>
      <c r="F201" s="2">
        <v>25.8</v>
      </c>
      <c r="G201" s="2">
        <v>25.8</v>
      </c>
      <c r="H201" s="2">
        <v>25.8</v>
      </c>
      <c r="I201" s="2">
        <v>25.7999914</v>
      </c>
      <c r="J201" s="2">
        <v>25.8</v>
      </c>
      <c r="K201" s="2">
        <v>25.803474399999999</v>
      </c>
      <c r="L201" s="2">
        <v>25.803405600000001</v>
      </c>
      <c r="M201" s="2">
        <v>25.7929222</v>
      </c>
      <c r="N201" s="2">
        <v>0</v>
      </c>
      <c r="O201" s="2">
        <v>0</v>
      </c>
      <c r="P201" s="2">
        <v>0</v>
      </c>
      <c r="Q201" s="2">
        <v>0</v>
      </c>
      <c r="R201" s="2">
        <f t="shared" si="36"/>
        <v>77.400000000000006</v>
      </c>
      <c r="S201" s="2">
        <f t="shared" si="37"/>
        <v>77.403465799999992</v>
      </c>
      <c r="T201" s="2">
        <f t="shared" si="38"/>
        <v>51.596327799999997</v>
      </c>
      <c r="U201" s="2">
        <f t="shared" si="39"/>
        <v>0</v>
      </c>
      <c r="V201" s="2">
        <f t="shared" si="44"/>
        <v>0</v>
      </c>
      <c r="W201" s="2">
        <f t="shared" si="45"/>
        <v>206.39979360000001</v>
      </c>
      <c r="X201" s="2">
        <v>7.4046000000000003</v>
      </c>
      <c r="Y201" s="2">
        <v>7.4046000000000003</v>
      </c>
      <c r="Z201" s="2">
        <v>7.4045914000000002</v>
      </c>
      <c r="AA201" s="2">
        <v>7.4046000000000003</v>
      </c>
      <c r="AB201" s="2">
        <v>7.3996722000000004</v>
      </c>
      <c r="AC201" s="2">
        <v>0.46435700000000002</v>
      </c>
      <c r="AD201" s="2">
        <v>27.6959646</v>
      </c>
      <c r="AE201" s="2">
        <v>-2.9515888000000001</v>
      </c>
      <c r="AF201" s="2">
        <v>1.55832E-2</v>
      </c>
      <c r="AG201" s="2">
        <v>3.5346000000000002E-3</v>
      </c>
      <c r="AH201" s="2">
        <v>0</v>
      </c>
      <c r="AI201" s="2">
        <v>0</v>
      </c>
      <c r="AJ201" s="2">
        <f t="shared" si="40"/>
        <v>22.213791400000002</v>
      </c>
      <c r="AK201" s="2">
        <f t="shared" si="41"/>
        <v>15.268629199999999</v>
      </c>
      <c r="AL201" s="2">
        <f t="shared" si="42"/>
        <v>24.759958999999998</v>
      </c>
      <c r="AM201" s="2">
        <f t="shared" si="43"/>
        <v>3.5346000000000002E-3</v>
      </c>
      <c r="AN201" s="2">
        <f t="shared" si="46"/>
        <v>0</v>
      </c>
      <c r="AO201" s="2">
        <f t="shared" si="47"/>
        <v>62.245914199999994</v>
      </c>
    </row>
    <row r="202" spans="1:41" x14ac:dyDescent="0.35">
      <c r="A202" t="s">
        <v>281</v>
      </c>
      <c r="B202" s="4">
        <v>9940327755</v>
      </c>
      <c r="C202" t="s">
        <v>98</v>
      </c>
      <c r="D202" t="s">
        <v>252</v>
      </c>
      <c r="E202" t="s">
        <v>26</v>
      </c>
      <c r="F202" s="2">
        <v>0</v>
      </c>
      <c r="G202" s="2">
        <v>0</v>
      </c>
      <c r="H202" s="2">
        <v>0</v>
      </c>
      <c r="I202" s="2">
        <v>0</v>
      </c>
      <c r="J202" s="2">
        <v>81.201729999999998</v>
      </c>
      <c r="K202" s="2">
        <v>0</v>
      </c>
      <c r="L202" s="2">
        <v>0</v>
      </c>
      <c r="M202" s="2">
        <v>0</v>
      </c>
      <c r="N202" s="2">
        <v>0</v>
      </c>
      <c r="O202" s="2">
        <v>65.716800000000006</v>
      </c>
      <c r="P202" s="2">
        <v>0</v>
      </c>
      <c r="Q202" s="2">
        <v>0</v>
      </c>
      <c r="R202" s="2">
        <f t="shared" si="36"/>
        <v>0</v>
      </c>
      <c r="S202" s="2">
        <f t="shared" si="37"/>
        <v>81.201729999999998</v>
      </c>
      <c r="T202" s="2">
        <f t="shared" si="38"/>
        <v>0</v>
      </c>
      <c r="U202" s="2">
        <f t="shared" si="39"/>
        <v>65.716800000000006</v>
      </c>
      <c r="V202" s="2">
        <f t="shared" si="44"/>
        <v>0</v>
      </c>
      <c r="W202" s="2">
        <f t="shared" si="45"/>
        <v>146.91853</v>
      </c>
      <c r="X202" s="2">
        <v>-9.6180000000000002E-2</v>
      </c>
      <c r="Y202" s="2">
        <v>-9.6180000000000002E-2</v>
      </c>
      <c r="Z202" s="2">
        <v>-9.6180000000000002E-2</v>
      </c>
      <c r="AA202" s="2">
        <v>-9.6180000000000002E-2</v>
      </c>
      <c r="AB202" s="2">
        <v>58.03078</v>
      </c>
      <c r="AC202" s="2">
        <v>-0.90820000000000001</v>
      </c>
      <c r="AD202" s="2">
        <v>-0.93769999999999998</v>
      </c>
      <c r="AE202" s="2">
        <v>-8.3349999999999994E-2</v>
      </c>
      <c r="AF202" s="2">
        <v>0.65717000000000003</v>
      </c>
      <c r="AG202" s="2">
        <v>38.670270000000002</v>
      </c>
      <c r="AH202" s="2">
        <v>0</v>
      </c>
      <c r="AI202" s="2">
        <v>0</v>
      </c>
      <c r="AJ202" s="2">
        <f t="shared" si="40"/>
        <v>-0.28854000000000002</v>
      </c>
      <c r="AK202" s="2">
        <f t="shared" si="41"/>
        <v>57.026400000000002</v>
      </c>
      <c r="AL202" s="2">
        <f t="shared" si="42"/>
        <v>-0.36387999999999998</v>
      </c>
      <c r="AM202" s="2">
        <f t="shared" si="43"/>
        <v>38.670270000000002</v>
      </c>
      <c r="AN202" s="2">
        <f t="shared" si="46"/>
        <v>0</v>
      </c>
      <c r="AO202" s="2">
        <f t="shared" si="47"/>
        <v>95.044250000000005</v>
      </c>
    </row>
    <row r="203" spans="1:41" x14ac:dyDescent="0.35">
      <c r="A203" t="s">
        <v>281</v>
      </c>
      <c r="B203" s="4">
        <v>9940567777</v>
      </c>
      <c r="C203" t="s">
        <v>153</v>
      </c>
      <c r="D203" t="s">
        <v>232</v>
      </c>
      <c r="E203" t="s">
        <v>26</v>
      </c>
      <c r="F203" s="2">
        <v>8.2675800000000006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f t="shared" si="36"/>
        <v>8.2675800000000006</v>
      </c>
      <c r="S203" s="2">
        <f t="shared" si="37"/>
        <v>0</v>
      </c>
      <c r="T203" s="2">
        <f t="shared" si="38"/>
        <v>0</v>
      </c>
      <c r="U203" s="2">
        <f t="shared" si="39"/>
        <v>0</v>
      </c>
      <c r="V203" s="2">
        <f t="shared" si="44"/>
        <v>0</v>
      </c>
      <c r="W203" s="2">
        <f t="shared" si="45"/>
        <v>8.2675800000000006</v>
      </c>
      <c r="X203" s="2">
        <v>2.8747699999999998</v>
      </c>
      <c r="Y203" s="2">
        <v>-0.19594</v>
      </c>
      <c r="Z203" s="2">
        <v>-0.11756999999999999</v>
      </c>
      <c r="AA203" s="2">
        <v>-9.7999999999999997E-3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f t="shared" si="40"/>
        <v>2.5612599999999994</v>
      </c>
      <c r="AK203" s="2">
        <f t="shared" si="41"/>
        <v>-9.7999999999999997E-3</v>
      </c>
      <c r="AL203" s="2">
        <f t="shared" si="42"/>
        <v>0</v>
      </c>
      <c r="AM203" s="2">
        <f t="shared" si="43"/>
        <v>0</v>
      </c>
      <c r="AN203" s="2">
        <f t="shared" si="46"/>
        <v>0</v>
      </c>
      <c r="AO203" s="2">
        <f t="shared" si="47"/>
        <v>2.5514599999999996</v>
      </c>
    </row>
    <row r="204" spans="1:41" x14ac:dyDescent="0.35">
      <c r="A204" t="s">
        <v>281</v>
      </c>
      <c r="B204" s="4">
        <v>9940534372</v>
      </c>
      <c r="C204" t="s">
        <v>103</v>
      </c>
      <c r="D204" t="s">
        <v>235</v>
      </c>
      <c r="E204" t="s">
        <v>26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f t="shared" si="36"/>
        <v>0</v>
      </c>
      <c r="S204" s="2">
        <f t="shared" si="37"/>
        <v>0</v>
      </c>
      <c r="T204" s="2">
        <f t="shared" si="38"/>
        <v>0</v>
      </c>
      <c r="U204" s="2">
        <f t="shared" si="39"/>
        <v>0</v>
      </c>
      <c r="V204" s="2">
        <f t="shared" si="44"/>
        <v>0</v>
      </c>
      <c r="W204" s="2">
        <f t="shared" si="45"/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f t="shared" si="40"/>
        <v>0</v>
      </c>
      <c r="AK204" s="2">
        <f t="shared" si="41"/>
        <v>0</v>
      </c>
      <c r="AL204" s="2">
        <f t="shared" si="42"/>
        <v>0</v>
      </c>
      <c r="AM204" s="2">
        <f t="shared" si="43"/>
        <v>0</v>
      </c>
      <c r="AN204" s="2">
        <f t="shared" si="46"/>
        <v>0</v>
      </c>
      <c r="AO204" s="2">
        <f t="shared" si="47"/>
        <v>0</v>
      </c>
    </row>
    <row r="205" spans="1:41" x14ac:dyDescent="0.35">
      <c r="A205" t="s">
        <v>281</v>
      </c>
      <c r="B205" s="4">
        <v>9940575842</v>
      </c>
      <c r="C205" t="s">
        <v>105</v>
      </c>
      <c r="D205" t="s">
        <v>231</v>
      </c>
      <c r="E205" t="s">
        <v>26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f t="shared" si="36"/>
        <v>0</v>
      </c>
      <c r="S205" s="2">
        <f t="shared" si="37"/>
        <v>0</v>
      </c>
      <c r="T205" s="2">
        <f t="shared" si="38"/>
        <v>0</v>
      </c>
      <c r="U205" s="2">
        <f t="shared" si="39"/>
        <v>0</v>
      </c>
      <c r="V205" s="2">
        <f t="shared" si="44"/>
        <v>0</v>
      </c>
      <c r="W205" s="2">
        <f t="shared" si="45"/>
        <v>0</v>
      </c>
      <c r="X205" s="2">
        <v>0.89965249999999997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f t="shared" si="40"/>
        <v>0.89965249999999997</v>
      </c>
      <c r="AK205" s="2">
        <f t="shared" si="41"/>
        <v>0</v>
      </c>
      <c r="AL205" s="2">
        <f t="shared" si="42"/>
        <v>0</v>
      </c>
      <c r="AM205" s="2">
        <f t="shared" si="43"/>
        <v>0</v>
      </c>
      <c r="AN205" s="2">
        <f t="shared" si="46"/>
        <v>0</v>
      </c>
      <c r="AO205" s="2">
        <f t="shared" si="47"/>
        <v>0.89965249999999997</v>
      </c>
    </row>
    <row r="206" spans="1:41" x14ac:dyDescent="0.35">
      <c r="A206" t="s">
        <v>281</v>
      </c>
      <c r="B206" s="4">
        <v>9940490968</v>
      </c>
      <c r="C206" t="s">
        <v>107</v>
      </c>
      <c r="D206" t="s">
        <v>255</v>
      </c>
      <c r="E206" t="s">
        <v>26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f t="shared" si="36"/>
        <v>0</v>
      </c>
      <c r="S206" s="2">
        <f t="shared" si="37"/>
        <v>0</v>
      </c>
      <c r="T206" s="2">
        <f t="shared" si="38"/>
        <v>0</v>
      </c>
      <c r="U206" s="2">
        <f t="shared" si="39"/>
        <v>0</v>
      </c>
      <c r="V206" s="2">
        <f t="shared" si="44"/>
        <v>0</v>
      </c>
      <c r="W206" s="2">
        <f t="shared" si="45"/>
        <v>0</v>
      </c>
      <c r="X206" s="2">
        <v>-0.74666999999999994</v>
      </c>
      <c r="Y206" s="2">
        <v>-0.74666999999999994</v>
      </c>
      <c r="Z206" s="2">
        <v>-0.74666999999999994</v>
      </c>
      <c r="AA206" s="2">
        <v>-0.74666999999999994</v>
      </c>
      <c r="AB206" s="2">
        <v>-0.74666999999999994</v>
      </c>
      <c r="AC206" s="2">
        <v>-0.74666999999999994</v>
      </c>
      <c r="AD206" s="2">
        <v>-0.74666999999999994</v>
      </c>
      <c r="AE206" s="2">
        <v>-0.74666999999999994</v>
      </c>
      <c r="AF206" s="2">
        <v>-0.74666999999999994</v>
      </c>
      <c r="AG206" s="2">
        <v>-0.74666999999999994</v>
      </c>
      <c r="AH206" s="2">
        <v>-0.74666999999999994</v>
      </c>
      <c r="AI206" s="2">
        <v>-0.74666999999999994</v>
      </c>
      <c r="AJ206" s="2">
        <f t="shared" si="40"/>
        <v>-2.2400099999999998</v>
      </c>
      <c r="AK206" s="2">
        <f t="shared" si="41"/>
        <v>-2.2400099999999998</v>
      </c>
      <c r="AL206" s="2">
        <f t="shared" si="42"/>
        <v>-2.2400099999999998</v>
      </c>
      <c r="AM206" s="2">
        <f t="shared" si="43"/>
        <v>-2.2400099999999998</v>
      </c>
      <c r="AN206" s="2">
        <f t="shared" si="46"/>
        <v>-1.4933399999999999</v>
      </c>
      <c r="AO206" s="2">
        <f t="shared" si="47"/>
        <v>-8.9600399999999993</v>
      </c>
    </row>
    <row r="207" spans="1:41" x14ac:dyDescent="0.35">
      <c r="A207" t="s">
        <v>281</v>
      </c>
      <c r="B207" s="4">
        <v>9940250928</v>
      </c>
      <c r="C207" t="s">
        <v>111</v>
      </c>
      <c r="D207" t="s">
        <v>232</v>
      </c>
      <c r="E207" t="s">
        <v>26</v>
      </c>
      <c r="F207" s="2">
        <v>3.0217700000000001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f t="shared" si="36"/>
        <v>3.0217700000000001</v>
      </c>
      <c r="S207" s="2">
        <f t="shared" si="37"/>
        <v>0</v>
      </c>
      <c r="T207" s="2">
        <f t="shared" si="38"/>
        <v>0</v>
      </c>
      <c r="U207" s="2">
        <f t="shared" si="39"/>
        <v>0</v>
      </c>
      <c r="V207" s="2">
        <f t="shared" si="44"/>
        <v>0</v>
      </c>
      <c r="W207" s="2">
        <f t="shared" si="45"/>
        <v>3.0217700000000001</v>
      </c>
      <c r="X207" s="2">
        <v>2.92117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f t="shared" si="40"/>
        <v>2.92117</v>
      </c>
      <c r="AK207" s="2">
        <f t="shared" si="41"/>
        <v>0</v>
      </c>
      <c r="AL207" s="2">
        <f t="shared" si="42"/>
        <v>0</v>
      </c>
      <c r="AM207" s="2">
        <f t="shared" si="43"/>
        <v>0</v>
      </c>
      <c r="AN207" s="2">
        <f t="shared" si="46"/>
        <v>0</v>
      </c>
      <c r="AO207" s="2">
        <f t="shared" si="47"/>
        <v>2.92117</v>
      </c>
    </row>
    <row r="208" spans="1:41" x14ac:dyDescent="0.35">
      <c r="A208" t="s">
        <v>32</v>
      </c>
      <c r="B208" s="4">
        <v>9940568565</v>
      </c>
      <c r="C208" t="s">
        <v>187</v>
      </c>
      <c r="D208" t="s">
        <v>232</v>
      </c>
      <c r="E208" t="s">
        <v>26</v>
      </c>
      <c r="F208" s="2"/>
      <c r="G208" s="2"/>
      <c r="H208" s="2"/>
      <c r="I208" s="2"/>
      <c r="J208" s="2"/>
      <c r="K208" s="2"/>
      <c r="L208" s="2">
        <v>356.72140999999999</v>
      </c>
      <c r="M208" s="2">
        <v>0</v>
      </c>
      <c r="N208" s="2">
        <v>0</v>
      </c>
      <c r="O208" s="2">
        <v>-155.44368</v>
      </c>
      <c r="P208" s="2">
        <v>0</v>
      </c>
      <c r="Q208" s="2">
        <v>0</v>
      </c>
      <c r="R208" s="2">
        <f t="shared" si="36"/>
        <v>0</v>
      </c>
      <c r="S208" s="2">
        <f t="shared" si="37"/>
        <v>0</v>
      </c>
      <c r="T208" s="2">
        <f t="shared" si="38"/>
        <v>356.72140999999999</v>
      </c>
      <c r="U208" s="2">
        <f t="shared" si="39"/>
        <v>-155.44368</v>
      </c>
      <c r="V208" s="2">
        <f t="shared" si="44"/>
        <v>0</v>
      </c>
      <c r="W208" s="2">
        <f t="shared" si="45"/>
        <v>201.27772999999999</v>
      </c>
      <c r="X208" s="2"/>
      <c r="Y208" s="2"/>
      <c r="Z208" s="2"/>
      <c r="AA208" s="2"/>
      <c r="AB208" s="2"/>
      <c r="AC208" s="2"/>
      <c r="AD208" s="2">
        <v>266.86635000000001</v>
      </c>
      <c r="AE208" s="2">
        <v>-61.04365</v>
      </c>
      <c r="AF208" s="2">
        <v>-7.1142599999999998</v>
      </c>
      <c r="AG208" s="2">
        <v>-161.42206999999999</v>
      </c>
      <c r="AH208" s="2">
        <v>-1.9480500000000001</v>
      </c>
      <c r="AI208" s="2">
        <v>-1.96025</v>
      </c>
      <c r="AJ208" s="2">
        <f t="shared" si="40"/>
        <v>0</v>
      </c>
      <c r="AK208" s="2">
        <f t="shared" si="41"/>
        <v>0</v>
      </c>
      <c r="AL208" s="2">
        <f t="shared" si="42"/>
        <v>198.70844</v>
      </c>
      <c r="AM208" s="2">
        <f t="shared" si="43"/>
        <v>-165.33036999999999</v>
      </c>
      <c r="AN208" s="2">
        <f t="shared" si="46"/>
        <v>-3.9083000000000001</v>
      </c>
      <c r="AO208" s="2">
        <f t="shared" si="47"/>
        <v>33.378070000000008</v>
      </c>
    </row>
    <row r="209" spans="1:41" x14ac:dyDescent="0.35">
      <c r="A209" t="s">
        <v>281</v>
      </c>
      <c r="B209" s="4">
        <v>9940465445</v>
      </c>
      <c r="C209" t="s">
        <v>115</v>
      </c>
      <c r="D209" t="s">
        <v>235</v>
      </c>
      <c r="E209" t="s">
        <v>26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f t="shared" si="36"/>
        <v>0</v>
      </c>
      <c r="S209" s="2">
        <f t="shared" si="37"/>
        <v>0</v>
      </c>
      <c r="T209" s="2">
        <f t="shared" si="38"/>
        <v>0</v>
      </c>
      <c r="U209" s="2">
        <f t="shared" si="39"/>
        <v>0</v>
      </c>
      <c r="V209" s="2">
        <f t="shared" si="44"/>
        <v>0</v>
      </c>
      <c r="W209" s="2">
        <f t="shared" si="45"/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f t="shared" si="40"/>
        <v>0</v>
      </c>
      <c r="AK209" s="2">
        <f t="shared" si="41"/>
        <v>0</v>
      </c>
      <c r="AL209" s="2">
        <f t="shared" si="42"/>
        <v>0</v>
      </c>
      <c r="AM209" s="2">
        <f t="shared" si="43"/>
        <v>0</v>
      </c>
      <c r="AN209" s="2">
        <f t="shared" si="46"/>
        <v>0</v>
      </c>
      <c r="AO209" s="2">
        <f t="shared" si="47"/>
        <v>0</v>
      </c>
    </row>
    <row r="210" spans="1:41" x14ac:dyDescent="0.35">
      <c r="A210" t="s">
        <v>281</v>
      </c>
      <c r="B210" s="4">
        <v>9940523865</v>
      </c>
      <c r="C210" t="s">
        <v>117</v>
      </c>
      <c r="D210" t="s">
        <v>257</v>
      </c>
      <c r="E210" t="s">
        <v>26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f t="shared" si="36"/>
        <v>0</v>
      </c>
      <c r="S210" s="2">
        <f t="shared" si="37"/>
        <v>0</v>
      </c>
      <c r="T210" s="2">
        <f t="shared" si="38"/>
        <v>0</v>
      </c>
      <c r="U210" s="2">
        <f t="shared" si="39"/>
        <v>0</v>
      </c>
      <c r="V210" s="2">
        <f t="shared" si="44"/>
        <v>0</v>
      </c>
      <c r="W210" s="2">
        <f t="shared" si="45"/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f t="shared" si="40"/>
        <v>0</v>
      </c>
      <c r="AK210" s="2">
        <f t="shared" si="41"/>
        <v>0</v>
      </c>
      <c r="AL210" s="2">
        <f t="shared" si="42"/>
        <v>0</v>
      </c>
      <c r="AM210" s="2">
        <f t="shared" si="43"/>
        <v>0</v>
      </c>
      <c r="AN210" s="2">
        <f t="shared" si="46"/>
        <v>0</v>
      </c>
      <c r="AO210" s="2">
        <f t="shared" si="47"/>
        <v>0</v>
      </c>
    </row>
    <row r="211" spans="1:41" x14ac:dyDescent="0.35">
      <c r="A211" t="s">
        <v>281</v>
      </c>
      <c r="B211" s="4">
        <v>9940537104</v>
      </c>
      <c r="C211" t="s">
        <v>119</v>
      </c>
      <c r="D211" t="s">
        <v>240</v>
      </c>
      <c r="E211" t="s">
        <v>26</v>
      </c>
      <c r="F211" s="2">
        <v>44.28</v>
      </c>
      <c r="G211" s="2">
        <v>44.28</v>
      </c>
      <c r="H211" s="2">
        <v>43.938158399999999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f t="shared" si="36"/>
        <v>132.49815839999999</v>
      </c>
      <c r="S211" s="2">
        <f t="shared" si="37"/>
        <v>0</v>
      </c>
      <c r="T211" s="2">
        <f t="shared" si="38"/>
        <v>0</v>
      </c>
      <c r="U211" s="2">
        <f t="shared" si="39"/>
        <v>0</v>
      </c>
      <c r="V211" s="2">
        <f t="shared" si="44"/>
        <v>0</v>
      </c>
      <c r="W211" s="2">
        <f t="shared" si="45"/>
        <v>132.49815839999999</v>
      </c>
      <c r="X211" s="2">
        <v>9.1341234999999994</v>
      </c>
      <c r="Y211" s="2">
        <v>8.8504772999999997</v>
      </c>
      <c r="Z211" s="2">
        <v>8.1694673000000009</v>
      </c>
      <c r="AA211" s="2">
        <v>-33.369034900000003</v>
      </c>
      <c r="AB211" s="2">
        <v>-0.64214610000000005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f t="shared" si="40"/>
        <v>26.1540681</v>
      </c>
      <c r="AK211" s="2">
        <f t="shared" si="41"/>
        <v>-34.011181000000001</v>
      </c>
      <c r="AL211" s="2">
        <f t="shared" si="42"/>
        <v>0</v>
      </c>
      <c r="AM211" s="2">
        <f t="shared" si="43"/>
        <v>0</v>
      </c>
      <c r="AN211" s="2">
        <f t="shared" si="46"/>
        <v>0</v>
      </c>
      <c r="AO211" s="2">
        <f t="shared" si="47"/>
        <v>-7.8571129000000006</v>
      </c>
    </row>
    <row r="212" spans="1:41" x14ac:dyDescent="0.35">
      <c r="A212" t="s">
        <v>281</v>
      </c>
      <c r="B212" s="4">
        <v>9940328991</v>
      </c>
      <c r="C212" t="s">
        <v>121</v>
      </c>
      <c r="D212" t="s">
        <v>232</v>
      </c>
      <c r="E212" t="s">
        <v>26</v>
      </c>
      <c r="F212" s="2">
        <v>14.976601</v>
      </c>
      <c r="G212" s="2">
        <v>6.6740443999999997</v>
      </c>
      <c r="H212" s="2">
        <v>6.4579123999999997</v>
      </c>
      <c r="I212" s="2">
        <v>7.4085102000000003</v>
      </c>
      <c r="J212" s="2">
        <v>6.3702240000000003</v>
      </c>
      <c r="K212" s="2">
        <v>6.3702240000000003</v>
      </c>
      <c r="L212" s="2">
        <v>6.3702240000000003</v>
      </c>
      <c r="M212" s="2">
        <v>6.3702240000000003</v>
      </c>
      <c r="N212" s="2">
        <v>6.3702240000000003</v>
      </c>
      <c r="O212" s="2">
        <v>6.3702240000000003</v>
      </c>
      <c r="P212" s="2">
        <v>6.3702240000000003</v>
      </c>
      <c r="Q212" s="2">
        <v>6.3702240000000003</v>
      </c>
      <c r="R212" s="2">
        <f t="shared" si="36"/>
        <v>28.1085578</v>
      </c>
      <c r="S212" s="2">
        <f t="shared" si="37"/>
        <v>20.148958200000003</v>
      </c>
      <c r="T212" s="2">
        <f t="shared" si="38"/>
        <v>19.110672000000001</v>
      </c>
      <c r="U212" s="2">
        <f t="shared" si="39"/>
        <v>19.110672000000001</v>
      </c>
      <c r="V212" s="2">
        <f t="shared" si="44"/>
        <v>12.740448000000001</v>
      </c>
      <c r="W212" s="2">
        <f t="shared" si="45"/>
        <v>86.478859999999997</v>
      </c>
      <c r="X212" s="2">
        <v>5.9478764000000002</v>
      </c>
      <c r="Y212" s="2">
        <v>1.7749885999999999</v>
      </c>
      <c r="Z212" s="2">
        <v>2.0610317999999999</v>
      </c>
      <c r="AA212" s="2">
        <v>3.4099268</v>
      </c>
      <c r="AB212" s="2">
        <v>1.8839661999999999</v>
      </c>
      <c r="AC212" s="2">
        <v>2.0833148000000001</v>
      </c>
      <c r="AD212" s="2">
        <v>2.1658802000000001</v>
      </c>
      <c r="AE212" s="2">
        <v>2.1658802000000001</v>
      </c>
      <c r="AF212" s="2">
        <v>2.1658802000000001</v>
      </c>
      <c r="AG212" s="2">
        <v>2.1658802000000001</v>
      </c>
      <c r="AH212" s="2">
        <v>2.1658802000000001</v>
      </c>
      <c r="AI212" s="2">
        <v>2.1658802000000001</v>
      </c>
      <c r="AJ212" s="2">
        <f t="shared" si="40"/>
        <v>9.7838968000000008</v>
      </c>
      <c r="AK212" s="2">
        <f t="shared" si="41"/>
        <v>7.3772077999999999</v>
      </c>
      <c r="AL212" s="2">
        <f t="shared" si="42"/>
        <v>6.4976406000000004</v>
      </c>
      <c r="AM212" s="2">
        <f t="shared" si="43"/>
        <v>6.4976406000000004</v>
      </c>
      <c r="AN212" s="2">
        <f t="shared" si="46"/>
        <v>4.3317604000000003</v>
      </c>
      <c r="AO212" s="2">
        <f t="shared" si="47"/>
        <v>30.156385800000002</v>
      </c>
    </row>
    <row r="213" spans="1:41" x14ac:dyDescent="0.35">
      <c r="A213" t="s">
        <v>281</v>
      </c>
      <c r="B213" s="4">
        <v>9940288969</v>
      </c>
      <c r="C213" t="s">
        <v>127</v>
      </c>
      <c r="D213" t="s">
        <v>231</v>
      </c>
      <c r="E213" t="s">
        <v>26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f t="shared" si="36"/>
        <v>0</v>
      </c>
      <c r="S213" s="2">
        <f t="shared" si="37"/>
        <v>0</v>
      </c>
      <c r="T213" s="2">
        <f t="shared" si="38"/>
        <v>0</v>
      </c>
      <c r="U213" s="2">
        <f t="shared" si="39"/>
        <v>0</v>
      </c>
      <c r="V213" s="2">
        <f t="shared" si="44"/>
        <v>0</v>
      </c>
      <c r="W213" s="2">
        <f t="shared" si="45"/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f t="shared" si="40"/>
        <v>0</v>
      </c>
      <c r="AK213" s="2">
        <f t="shared" si="41"/>
        <v>0</v>
      </c>
      <c r="AL213" s="2">
        <f t="shared" si="42"/>
        <v>0</v>
      </c>
      <c r="AM213" s="2">
        <f t="shared" si="43"/>
        <v>0</v>
      </c>
      <c r="AN213" s="2">
        <f t="shared" si="46"/>
        <v>0</v>
      </c>
      <c r="AO213" s="2">
        <f t="shared" si="47"/>
        <v>0</v>
      </c>
    </row>
    <row r="214" spans="1:41" x14ac:dyDescent="0.35">
      <c r="A214" t="s">
        <v>32</v>
      </c>
      <c r="B214" s="4">
        <v>9940577011</v>
      </c>
      <c r="C214" t="s">
        <v>87</v>
      </c>
      <c r="D214" t="s">
        <v>285</v>
      </c>
      <c r="E214" t="s">
        <v>26</v>
      </c>
      <c r="F214" s="2"/>
      <c r="G214" s="2"/>
      <c r="H214" s="2"/>
      <c r="I214" s="2"/>
      <c r="J214" s="2"/>
      <c r="K214" s="2"/>
      <c r="L214" s="2"/>
      <c r="M214" s="2"/>
      <c r="N214" s="2"/>
      <c r="O214" s="2">
        <v>0</v>
      </c>
      <c r="P214" s="2">
        <v>30.801300000000001</v>
      </c>
      <c r="Q214" s="2">
        <v>0</v>
      </c>
      <c r="R214" s="2">
        <f t="shared" si="36"/>
        <v>0</v>
      </c>
      <c r="S214" s="2">
        <f t="shared" si="37"/>
        <v>0</v>
      </c>
      <c r="T214" s="2">
        <f t="shared" si="38"/>
        <v>0</v>
      </c>
      <c r="U214" s="2">
        <f t="shared" si="39"/>
        <v>30.801300000000001</v>
      </c>
      <c r="V214" s="2">
        <f t="shared" si="44"/>
        <v>30.801300000000001</v>
      </c>
      <c r="W214" s="2">
        <f t="shared" si="45"/>
        <v>30.801300000000001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>
        <v>0</v>
      </c>
      <c r="AH214" s="2">
        <v>12.116059999999999</v>
      </c>
      <c r="AI214" s="2">
        <v>0</v>
      </c>
      <c r="AJ214" s="2">
        <f t="shared" si="40"/>
        <v>0</v>
      </c>
      <c r="AK214" s="2">
        <f t="shared" si="41"/>
        <v>0</v>
      </c>
      <c r="AL214" s="2">
        <f t="shared" si="42"/>
        <v>0</v>
      </c>
      <c r="AM214" s="2">
        <f t="shared" si="43"/>
        <v>12.116059999999999</v>
      </c>
      <c r="AN214" s="2">
        <f t="shared" si="46"/>
        <v>12.116059999999999</v>
      </c>
      <c r="AO214" s="2">
        <f t="shared" si="47"/>
        <v>12.116059999999999</v>
      </c>
    </row>
    <row r="215" spans="1:41" x14ac:dyDescent="0.35">
      <c r="A215" t="s">
        <v>281</v>
      </c>
      <c r="B215" s="4">
        <v>9940465210</v>
      </c>
      <c r="C215" t="s">
        <v>128</v>
      </c>
      <c r="D215" t="s">
        <v>235</v>
      </c>
      <c r="E215" t="s">
        <v>26</v>
      </c>
      <c r="F215" s="2">
        <v>154.83623</v>
      </c>
      <c r="G215" s="2">
        <v>167.62779</v>
      </c>
      <c r="H215" s="2">
        <v>137.53013999999999</v>
      </c>
      <c r="I215" s="2">
        <v>86.533850000000001</v>
      </c>
      <c r="J215" s="2">
        <v>110.43825</v>
      </c>
      <c r="K215" s="2">
        <v>109.69924</v>
      </c>
      <c r="L215" s="2">
        <v>102.7777</v>
      </c>
      <c r="M215" s="2">
        <v>102.70338</v>
      </c>
      <c r="N215" s="2">
        <v>105.9739</v>
      </c>
      <c r="O215" s="2">
        <v>120.50266000000001</v>
      </c>
      <c r="P215" s="2">
        <v>109.61193</v>
      </c>
      <c r="Q215" s="2">
        <v>99.987759999999994</v>
      </c>
      <c r="R215" s="2">
        <f t="shared" si="36"/>
        <v>459.99415999999997</v>
      </c>
      <c r="S215" s="2">
        <f t="shared" si="37"/>
        <v>306.67133999999999</v>
      </c>
      <c r="T215" s="2">
        <f t="shared" si="38"/>
        <v>311.45497999999998</v>
      </c>
      <c r="U215" s="2">
        <f t="shared" si="39"/>
        <v>330.10235</v>
      </c>
      <c r="V215" s="2">
        <f t="shared" si="44"/>
        <v>209.59969000000001</v>
      </c>
      <c r="W215" s="2">
        <f t="shared" si="45"/>
        <v>1408.2228300000002</v>
      </c>
      <c r="X215" s="2">
        <v>45.48565</v>
      </c>
      <c r="Y215" s="2">
        <v>50.323430000000002</v>
      </c>
      <c r="Z215" s="2">
        <v>36.965949999999999</v>
      </c>
      <c r="AA215" s="2">
        <v>17.187989999999999</v>
      </c>
      <c r="AB215" s="2">
        <v>26.593820000000001</v>
      </c>
      <c r="AC215" s="2">
        <v>25.60239</v>
      </c>
      <c r="AD215" s="2">
        <v>21.069769999999998</v>
      </c>
      <c r="AE215" s="2">
        <v>19.435970000000001</v>
      </c>
      <c r="AF215" s="2">
        <v>19.968959999999999</v>
      </c>
      <c r="AG215" s="2">
        <v>28.641439999999999</v>
      </c>
      <c r="AH215" s="2">
        <v>28.818100000000001</v>
      </c>
      <c r="AI215" s="2">
        <v>27.65343</v>
      </c>
      <c r="AJ215" s="2">
        <f t="shared" si="40"/>
        <v>132.77502999999999</v>
      </c>
      <c r="AK215" s="2">
        <f t="shared" si="41"/>
        <v>69.384199999999993</v>
      </c>
      <c r="AL215" s="2">
        <f t="shared" si="42"/>
        <v>60.474699999999999</v>
      </c>
      <c r="AM215" s="2">
        <f t="shared" si="43"/>
        <v>85.112970000000004</v>
      </c>
      <c r="AN215" s="2">
        <f t="shared" si="46"/>
        <v>56.471530000000001</v>
      </c>
      <c r="AO215" s="2">
        <f t="shared" si="47"/>
        <v>347.74689999999998</v>
      </c>
    </row>
    <row r="216" spans="1:41" x14ac:dyDescent="0.35">
      <c r="A216" t="s">
        <v>281</v>
      </c>
      <c r="B216" s="4">
        <v>9940505235</v>
      </c>
      <c r="C216" t="s">
        <v>129</v>
      </c>
      <c r="D216" t="s">
        <v>223</v>
      </c>
      <c r="E216" t="s">
        <v>26</v>
      </c>
      <c r="F216" s="2">
        <v>6.9843099999999998</v>
      </c>
      <c r="G216" s="2">
        <v>6.9843099999999998</v>
      </c>
      <c r="H216" s="2">
        <v>6.9843099999999998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f t="shared" si="36"/>
        <v>20.952929999999999</v>
      </c>
      <c r="S216" s="2">
        <f t="shared" si="37"/>
        <v>0</v>
      </c>
      <c r="T216" s="2">
        <f t="shared" si="38"/>
        <v>0</v>
      </c>
      <c r="U216" s="2">
        <f t="shared" si="39"/>
        <v>0</v>
      </c>
      <c r="V216" s="2">
        <f t="shared" si="44"/>
        <v>0</v>
      </c>
      <c r="W216" s="2">
        <f t="shared" si="45"/>
        <v>20.952929999999999</v>
      </c>
      <c r="X216" s="2">
        <v>3.30341</v>
      </c>
      <c r="Y216" s="2">
        <v>4.3212099999999998</v>
      </c>
      <c r="Z216" s="2">
        <v>4.2513699999999996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f t="shared" si="40"/>
        <v>11.87599</v>
      </c>
      <c r="AK216" s="2">
        <f t="shared" si="41"/>
        <v>0</v>
      </c>
      <c r="AL216" s="2">
        <f t="shared" si="42"/>
        <v>0</v>
      </c>
      <c r="AM216" s="2">
        <f t="shared" si="43"/>
        <v>0</v>
      </c>
      <c r="AN216" s="2">
        <f t="shared" si="46"/>
        <v>0</v>
      </c>
      <c r="AO216" s="2">
        <f t="shared" si="47"/>
        <v>11.87599</v>
      </c>
    </row>
    <row r="217" spans="1:41" x14ac:dyDescent="0.35">
      <c r="A217" t="s">
        <v>281</v>
      </c>
      <c r="B217" s="4">
        <v>9940523857</v>
      </c>
      <c r="C217" t="s">
        <v>130</v>
      </c>
      <c r="D217" t="s">
        <v>259</v>
      </c>
      <c r="E217" t="s">
        <v>26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f t="shared" si="36"/>
        <v>0</v>
      </c>
      <c r="S217" s="2">
        <f t="shared" si="37"/>
        <v>0</v>
      </c>
      <c r="T217" s="2">
        <f t="shared" si="38"/>
        <v>0</v>
      </c>
      <c r="U217" s="2">
        <f t="shared" si="39"/>
        <v>0</v>
      </c>
      <c r="V217" s="2">
        <f t="shared" si="44"/>
        <v>0</v>
      </c>
      <c r="W217" s="2">
        <f t="shared" si="45"/>
        <v>0</v>
      </c>
      <c r="X217" s="2">
        <v>-0.29608000000000001</v>
      </c>
      <c r="Y217" s="2">
        <v>-0.29608000000000001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f t="shared" si="40"/>
        <v>-0.59216000000000002</v>
      </c>
      <c r="AK217" s="2">
        <f t="shared" si="41"/>
        <v>0</v>
      </c>
      <c r="AL217" s="2">
        <f t="shared" si="42"/>
        <v>0</v>
      </c>
      <c r="AM217" s="2">
        <f t="shared" si="43"/>
        <v>0</v>
      </c>
      <c r="AN217" s="2">
        <f t="shared" si="46"/>
        <v>0</v>
      </c>
      <c r="AO217" s="2">
        <f t="shared" si="47"/>
        <v>-0.59216000000000002</v>
      </c>
    </row>
    <row r="218" spans="1:41" x14ac:dyDescent="0.35">
      <c r="A218" t="s">
        <v>281</v>
      </c>
      <c r="B218" s="4">
        <v>9940572525</v>
      </c>
      <c r="C218" t="s">
        <v>132</v>
      </c>
      <c r="D218" t="s">
        <v>237</v>
      </c>
      <c r="E218" t="s">
        <v>26</v>
      </c>
      <c r="F218" s="2">
        <v>45.169350000000001</v>
      </c>
      <c r="G218" s="2">
        <v>31.540619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f t="shared" si="36"/>
        <v>76.709969000000001</v>
      </c>
      <c r="S218" s="2">
        <f t="shared" si="37"/>
        <v>0</v>
      </c>
      <c r="T218" s="2">
        <f t="shared" si="38"/>
        <v>0</v>
      </c>
      <c r="U218" s="2">
        <f t="shared" si="39"/>
        <v>0</v>
      </c>
      <c r="V218" s="2">
        <f t="shared" si="44"/>
        <v>0</v>
      </c>
      <c r="W218" s="2">
        <f t="shared" si="45"/>
        <v>76.709969000000001</v>
      </c>
      <c r="X218" s="2">
        <v>23.9776892</v>
      </c>
      <c r="Y218" s="2">
        <v>16.885520799999998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f t="shared" si="40"/>
        <v>40.863209999999995</v>
      </c>
      <c r="AK218" s="2">
        <f t="shared" si="41"/>
        <v>0</v>
      </c>
      <c r="AL218" s="2">
        <f t="shared" si="42"/>
        <v>0</v>
      </c>
      <c r="AM218" s="2">
        <f t="shared" si="43"/>
        <v>0</v>
      </c>
      <c r="AN218" s="2">
        <f t="shared" si="46"/>
        <v>0</v>
      </c>
      <c r="AO218" s="2">
        <f t="shared" si="47"/>
        <v>40.863209999999995</v>
      </c>
    </row>
    <row r="219" spans="1:41" x14ac:dyDescent="0.35">
      <c r="A219" t="s">
        <v>32</v>
      </c>
      <c r="B219" s="4">
        <v>9940578471</v>
      </c>
      <c r="C219" t="s">
        <v>164</v>
      </c>
      <c r="D219" t="s">
        <v>273</v>
      </c>
      <c r="E219" t="s">
        <v>26</v>
      </c>
      <c r="F219" s="2"/>
      <c r="G219" s="2"/>
      <c r="H219" s="2"/>
      <c r="I219" s="2"/>
      <c r="J219" s="2"/>
      <c r="K219" s="2"/>
      <c r="L219" s="2"/>
      <c r="M219" s="2"/>
      <c r="N219" s="2"/>
      <c r="O219" s="2">
        <v>0</v>
      </c>
      <c r="P219" s="2">
        <v>201.62106</v>
      </c>
      <c r="Q219" s="2">
        <v>65.464929999999995</v>
      </c>
      <c r="R219" s="2">
        <f t="shared" si="36"/>
        <v>0</v>
      </c>
      <c r="S219" s="2">
        <f t="shared" si="37"/>
        <v>0</v>
      </c>
      <c r="T219" s="2">
        <f t="shared" si="38"/>
        <v>0</v>
      </c>
      <c r="U219" s="2">
        <f t="shared" si="39"/>
        <v>267.08598999999998</v>
      </c>
      <c r="V219" s="2">
        <f t="shared" si="44"/>
        <v>267.08598999999998</v>
      </c>
      <c r="W219" s="2">
        <f t="shared" si="45"/>
        <v>267.08598999999998</v>
      </c>
      <c r="X219" s="2"/>
      <c r="Y219" s="2"/>
      <c r="Z219" s="2"/>
      <c r="AA219" s="2"/>
      <c r="AB219" s="2"/>
      <c r="AC219" s="2"/>
      <c r="AD219" s="2"/>
      <c r="AE219" s="2"/>
      <c r="AF219" s="2"/>
      <c r="AG219" s="2">
        <v>0</v>
      </c>
      <c r="AH219" s="2">
        <v>85.988349999999997</v>
      </c>
      <c r="AI219" s="2">
        <v>26.99972</v>
      </c>
      <c r="AJ219" s="2">
        <f t="shared" si="40"/>
        <v>0</v>
      </c>
      <c r="AK219" s="2">
        <f t="shared" si="41"/>
        <v>0</v>
      </c>
      <c r="AL219" s="2">
        <f t="shared" si="42"/>
        <v>0</v>
      </c>
      <c r="AM219" s="2">
        <f t="shared" si="43"/>
        <v>112.98806999999999</v>
      </c>
      <c r="AN219" s="2">
        <f t="shared" si="46"/>
        <v>112.98806999999999</v>
      </c>
      <c r="AO219" s="2">
        <f t="shared" si="47"/>
        <v>112.98806999999999</v>
      </c>
    </row>
    <row r="220" spans="1:41" x14ac:dyDescent="0.35">
      <c r="A220" t="s">
        <v>281</v>
      </c>
      <c r="B220" s="4">
        <v>9940467325</v>
      </c>
      <c r="C220" t="s">
        <v>134</v>
      </c>
      <c r="D220" t="s">
        <v>260</v>
      </c>
      <c r="E220" t="s">
        <v>26</v>
      </c>
      <c r="F220" s="2">
        <v>387.72737000000001</v>
      </c>
      <c r="G220" s="2">
        <v>322.31526000000002</v>
      </c>
      <c r="H220" s="2">
        <v>111.92216000000001</v>
      </c>
      <c r="I220" s="2">
        <v>112.83893999999999</v>
      </c>
      <c r="J220" s="2">
        <v>111.28694</v>
      </c>
      <c r="K220" s="2">
        <v>111.73311</v>
      </c>
      <c r="L220" s="2">
        <v>111.11888</v>
      </c>
      <c r="M220" s="2">
        <v>3.1537899999999999</v>
      </c>
      <c r="N220" s="2">
        <v>0</v>
      </c>
      <c r="O220" s="2">
        <v>0</v>
      </c>
      <c r="P220" s="2">
        <v>0</v>
      </c>
      <c r="Q220" s="2">
        <v>0</v>
      </c>
      <c r="R220" s="2">
        <f t="shared" si="36"/>
        <v>821.96478999999999</v>
      </c>
      <c r="S220" s="2">
        <f t="shared" si="37"/>
        <v>335.85899000000001</v>
      </c>
      <c r="T220" s="2">
        <f t="shared" si="38"/>
        <v>114.27267000000001</v>
      </c>
      <c r="U220" s="2">
        <f t="shared" si="39"/>
        <v>0</v>
      </c>
      <c r="V220" s="2">
        <f t="shared" si="44"/>
        <v>0</v>
      </c>
      <c r="W220" s="2">
        <f t="shared" si="45"/>
        <v>1272.09645</v>
      </c>
      <c r="X220" s="2">
        <v>-41.891179999999999</v>
      </c>
      <c r="Y220" s="2">
        <v>-39.997459999999997</v>
      </c>
      <c r="Z220" s="2">
        <v>-30.77863</v>
      </c>
      <c r="AA220" s="2">
        <v>-27.76172</v>
      </c>
      <c r="AB220" s="2">
        <v>-24.2911</v>
      </c>
      <c r="AC220" s="2">
        <v>-22.094529999999999</v>
      </c>
      <c r="AD220" s="2">
        <v>-19.8933</v>
      </c>
      <c r="AE220" s="2">
        <v>-11.7972</v>
      </c>
      <c r="AF220" s="2">
        <v>-3.6314500000000001</v>
      </c>
      <c r="AG220" s="2">
        <v>0</v>
      </c>
      <c r="AH220" s="2">
        <v>0</v>
      </c>
      <c r="AI220" s="2">
        <v>0</v>
      </c>
      <c r="AJ220" s="2">
        <f t="shared" si="40"/>
        <v>-112.66727</v>
      </c>
      <c r="AK220" s="2">
        <f t="shared" si="41"/>
        <v>-74.147349999999989</v>
      </c>
      <c r="AL220" s="2">
        <f t="shared" si="42"/>
        <v>-35.321950000000001</v>
      </c>
      <c r="AM220" s="2">
        <f t="shared" si="43"/>
        <v>0</v>
      </c>
      <c r="AN220" s="2">
        <f t="shared" si="46"/>
        <v>0</v>
      </c>
      <c r="AO220" s="2">
        <f t="shared" si="47"/>
        <v>-222.13657000000001</v>
      </c>
    </row>
    <row r="221" spans="1:41" x14ac:dyDescent="0.35">
      <c r="A221" t="s">
        <v>281</v>
      </c>
      <c r="B221" s="4">
        <v>9940531641</v>
      </c>
      <c r="C221" t="s">
        <v>135</v>
      </c>
      <c r="D221" t="s">
        <v>240</v>
      </c>
      <c r="E221" t="s">
        <v>26</v>
      </c>
      <c r="F221" s="2">
        <v>103.08793</v>
      </c>
      <c r="G221" s="2">
        <v>107.99688</v>
      </c>
      <c r="H221" s="2">
        <v>93.270030000000006</v>
      </c>
      <c r="I221" s="2">
        <v>107.99688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f t="shared" si="36"/>
        <v>304.35484000000002</v>
      </c>
      <c r="S221" s="2">
        <f t="shared" si="37"/>
        <v>107.99688</v>
      </c>
      <c r="T221" s="2">
        <f t="shared" si="38"/>
        <v>0</v>
      </c>
      <c r="U221" s="2">
        <f t="shared" si="39"/>
        <v>0</v>
      </c>
      <c r="V221" s="2">
        <f t="shared" si="44"/>
        <v>0</v>
      </c>
      <c r="W221" s="2">
        <f t="shared" si="45"/>
        <v>412.35172</v>
      </c>
      <c r="X221" s="2">
        <v>28.15784</v>
      </c>
      <c r="Y221" s="2">
        <v>29.782509999999998</v>
      </c>
      <c r="Z221" s="2">
        <v>25.0657</v>
      </c>
      <c r="AA221" s="2">
        <v>28.912120000000002</v>
      </c>
      <c r="AB221" s="2">
        <v>-2.11911</v>
      </c>
      <c r="AC221" s="2">
        <v>-1.2032099999999999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f t="shared" si="40"/>
        <v>83.006049999999988</v>
      </c>
      <c r="AK221" s="2">
        <f t="shared" si="41"/>
        <v>25.589800000000004</v>
      </c>
      <c r="AL221" s="2">
        <f t="shared" si="42"/>
        <v>0</v>
      </c>
      <c r="AM221" s="2">
        <f t="shared" si="43"/>
        <v>0</v>
      </c>
      <c r="AN221" s="2">
        <f t="shared" si="46"/>
        <v>0</v>
      </c>
      <c r="AO221" s="2">
        <f t="shared" si="47"/>
        <v>108.59584999999998</v>
      </c>
    </row>
    <row r="222" spans="1:41" x14ac:dyDescent="0.35">
      <c r="A222" t="s">
        <v>281</v>
      </c>
      <c r="B222" s="4">
        <v>9940547078</v>
      </c>
      <c r="C222" t="s">
        <v>136</v>
      </c>
      <c r="D222" t="s">
        <v>232</v>
      </c>
      <c r="E222" t="s">
        <v>26</v>
      </c>
      <c r="F222" s="2">
        <v>340.64832999999999</v>
      </c>
      <c r="G222" s="2">
        <v>340.64832999999999</v>
      </c>
      <c r="H222" s="2">
        <v>340.64832999999999</v>
      </c>
      <c r="I222" s="2">
        <v>340.64832999999999</v>
      </c>
      <c r="J222" s="2">
        <v>340.64832999999999</v>
      </c>
      <c r="K222" s="2">
        <v>340.64832999999999</v>
      </c>
      <c r="L222" s="2">
        <v>340.64832999999999</v>
      </c>
      <c r="M222" s="2">
        <v>340.64832999999999</v>
      </c>
      <c r="N222" s="2">
        <v>340.64832999999999</v>
      </c>
      <c r="O222" s="2">
        <v>340.64832999999999</v>
      </c>
      <c r="P222" s="2">
        <v>340.64832999999999</v>
      </c>
      <c r="Q222" s="2">
        <v>340.64832999999999</v>
      </c>
      <c r="R222" s="2">
        <f t="shared" si="36"/>
        <v>1021.94499</v>
      </c>
      <c r="S222" s="2">
        <f t="shared" si="37"/>
        <v>1021.94499</v>
      </c>
      <c r="T222" s="2">
        <f t="shared" si="38"/>
        <v>1021.94499</v>
      </c>
      <c r="U222" s="2">
        <f t="shared" si="39"/>
        <v>1021.94499</v>
      </c>
      <c r="V222" s="2">
        <f t="shared" si="44"/>
        <v>681.29665999999997</v>
      </c>
      <c r="W222" s="2">
        <f t="shared" si="45"/>
        <v>4087.7799599999998</v>
      </c>
      <c r="X222" s="2">
        <v>122.97405000000001</v>
      </c>
      <c r="Y222" s="2">
        <v>122.97405000000001</v>
      </c>
      <c r="Z222" s="2">
        <v>122.97405000000001</v>
      </c>
      <c r="AA222" s="2">
        <v>122.97405000000001</v>
      </c>
      <c r="AB222" s="2">
        <v>122.97405000000001</v>
      </c>
      <c r="AC222" s="2">
        <v>122.97405000000001</v>
      </c>
      <c r="AD222" s="2">
        <v>122.97405000000001</v>
      </c>
      <c r="AE222" s="2">
        <v>122.97405000000001</v>
      </c>
      <c r="AF222" s="2">
        <v>122.97405000000001</v>
      </c>
      <c r="AG222" s="2">
        <v>122.97405000000001</v>
      </c>
      <c r="AH222" s="2">
        <v>122.97405000000001</v>
      </c>
      <c r="AI222" s="2">
        <v>122.97405000000001</v>
      </c>
      <c r="AJ222" s="2">
        <f t="shared" si="40"/>
        <v>368.92214999999999</v>
      </c>
      <c r="AK222" s="2">
        <f t="shared" si="41"/>
        <v>368.92214999999999</v>
      </c>
      <c r="AL222" s="2">
        <f t="shared" si="42"/>
        <v>368.92214999999999</v>
      </c>
      <c r="AM222" s="2">
        <f t="shared" si="43"/>
        <v>368.92214999999999</v>
      </c>
      <c r="AN222" s="2">
        <f t="shared" si="46"/>
        <v>245.94810000000001</v>
      </c>
      <c r="AO222" s="2">
        <f t="shared" si="47"/>
        <v>1475.6886</v>
      </c>
    </row>
    <row r="223" spans="1:41" x14ac:dyDescent="0.35">
      <c r="A223" t="s">
        <v>281</v>
      </c>
      <c r="B223" s="4">
        <v>9940548855</v>
      </c>
      <c r="C223" t="s">
        <v>137</v>
      </c>
      <c r="D223" t="s">
        <v>221</v>
      </c>
      <c r="E223" t="s">
        <v>26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f t="shared" si="36"/>
        <v>0</v>
      </c>
      <c r="S223" s="2">
        <f t="shared" si="37"/>
        <v>0</v>
      </c>
      <c r="T223" s="2">
        <f t="shared" si="38"/>
        <v>0</v>
      </c>
      <c r="U223" s="2">
        <f t="shared" si="39"/>
        <v>0</v>
      </c>
      <c r="V223" s="2">
        <f t="shared" si="44"/>
        <v>0</v>
      </c>
      <c r="W223" s="2">
        <f t="shared" si="45"/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f t="shared" si="40"/>
        <v>0</v>
      </c>
      <c r="AK223" s="2">
        <f t="shared" si="41"/>
        <v>0</v>
      </c>
      <c r="AL223" s="2">
        <f t="shared" si="42"/>
        <v>0</v>
      </c>
      <c r="AM223" s="2">
        <f t="shared" si="43"/>
        <v>0</v>
      </c>
      <c r="AN223" s="2">
        <f t="shared" si="46"/>
        <v>0</v>
      </c>
      <c r="AO223" s="2">
        <f t="shared" si="47"/>
        <v>0</v>
      </c>
    </row>
    <row r="224" spans="1:41" x14ac:dyDescent="0.35">
      <c r="A224" t="s">
        <v>281</v>
      </c>
      <c r="B224" s="4">
        <v>9940578471</v>
      </c>
      <c r="C224" t="s">
        <v>164</v>
      </c>
      <c r="D224" t="s">
        <v>273</v>
      </c>
      <c r="E224" t="s">
        <v>26</v>
      </c>
      <c r="F224" s="2">
        <v>3.6313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f t="shared" si="36"/>
        <v>3.6313</v>
      </c>
      <c r="S224" s="2">
        <f t="shared" si="37"/>
        <v>0</v>
      </c>
      <c r="T224" s="2">
        <f t="shared" si="38"/>
        <v>0</v>
      </c>
      <c r="U224" s="2">
        <f t="shared" si="39"/>
        <v>0</v>
      </c>
      <c r="V224" s="2">
        <f t="shared" si="44"/>
        <v>0</v>
      </c>
      <c r="W224" s="2">
        <f t="shared" si="45"/>
        <v>3.6313</v>
      </c>
      <c r="X224" s="2">
        <v>-1.4809600000000001</v>
      </c>
      <c r="Y224" s="2">
        <v>-0.48041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f t="shared" si="40"/>
        <v>-1.9613700000000001</v>
      </c>
      <c r="AK224" s="2">
        <f t="shared" si="41"/>
        <v>0</v>
      </c>
      <c r="AL224" s="2">
        <f t="shared" si="42"/>
        <v>0</v>
      </c>
      <c r="AM224" s="2">
        <f t="shared" si="43"/>
        <v>0</v>
      </c>
      <c r="AN224" s="2">
        <f t="shared" si="46"/>
        <v>0</v>
      </c>
      <c r="AO224" s="2">
        <f t="shared" si="47"/>
        <v>-1.9613700000000001</v>
      </c>
    </row>
    <row r="225" spans="1:41" x14ac:dyDescent="0.35">
      <c r="A225" t="s">
        <v>281</v>
      </c>
      <c r="B225" s="4">
        <v>9940572613</v>
      </c>
      <c r="C225" t="s">
        <v>140</v>
      </c>
      <c r="D225" t="s">
        <v>261</v>
      </c>
      <c r="E225" t="s">
        <v>26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f t="shared" si="36"/>
        <v>0</v>
      </c>
      <c r="S225" s="2">
        <f t="shared" si="37"/>
        <v>0</v>
      </c>
      <c r="T225" s="2">
        <f t="shared" si="38"/>
        <v>0</v>
      </c>
      <c r="U225" s="2">
        <f t="shared" si="39"/>
        <v>0</v>
      </c>
      <c r="V225" s="2">
        <f t="shared" si="44"/>
        <v>0</v>
      </c>
      <c r="W225" s="2">
        <f t="shared" si="45"/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f t="shared" si="40"/>
        <v>0</v>
      </c>
      <c r="AK225" s="2">
        <f t="shared" si="41"/>
        <v>0</v>
      </c>
      <c r="AL225" s="2">
        <f t="shared" si="42"/>
        <v>0</v>
      </c>
      <c r="AM225" s="2">
        <f t="shared" si="43"/>
        <v>0</v>
      </c>
      <c r="AN225" s="2">
        <f t="shared" si="46"/>
        <v>0</v>
      </c>
      <c r="AO225" s="2">
        <f t="shared" si="47"/>
        <v>0</v>
      </c>
    </row>
    <row r="226" spans="1:41" x14ac:dyDescent="0.35">
      <c r="A226" t="s">
        <v>281</v>
      </c>
      <c r="B226" s="4">
        <v>9940528274</v>
      </c>
      <c r="C226" t="s">
        <v>146</v>
      </c>
      <c r="D226" t="s">
        <v>241</v>
      </c>
      <c r="E226" t="s">
        <v>26</v>
      </c>
      <c r="F226" s="2">
        <v>83.246899999999997</v>
      </c>
      <c r="G226" s="2">
        <v>67.706450000000004</v>
      </c>
      <c r="H226" s="2">
        <v>74.533760000000001</v>
      </c>
      <c r="I226" s="2">
        <v>71.740809999999996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f t="shared" si="36"/>
        <v>225.48711</v>
      </c>
      <c r="S226" s="2">
        <f t="shared" si="37"/>
        <v>71.740809999999996</v>
      </c>
      <c r="T226" s="2">
        <f t="shared" si="38"/>
        <v>0</v>
      </c>
      <c r="U226" s="2">
        <f t="shared" si="39"/>
        <v>0</v>
      </c>
      <c r="V226" s="2">
        <f t="shared" si="44"/>
        <v>0</v>
      </c>
      <c r="W226" s="2">
        <f t="shared" si="45"/>
        <v>297.22791999999998</v>
      </c>
      <c r="X226" s="2">
        <v>3.33508</v>
      </c>
      <c r="Y226" s="2">
        <v>3.3874599999999999</v>
      </c>
      <c r="Z226" s="2">
        <v>3.9449399999999999</v>
      </c>
      <c r="AA226" s="2">
        <v>2.6474299999999999</v>
      </c>
      <c r="AB226" s="2">
        <v>-55.346800000000002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f t="shared" si="40"/>
        <v>10.667480000000001</v>
      </c>
      <c r="AK226" s="2">
        <f t="shared" si="41"/>
        <v>-52.699370000000002</v>
      </c>
      <c r="AL226" s="2">
        <f t="shared" si="42"/>
        <v>0</v>
      </c>
      <c r="AM226" s="2">
        <f t="shared" si="43"/>
        <v>0</v>
      </c>
      <c r="AN226" s="2">
        <f t="shared" si="46"/>
        <v>0</v>
      </c>
      <c r="AO226" s="2">
        <f t="shared" si="47"/>
        <v>-42.031890000000004</v>
      </c>
    </row>
    <row r="227" spans="1:41" x14ac:dyDescent="0.35">
      <c r="A227" t="s">
        <v>281</v>
      </c>
      <c r="B227" s="4">
        <v>9940531034</v>
      </c>
      <c r="C227" t="s">
        <v>147</v>
      </c>
      <c r="D227" t="s">
        <v>264</v>
      </c>
      <c r="E227" t="s">
        <v>26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f t="shared" si="36"/>
        <v>0</v>
      </c>
      <c r="S227" s="2">
        <f t="shared" si="37"/>
        <v>0</v>
      </c>
      <c r="T227" s="2">
        <f t="shared" si="38"/>
        <v>0</v>
      </c>
      <c r="U227" s="2">
        <f t="shared" si="39"/>
        <v>0</v>
      </c>
      <c r="V227" s="2">
        <f t="shared" si="44"/>
        <v>0</v>
      </c>
      <c r="W227" s="2">
        <f t="shared" si="45"/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f t="shared" si="40"/>
        <v>0</v>
      </c>
      <c r="AK227" s="2">
        <f t="shared" si="41"/>
        <v>0</v>
      </c>
      <c r="AL227" s="2">
        <f t="shared" si="42"/>
        <v>0</v>
      </c>
      <c r="AM227" s="2">
        <f t="shared" si="43"/>
        <v>0</v>
      </c>
      <c r="AN227" s="2">
        <f t="shared" si="46"/>
        <v>0</v>
      </c>
      <c r="AO227" s="2">
        <f t="shared" si="47"/>
        <v>0</v>
      </c>
    </row>
    <row r="228" spans="1:41" x14ac:dyDescent="0.35">
      <c r="A228" t="s">
        <v>281</v>
      </c>
      <c r="B228" s="4">
        <v>9940542499</v>
      </c>
      <c r="C228" t="s">
        <v>148</v>
      </c>
      <c r="D228" t="s">
        <v>259</v>
      </c>
      <c r="E228" t="s">
        <v>26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f t="shared" si="36"/>
        <v>0</v>
      </c>
      <c r="S228" s="2">
        <f t="shared" si="37"/>
        <v>0</v>
      </c>
      <c r="T228" s="2">
        <f t="shared" si="38"/>
        <v>0</v>
      </c>
      <c r="U228" s="2">
        <f t="shared" si="39"/>
        <v>0</v>
      </c>
      <c r="V228" s="2">
        <f t="shared" si="44"/>
        <v>0</v>
      </c>
      <c r="W228" s="2">
        <f t="shared" si="45"/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f t="shared" si="40"/>
        <v>0</v>
      </c>
      <c r="AK228" s="2">
        <f t="shared" si="41"/>
        <v>0</v>
      </c>
      <c r="AL228" s="2">
        <f t="shared" si="42"/>
        <v>0</v>
      </c>
      <c r="AM228" s="2">
        <f t="shared" si="43"/>
        <v>0</v>
      </c>
      <c r="AN228" s="2">
        <f t="shared" si="46"/>
        <v>0</v>
      </c>
      <c r="AO228" s="2">
        <f t="shared" si="47"/>
        <v>0</v>
      </c>
    </row>
    <row r="229" spans="1:41" x14ac:dyDescent="0.35">
      <c r="A229" t="s">
        <v>32</v>
      </c>
      <c r="B229" s="4">
        <v>9940578551</v>
      </c>
      <c r="C229" t="s">
        <v>154</v>
      </c>
      <c r="D229" t="s">
        <v>286</v>
      </c>
      <c r="E229" t="s">
        <v>26</v>
      </c>
      <c r="F229" s="2"/>
      <c r="G229" s="2"/>
      <c r="H229" s="2"/>
      <c r="I229" s="2"/>
      <c r="J229" s="2"/>
      <c r="K229" s="2"/>
      <c r="L229" s="2"/>
      <c r="M229" s="2"/>
      <c r="N229" s="2"/>
      <c r="O229" s="2">
        <v>0</v>
      </c>
      <c r="P229" s="2">
        <v>0</v>
      </c>
      <c r="Q229" s="2">
        <v>32.771039999999999</v>
      </c>
      <c r="R229" s="2">
        <f t="shared" si="36"/>
        <v>0</v>
      </c>
      <c r="S229" s="2">
        <f t="shared" si="37"/>
        <v>0</v>
      </c>
      <c r="T229" s="2">
        <f t="shared" si="38"/>
        <v>0</v>
      </c>
      <c r="U229" s="2">
        <f t="shared" si="39"/>
        <v>32.771039999999999</v>
      </c>
      <c r="V229" s="2">
        <f t="shared" si="44"/>
        <v>32.771039999999999</v>
      </c>
      <c r="W229" s="2">
        <f t="shared" si="45"/>
        <v>32.771039999999999</v>
      </c>
      <c r="X229" s="2"/>
      <c r="Y229" s="2"/>
      <c r="Z229" s="2"/>
      <c r="AA229" s="2"/>
      <c r="AB229" s="2"/>
      <c r="AC229" s="2"/>
      <c r="AD229" s="2"/>
      <c r="AE229" s="2"/>
      <c r="AF229" s="2"/>
      <c r="AG229" s="2">
        <v>0</v>
      </c>
      <c r="AH229" s="2">
        <v>0</v>
      </c>
      <c r="AI229" s="2">
        <v>14.53159</v>
      </c>
      <c r="AJ229" s="2">
        <f t="shared" si="40"/>
        <v>0</v>
      </c>
      <c r="AK229" s="2">
        <f t="shared" si="41"/>
        <v>0</v>
      </c>
      <c r="AL229" s="2">
        <f t="shared" si="42"/>
        <v>0</v>
      </c>
      <c r="AM229" s="2">
        <f t="shared" si="43"/>
        <v>14.53159</v>
      </c>
      <c r="AN229" s="2">
        <f t="shared" si="46"/>
        <v>14.53159</v>
      </c>
      <c r="AO229" s="2">
        <f t="shared" si="47"/>
        <v>14.53159</v>
      </c>
    </row>
    <row r="230" spans="1:41" x14ac:dyDescent="0.35">
      <c r="A230" t="s">
        <v>281</v>
      </c>
      <c r="B230" s="4">
        <v>9940565199</v>
      </c>
      <c r="C230" t="s">
        <v>152</v>
      </c>
      <c r="D230" t="s">
        <v>265</v>
      </c>
      <c r="E230" t="s">
        <v>26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f t="shared" si="36"/>
        <v>0</v>
      </c>
      <c r="S230" s="2">
        <f t="shared" si="37"/>
        <v>0</v>
      </c>
      <c r="T230" s="2">
        <f t="shared" si="38"/>
        <v>0</v>
      </c>
      <c r="U230" s="2">
        <f t="shared" si="39"/>
        <v>0</v>
      </c>
      <c r="V230" s="2">
        <f t="shared" si="44"/>
        <v>0</v>
      </c>
      <c r="W230" s="2">
        <f t="shared" si="45"/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f t="shared" si="40"/>
        <v>0</v>
      </c>
      <c r="AK230" s="2">
        <f t="shared" si="41"/>
        <v>0</v>
      </c>
      <c r="AL230" s="2">
        <f t="shared" si="42"/>
        <v>0</v>
      </c>
      <c r="AM230" s="2">
        <f t="shared" si="43"/>
        <v>0</v>
      </c>
      <c r="AN230" s="2">
        <f t="shared" si="46"/>
        <v>0</v>
      </c>
      <c r="AO230" s="2">
        <f t="shared" si="47"/>
        <v>0</v>
      </c>
    </row>
    <row r="231" spans="1:41" x14ac:dyDescent="0.35">
      <c r="A231" t="s">
        <v>281</v>
      </c>
      <c r="B231" s="4">
        <v>9940578551</v>
      </c>
      <c r="C231" t="s">
        <v>154</v>
      </c>
      <c r="D231" t="s">
        <v>286</v>
      </c>
      <c r="E231" t="s">
        <v>26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f t="shared" si="36"/>
        <v>0</v>
      </c>
      <c r="S231" s="2">
        <f t="shared" si="37"/>
        <v>0</v>
      </c>
      <c r="T231" s="2">
        <f t="shared" si="38"/>
        <v>0</v>
      </c>
      <c r="U231" s="2">
        <f t="shared" si="39"/>
        <v>0</v>
      </c>
      <c r="V231" s="2">
        <f t="shared" si="44"/>
        <v>0</v>
      </c>
      <c r="W231" s="2">
        <f t="shared" si="45"/>
        <v>0</v>
      </c>
      <c r="X231" s="2">
        <v>-0.32771</v>
      </c>
      <c r="Y231" s="2">
        <v>-0.38013999999999998</v>
      </c>
      <c r="Z231" s="2">
        <v>-0.38013999999999998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f t="shared" si="40"/>
        <v>-1.08799</v>
      </c>
      <c r="AK231" s="2">
        <f t="shared" si="41"/>
        <v>0</v>
      </c>
      <c r="AL231" s="2">
        <f t="shared" si="42"/>
        <v>0</v>
      </c>
      <c r="AM231" s="2">
        <f t="shared" si="43"/>
        <v>0</v>
      </c>
      <c r="AN231" s="2">
        <f t="shared" si="46"/>
        <v>0</v>
      </c>
      <c r="AO231" s="2">
        <f t="shared" si="47"/>
        <v>-1.08799</v>
      </c>
    </row>
    <row r="232" spans="1:41" x14ac:dyDescent="0.35">
      <c r="A232" t="s">
        <v>32</v>
      </c>
      <c r="B232" s="4">
        <v>9940578733</v>
      </c>
      <c r="C232" t="s">
        <v>155</v>
      </c>
      <c r="D232" t="s">
        <v>287</v>
      </c>
      <c r="E232" t="s">
        <v>26</v>
      </c>
      <c r="F232" s="2"/>
      <c r="G232" s="2"/>
      <c r="H232" s="2"/>
      <c r="I232" s="2"/>
      <c r="J232" s="2"/>
      <c r="K232" s="2"/>
      <c r="L232" s="2"/>
      <c r="M232" s="2"/>
      <c r="N232" s="2"/>
      <c r="O232" s="2">
        <v>0</v>
      </c>
      <c r="P232" s="2">
        <v>0</v>
      </c>
      <c r="Q232" s="2">
        <v>32.771039999999999</v>
      </c>
      <c r="R232" s="2">
        <f t="shared" si="36"/>
        <v>0</v>
      </c>
      <c r="S232" s="2">
        <f t="shared" si="37"/>
        <v>0</v>
      </c>
      <c r="T232" s="2">
        <f t="shared" si="38"/>
        <v>0</v>
      </c>
      <c r="U232" s="2">
        <f t="shared" si="39"/>
        <v>32.771039999999999</v>
      </c>
      <c r="V232" s="2">
        <f t="shared" si="44"/>
        <v>32.771039999999999</v>
      </c>
      <c r="W232" s="2">
        <f t="shared" si="45"/>
        <v>32.771039999999999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>
        <v>0</v>
      </c>
      <c r="AH232" s="2">
        <v>0</v>
      </c>
      <c r="AI232" s="2">
        <v>14.53159</v>
      </c>
      <c r="AJ232" s="2">
        <f t="shared" si="40"/>
        <v>0</v>
      </c>
      <c r="AK232" s="2">
        <f t="shared" si="41"/>
        <v>0</v>
      </c>
      <c r="AL232" s="2">
        <f t="shared" si="42"/>
        <v>0</v>
      </c>
      <c r="AM232" s="2">
        <f t="shared" si="43"/>
        <v>14.53159</v>
      </c>
      <c r="AN232" s="2">
        <f t="shared" si="46"/>
        <v>14.53159</v>
      </c>
      <c r="AO232" s="2">
        <f t="shared" si="47"/>
        <v>14.53159</v>
      </c>
    </row>
    <row r="233" spans="1:41" x14ac:dyDescent="0.35">
      <c r="A233" t="s">
        <v>281</v>
      </c>
      <c r="B233" s="4">
        <v>9940578733</v>
      </c>
      <c r="C233" t="s">
        <v>155</v>
      </c>
      <c r="D233" t="s">
        <v>287</v>
      </c>
      <c r="E233" t="s">
        <v>26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f t="shared" si="36"/>
        <v>0</v>
      </c>
      <c r="S233" s="2">
        <f t="shared" si="37"/>
        <v>0</v>
      </c>
      <c r="T233" s="2">
        <f t="shared" si="38"/>
        <v>0</v>
      </c>
      <c r="U233" s="2">
        <f t="shared" si="39"/>
        <v>0</v>
      </c>
      <c r="V233" s="2">
        <f t="shared" si="44"/>
        <v>0</v>
      </c>
      <c r="W233" s="2">
        <f t="shared" si="45"/>
        <v>0</v>
      </c>
      <c r="X233" s="2">
        <v>-0.32771</v>
      </c>
      <c r="Y233" s="2">
        <v>-0.38013999999999998</v>
      </c>
      <c r="Z233" s="2">
        <v>-0.38013999999999998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f t="shared" si="40"/>
        <v>-1.08799</v>
      </c>
      <c r="AK233" s="2">
        <f t="shared" si="41"/>
        <v>0</v>
      </c>
      <c r="AL233" s="2">
        <f t="shared" si="42"/>
        <v>0</v>
      </c>
      <c r="AM233" s="2">
        <f t="shared" si="43"/>
        <v>0</v>
      </c>
      <c r="AN233" s="2">
        <f t="shared" si="46"/>
        <v>0</v>
      </c>
      <c r="AO233" s="2">
        <f t="shared" si="47"/>
        <v>-1.08799</v>
      </c>
    </row>
    <row r="234" spans="1:41" x14ac:dyDescent="0.35">
      <c r="A234" t="s">
        <v>281</v>
      </c>
      <c r="B234" s="4">
        <v>9940397792</v>
      </c>
      <c r="C234" t="s">
        <v>158</v>
      </c>
      <c r="D234" t="s">
        <v>266</v>
      </c>
      <c r="E234" t="s">
        <v>26</v>
      </c>
      <c r="F234" s="2">
        <v>178.73452259999999</v>
      </c>
      <c r="G234" s="2">
        <v>172.89146339999999</v>
      </c>
      <c r="H234" s="2">
        <v>175.05286530000001</v>
      </c>
      <c r="I234" s="2">
        <v>136.38293999999999</v>
      </c>
      <c r="J234" s="2">
        <v>230.17548239999999</v>
      </c>
      <c r="K234" s="2">
        <v>224.1274512</v>
      </c>
      <c r="L234" s="2">
        <v>249.68489310000001</v>
      </c>
      <c r="M234" s="2">
        <v>241.26327570000001</v>
      </c>
      <c r="N234" s="2">
        <v>252.6500532</v>
      </c>
      <c r="O234" s="2">
        <v>290.38341480000003</v>
      </c>
      <c r="P234" s="2">
        <v>190.32535859999999</v>
      </c>
      <c r="Q234" s="2">
        <v>144.38668770000001</v>
      </c>
      <c r="R234" s="2">
        <f t="shared" si="36"/>
        <v>526.67885130000002</v>
      </c>
      <c r="S234" s="2">
        <f t="shared" si="37"/>
        <v>590.68587359999992</v>
      </c>
      <c r="T234" s="2">
        <f t="shared" si="38"/>
        <v>743.59822200000008</v>
      </c>
      <c r="U234" s="2">
        <f t="shared" si="39"/>
        <v>625.09546110000008</v>
      </c>
      <c r="V234" s="2">
        <f t="shared" si="44"/>
        <v>334.7120463</v>
      </c>
      <c r="W234" s="2">
        <f t="shared" si="45"/>
        <v>2486.0584080000003</v>
      </c>
      <c r="X234" s="2">
        <v>70.968074999999999</v>
      </c>
      <c r="Y234" s="2">
        <v>67.649486100000004</v>
      </c>
      <c r="Z234" s="2">
        <v>69.056711100000001</v>
      </c>
      <c r="AA234" s="2">
        <v>49.740379500000003</v>
      </c>
      <c r="AB234" s="2">
        <v>95.451580199999995</v>
      </c>
      <c r="AC234" s="2">
        <v>94.440431399999994</v>
      </c>
      <c r="AD234" s="2">
        <v>105.143241</v>
      </c>
      <c r="AE234" s="2">
        <v>100.9915314</v>
      </c>
      <c r="AF234" s="2">
        <v>107.32641030000001</v>
      </c>
      <c r="AG234" s="2">
        <v>113.8467297</v>
      </c>
      <c r="AH234" s="2">
        <v>68.075481600000003</v>
      </c>
      <c r="AI234" s="2">
        <v>54.253948200000004</v>
      </c>
      <c r="AJ234" s="2">
        <f t="shared" si="40"/>
        <v>207.67427219999999</v>
      </c>
      <c r="AK234" s="2">
        <f t="shared" si="41"/>
        <v>239.63239109999998</v>
      </c>
      <c r="AL234" s="2">
        <f t="shared" si="42"/>
        <v>313.46118269999999</v>
      </c>
      <c r="AM234" s="2">
        <f t="shared" si="43"/>
        <v>236.17615950000001</v>
      </c>
      <c r="AN234" s="2">
        <f t="shared" si="46"/>
        <v>122.32942980000001</v>
      </c>
      <c r="AO234" s="2">
        <f t="shared" si="47"/>
        <v>996.9440055</v>
      </c>
    </row>
    <row r="235" spans="1:41" x14ac:dyDescent="0.35">
      <c r="A235" t="s">
        <v>281</v>
      </c>
      <c r="B235" s="4">
        <v>9940499510</v>
      </c>
      <c r="C235" t="s">
        <v>160</v>
      </c>
      <c r="D235" t="s">
        <v>231</v>
      </c>
      <c r="E235" t="s">
        <v>26</v>
      </c>
      <c r="F235" s="2">
        <v>15.1897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f t="shared" si="36"/>
        <v>15.1897</v>
      </c>
      <c r="S235" s="2">
        <f t="shared" si="37"/>
        <v>0</v>
      </c>
      <c r="T235" s="2">
        <f t="shared" si="38"/>
        <v>0</v>
      </c>
      <c r="U235" s="2">
        <f t="shared" si="39"/>
        <v>0</v>
      </c>
      <c r="V235" s="2">
        <f t="shared" si="44"/>
        <v>0</v>
      </c>
      <c r="W235" s="2">
        <f t="shared" si="45"/>
        <v>15.1897</v>
      </c>
      <c r="X235" s="2">
        <v>2.3721800000000002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f t="shared" si="40"/>
        <v>2.3721800000000002</v>
      </c>
      <c r="AK235" s="2">
        <f t="shared" si="41"/>
        <v>0</v>
      </c>
      <c r="AL235" s="2">
        <f t="shared" si="42"/>
        <v>0</v>
      </c>
      <c r="AM235" s="2">
        <f t="shared" si="43"/>
        <v>0</v>
      </c>
      <c r="AN235" s="2">
        <f t="shared" si="46"/>
        <v>0</v>
      </c>
      <c r="AO235" s="2">
        <f t="shared" si="47"/>
        <v>2.3721800000000002</v>
      </c>
    </row>
    <row r="236" spans="1:41" x14ac:dyDescent="0.35">
      <c r="A236" t="s">
        <v>281</v>
      </c>
      <c r="B236" s="4">
        <v>9940533299</v>
      </c>
      <c r="C236" t="s">
        <v>171</v>
      </c>
      <c r="D236" t="s">
        <v>255</v>
      </c>
      <c r="E236" t="s">
        <v>26</v>
      </c>
      <c r="F236" s="2">
        <v>109.77829</v>
      </c>
      <c r="G236" s="2">
        <v>110.32398000000001</v>
      </c>
      <c r="H236" s="2">
        <v>89.025800000000004</v>
      </c>
      <c r="I236" s="2">
        <v>47.595199999999998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f t="shared" si="36"/>
        <v>309.12806999999998</v>
      </c>
      <c r="S236" s="2">
        <f t="shared" si="37"/>
        <v>47.595199999999998</v>
      </c>
      <c r="T236" s="2">
        <f t="shared" si="38"/>
        <v>0</v>
      </c>
      <c r="U236" s="2">
        <f t="shared" si="39"/>
        <v>0</v>
      </c>
      <c r="V236" s="2">
        <f t="shared" si="44"/>
        <v>0</v>
      </c>
      <c r="W236" s="2">
        <f t="shared" si="45"/>
        <v>356.72326999999996</v>
      </c>
      <c r="X236" s="2">
        <v>36.858400000000003</v>
      </c>
      <c r="Y236" s="2">
        <v>38.032609999999998</v>
      </c>
      <c r="Z236" s="2">
        <v>28.505700000000001</v>
      </c>
      <c r="AA236" s="2">
        <v>13.522740000000001</v>
      </c>
      <c r="AB236" s="2">
        <v>-1.2064299999999999</v>
      </c>
      <c r="AC236" s="2">
        <v>-0.55203999999999998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f t="shared" si="40"/>
        <v>103.39671</v>
      </c>
      <c r="AK236" s="2">
        <f t="shared" si="41"/>
        <v>11.764270000000002</v>
      </c>
      <c r="AL236" s="2">
        <f t="shared" si="42"/>
        <v>0</v>
      </c>
      <c r="AM236" s="2">
        <f t="shared" si="43"/>
        <v>0</v>
      </c>
      <c r="AN236" s="2">
        <f t="shared" si="46"/>
        <v>0</v>
      </c>
      <c r="AO236" s="2">
        <f t="shared" si="47"/>
        <v>115.16098</v>
      </c>
    </row>
    <row r="237" spans="1:41" x14ac:dyDescent="0.35">
      <c r="A237" t="s">
        <v>281</v>
      </c>
      <c r="B237" s="4">
        <v>9940556048</v>
      </c>
      <c r="C237" t="s">
        <v>174</v>
      </c>
      <c r="D237" t="s">
        <v>271</v>
      </c>
      <c r="E237" t="s">
        <v>26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f t="shared" si="36"/>
        <v>0</v>
      </c>
      <c r="S237" s="2">
        <f t="shared" si="37"/>
        <v>0</v>
      </c>
      <c r="T237" s="2">
        <f t="shared" si="38"/>
        <v>0</v>
      </c>
      <c r="U237" s="2">
        <f t="shared" si="39"/>
        <v>0</v>
      </c>
      <c r="V237" s="2">
        <f t="shared" si="44"/>
        <v>0</v>
      </c>
      <c r="W237" s="2">
        <f t="shared" si="45"/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f t="shared" si="40"/>
        <v>0</v>
      </c>
      <c r="AK237" s="2">
        <f t="shared" si="41"/>
        <v>0</v>
      </c>
      <c r="AL237" s="2">
        <f t="shared" si="42"/>
        <v>0</v>
      </c>
      <c r="AM237" s="2">
        <f t="shared" si="43"/>
        <v>0</v>
      </c>
      <c r="AN237" s="2">
        <f t="shared" si="46"/>
        <v>0</v>
      </c>
      <c r="AO237" s="2">
        <f t="shared" si="47"/>
        <v>0</v>
      </c>
    </row>
    <row r="238" spans="1:41" x14ac:dyDescent="0.35">
      <c r="A238" t="s">
        <v>281</v>
      </c>
      <c r="B238" s="4">
        <v>9940576284</v>
      </c>
      <c r="C238" t="s">
        <v>177</v>
      </c>
      <c r="D238" t="s">
        <v>273</v>
      </c>
      <c r="E238" t="s">
        <v>26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f t="shared" si="36"/>
        <v>0</v>
      </c>
      <c r="S238" s="2">
        <f t="shared" si="37"/>
        <v>0</v>
      </c>
      <c r="T238" s="2">
        <f t="shared" si="38"/>
        <v>0</v>
      </c>
      <c r="U238" s="2">
        <f t="shared" si="39"/>
        <v>0</v>
      </c>
      <c r="V238" s="2">
        <f t="shared" si="44"/>
        <v>0</v>
      </c>
      <c r="W238" s="2">
        <f t="shared" si="45"/>
        <v>0</v>
      </c>
      <c r="X238" s="2">
        <v>-2.2993931999999999</v>
      </c>
      <c r="Y238" s="2">
        <v>-0.74227399999999999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f t="shared" si="40"/>
        <v>-3.0416672</v>
      </c>
      <c r="AK238" s="2">
        <f t="shared" si="41"/>
        <v>0</v>
      </c>
      <c r="AL238" s="2">
        <f t="shared" si="42"/>
        <v>0</v>
      </c>
      <c r="AM238" s="2">
        <f t="shared" si="43"/>
        <v>0</v>
      </c>
      <c r="AN238" s="2">
        <f t="shared" si="46"/>
        <v>0</v>
      </c>
      <c r="AO238" s="2">
        <f t="shared" si="47"/>
        <v>-3.0416672</v>
      </c>
    </row>
    <row r="239" spans="1:41" x14ac:dyDescent="0.35">
      <c r="A239" t="s">
        <v>281</v>
      </c>
      <c r="B239" s="4">
        <v>9940505640</v>
      </c>
      <c r="C239" t="s">
        <v>180</v>
      </c>
      <c r="D239" t="s">
        <v>242</v>
      </c>
      <c r="E239" t="s">
        <v>26</v>
      </c>
      <c r="F239" s="2">
        <v>197.1080772</v>
      </c>
      <c r="G239" s="2">
        <v>189.64707960000001</v>
      </c>
      <c r="H239" s="2">
        <v>137.93734799999999</v>
      </c>
      <c r="I239" s="2">
        <v>152.55564659999999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f t="shared" si="36"/>
        <v>524.69250480000005</v>
      </c>
      <c r="S239" s="2">
        <f t="shared" si="37"/>
        <v>152.55564659999999</v>
      </c>
      <c r="T239" s="2">
        <f t="shared" si="38"/>
        <v>0</v>
      </c>
      <c r="U239" s="2">
        <f t="shared" si="39"/>
        <v>0</v>
      </c>
      <c r="V239" s="2">
        <f t="shared" si="44"/>
        <v>0</v>
      </c>
      <c r="W239" s="2">
        <f t="shared" si="45"/>
        <v>677.2481514000001</v>
      </c>
      <c r="X239" s="2">
        <v>83.443776900000003</v>
      </c>
      <c r="Y239" s="2">
        <v>81.072419400000001</v>
      </c>
      <c r="Z239" s="2">
        <v>57.0392571</v>
      </c>
      <c r="AA239" s="2">
        <v>64.1697171</v>
      </c>
      <c r="AB239" s="2">
        <v>-5.4496890000000002</v>
      </c>
      <c r="AC239" s="2">
        <v>-0.14515529999999999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f t="shared" si="40"/>
        <v>221.55545339999998</v>
      </c>
      <c r="AK239" s="2">
        <f t="shared" si="41"/>
        <v>58.574872800000001</v>
      </c>
      <c r="AL239" s="2">
        <f t="shared" si="42"/>
        <v>0</v>
      </c>
      <c r="AM239" s="2">
        <f t="shared" si="43"/>
        <v>0</v>
      </c>
      <c r="AN239" s="2">
        <f t="shared" si="46"/>
        <v>0</v>
      </c>
      <c r="AO239" s="2">
        <f t="shared" si="47"/>
        <v>280.13032619999996</v>
      </c>
    </row>
    <row r="240" spans="1:41" x14ac:dyDescent="0.35">
      <c r="A240" t="s">
        <v>281</v>
      </c>
      <c r="B240" s="4">
        <v>9940521224</v>
      </c>
      <c r="C240" t="s">
        <v>182</v>
      </c>
      <c r="D240" t="s">
        <v>237</v>
      </c>
      <c r="E240" t="s">
        <v>26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f t="shared" si="36"/>
        <v>0</v>
      </c>
      <c r="S240" s="2">
        <f t="shared" si="37"/>
        <v>0</v>
      </c>
      <c r="T240" s="2">
        <f t="shared" si="38"/>
        <v>0</v>
      </c>
      <c r="U240" s="2">
        <f t="shared" si="39"/>
        <v>0</v>
      </c>
      <c r="V240" s="2">
        <f t="shared" si="44"/>
        <v>0</v>
      </c>
      <c r="W240" s="2">
        <f t="shared" si="45"/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f t="shared" si="40"/>
        <v>0</v>
      </c>
      <c r="AK240" s="2">
        <f t="shared" si="41"/>
        <v>0</v>
      </c>
      <c r="AL240" s="2">
        <f t="shared" si="42"/>
        <v>0</v>
      </c>
      <c r="AM240" s="2">
        <f t="shared" si="43"/>
        <v>0</v>
      </c>
      <c r="AN240" s="2">
        <f t="shared" si="46"/>
        <v>0</v>
      </c>
      <c r="AO240" s="2">
        <f t="shared" si="47"/>
        <v>0</v>
      </c>
    </row>
    <row r="241" spans="1:41" x14ac:dyDescent="0.35">
      <c r="A241" t="s">
        <v>281</v>
      </c>
      <c r="B241" s="4">
        <v>9940540296</v>
      </c>
      <c r="C241" t="s">
        <v>184</v>
      </c>
      <c r="D241" t="s">
        <v>259</v>
      </c>
      <c r="E241" t="s">
        <v>26</v>
      </c>
      <c r="F241" s="2">
        <v>0</v>
      </c>
      <c r="G241" s="2">
        <v>79.138982400000003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f t="shared" si="36"/>
        <v>79.138982400000003</v>
      </c>
      <c r="S241" s="2">
        <f t="shared" si="37"/>
        <v>0</v>
      </c>
      <c r="T241" s="2">
        <f t="shared" si="38"/>
        <v>0</v>
      </c>
      <c r="U241" s="2">
        <f t="shared" si="39"/>
        <v>0</v>
      </c>
      <c r="V241" s="2">
        <f t="shared" si="44"/>
        <v>0</v>
      </c>
      <c r="W241" s="2">
        <f t="shared" si="45"/>
        <v>79.138982400000003</v>
      </c>
      <c r="X241" s="2">
        <v>0.79138799999999998</v>
      </c>
      <c r="Y241" s="2">
        <v>44.081736599999999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f t="shared" si="40"/>
        <v>44.873124599999997</v>
      </c>
      <c r="AK241" s="2">
        <f t="shared" si="41"/>
        <v>0</v>
      </c>
      <c r="AL241" s="2">
        <f t="shared" si="42"/>
        <v>0</v>
      </c>
      <c r="AM241" s="2">
        <f t="shared" si="43"/>
        <v>0</v>
      </c>
      <c r="AN241" s="2">
        <f t="shared" si="46"/>
        <v>0</v>
      </c>
      <c r="AO241" s="2">
        <f t="shared" si="47"/>
        <v>44.873124599999997</v>
      </c>
    </row>
    <row r="242" spans="1:41" x14ac:dyDescent="0.35">
      <c r="A242" t="s">
        <v>281</v>
      </c>
      <c r="B242" s="4">
        <v>9940559900</v>
      </c>
      <c r="C242" t="s">
        <v>186</v>
      </c>
      <c r="D242" t="s">
        <v>232</v>
      </c>
      <c r="E242" t="s">
        <v>26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f t="shared" si="36"/>
        <v>0</v>
      </c>
      <c r="S242" s="2">
        <f t="shared" si="37"/>
        <v>0</v>
      </c>
      <c r="T242" s="2">
        <f t="shared" si="38"/>
        <v>0</v>
      </c>
      <c r="U242" s="2">
        <f t="shared" si="39"/>
        <v>0</v>
      </c>
      <c r="V242" s="2">
        <f t="shared" si="44"/>
        <v>0</v>
      </c>
      <c r="W242" s="2">
        <f t="shared" si="45"/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f t="shared" si="40"/>
        <v>0</v>
      </c>
      <c r="AK242" s="2">
        <f t="shared" si="41"/>
        <v>0</v>
      </c>
      <c r="AL242" s="2">
        <f t="shared" si="42"/>
        <v>0</v>
      </c>
      <c r="AM242" s="2">
        <f t="shared" si="43"/>
        <v>0</v>
      </c>
      <c r="AN242" s="2">
        <f t="shared" si="46"/>
        <v>0</v>
      </c>
      <c r="AO242" s="2">
        <f t="shared" si="47"/>
        <v>0</v>
      </c>
    </row>
    <row r="243" spans="1:41" x14ac:dyDescent="0.35">
      <c r="A243" t="s">
        <v>32</v>
      </c>
      <c r="B243" s="4">
        <v>9966436247</v>
      </c>
      <c r="C243" t="s">
        <v>178</v>
      </c>
      <c r="D243" t="s">
        <v>274</v>
      </c>
      <c r="E243" t="s">
        <v>26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20.280809999999999</v>
      </c>
      <c r="L243" s="2">
        <v>0</v>
      </c>
      <c r="M243" s="2">
        <v>0</v>
      </c>
      <c r="N243" s="2">
        <v>0</v>
      </c>
      <c r="O243" s="2">
        <v>0</v>
      </c>
      <c r="P243" s="2"/>
      <c r="Q243" s="2"/>
      <c r="R243" s="2">
        <f t="shared" si="36"/>
        <v>0</v>
      </c>
      <c r="S243" s="2">
        <f t="shared" si="37"/>
        <v>20.280809999999999</v>
      </c>
      <c r="T243" s="2">
        <f t="shared" si="38"/>
        <v>0</v>
      </c>
      <c r="U243" s="2">
        <f t="shared" si="39"/>
        <v>0</v>
      </c>
      <c r="V243" s="2">
        <f t="shared" si="44"/>
        <v>0</v>
      </c>
      <c r="W243" s="2">
        <f t="shared" si="45"/>
        <v>20.280809999999999</v>
      </c>
      <c r="X243" s="2">
        <v>1.2834300000000001</v>
      </c>
      <c r="Y243" s="2">
        <v>1.0478099999999999</v>
      </c>
      <c r="Z243" s="2">
        <v>0.58316000000000001</v>
      </c>
      <c r="AA243" s="2">
        <v>0.18970000000000001</v>
      </c>
      <c r="AB243" s="2">
        <v>0.19461999999999999</v>
      </c>
      <c r="AC243" s="2">
        <v>20.483619999999998</v>
      </c>
      <c r="AD243" s="2">
        <v>0</v>
      </c>
      <c r="AE243" s="2">
        <v>0</v>
      </c>
      <c r="AF243" s="2">
        <v>0</v>
      </c>
      <c r="AG243" s="2">
        <v>0</v>
      </c>
      <c r="AH243" s="2"/>
      <c r="AI243" s="2"/>
      <c r="AJ243" s="2">
        <f t="shared" si="40"/>
        <v>2.9144000000000001</v>
      </c>
      <c r="AK243" s="2">
        <f t="shared" si="41"/>
        <v>20.867939999999997</v>
      </c>
      <c r="AL243" s="2">
        <f t="shared" si="42"/>
        <v>0</v>
      </c>
      <c r="AM243" s="2">
        <f t="shared" si="43"/>
        <v>0</v>
      </c>
      <c r="AN243" s="2">
        <f t="shared" si="46"/>
        <v>0</v>
      </c>
      <c r="AO243" s="2">
        <f t="shared" si="47"/>
        <v>23.782339999999998</v>
      </c>
    </row>
    <row r="244" spans="1:41" x14ac:dyDescent="0.35">
      <c r="A244" t="s">
        <v>281</v>
      </c>
      <c r="B244" s="4">
        <v>9940352909</v>
      </c>
      <c r="C244" t="s">
        <v>188</v>
      </c>
      <c r="D244" t="s">
        <v>232</v>
      </c>
      <c r="E244" t="s">
        <v>26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f t="shared" si="36"/>
        <v>0</v>
      </c>
      <c r="S244" s="2">
        <f t="shared" si="37"/>
        <v>0</v>
      </c>
      <c r="T244" s="2">
        <f t="shared" si="38"/>
        <v>0</v>
      </c>
      <c r="U244" s="2">
        <f t="shared" si="39"/>
        <v>0</v>
      </c>
      <c r="V244" s="2">
        <f t="shared" si="44"/>
        <v>0</v>
      </c>
      <c r="W244" s="2">
        <f t="shared" si="45"/>
        <v>0</v>
      </c>
      <c r="X244" s="2">
        <v>1.7075</v>
      </c>
      <c r="Y244" s="2">
        <v>2.4760000000000001E-2</v>
      </c>
      <c r="Z244" s="2">
        <v>2.4760000000000001E-2</v>
      </c>
      <c r="AA244" s="2">
        <v>2.4760000000000001E-2</v>
      </c>
      <c r="AB244" s="2">
        <v>2.4760000000000001E-2</v>
      </c>
      <c r="AC244" s="2">
        <v>2.4760000000000001E-2</v>
      </c>
      <c r="AD244" s="2">
        <v>2.4760000000000001E-2</v>
      </c>
      <c r="AE244" s="2">
        <v>2.4760000000000001E-2</v>
      </c>
      <c r="AF244" s="2">
        <v>2.4760000000000001E-2</v>
      </c>
      <c r="AG244" s="2">
        <v>2.4760000000000001E-2</v>
      </c>
      <c r="AH244" s="2">
        <v>2.4760000000000001E-2</v>
      </c>
      <c r="AI244" s="2">
        <v>2.4760000000000001E-2</v>
      </c>
      <c r="AJ244" s="2">
        <f t="shared" si="40"/>
        <v>1.7570199999999998</v>
      </c>
      <c r="AK244" s="2">
        <f t="shared" si="41"/>
        <v>7.4279999999999999E-2</v>
      </c>
      <c r="AL244" s="2">
        <f t="shared" si="42"/>
        <v>7.4279999999999999E-2</v>
      </c>
      <c r="AM244" s="2">
        <f t="shared" si="43"/>
        <v>7.4279999999999999E-2</v>
      </c>
      <c r="AN244" s="2">
        <f t="shared" si="46"/>
        <v>4.9520000000000002E-2</v>
      </c>
      <c r="AO244" s="2">
        <f t="shared" si="47"/>
        <v>1.9798599999999995</v>
      </c>
    </row>
    <row r="245" spans="1:41" x14ac:dyDescent="0.35">
      <c r="A245" t="s">
        <v>281</v>
      </c>
      <c r="B245" s="4">
        <v>9940372230</v>
      </c>
      <c r="C245" t="s">
        <v>189</v>
      </c>
      <c r="D245" t="s">
        <v>257</v>
      </c>
      <c r="E245" t="s">
        <v>26</v>
      </c>
      <c r="F245" s="2">
        <v>14.70927</v>
      </c>
      <c r="G245" s="2">
        <v>14.782590000000001</v>
      </c>
      <c r="H245" s="2">
        <v>14.782590000000001</v>
      </c>
      <c r="I245" s="2">
        <v>14.782590000000001</v>
      </c>
      <c r="J245" s="2">
        <v>14.782590000000001</v>
      </c>
      <c r="K245" s="2">
        <v>14.782590000000001</v>
      </c>
      <c r="L245" s="2">
        <v>14.782590000000001</v>
      </c>
      <c r="M245" s="2">
        <v>14.782590000000001</v>
      </c>
      <c r="N245" s="2">
        <v>14.782590000000001</v>
      </c>
      <c r="O245" s="2">
        <v>14.782590000000001</v>
      </c>
      <c r="P245" s="2">
        <v>14.782590000000001</v>
      </c>
      <c r="Q245" s="2">
        <v>14.782590000000001</v>
      </c>
      <c r="R245" s="2">
        <f t="shared" si="36"/>
        <v>44.274450000000002</v>
      </c>
      <c r="S245" s="2">
        <f t="shared" si="37"/>
        <v>44.347770000000004</v>
      </c>
      <c r="T245" s="2">
        <f t="shared" si="38"/>
        <v>44.347770000000004</v>
      </c>
      <c r="U245" s="2">
        <f t="shared" si="39"/>
        <v>44.347770000000004</v>
      </c>
      <c r="V245" s="2">
        <f t="shared" si="44"/>
        <v>29.565180000000002</v>
      </c>
      <c r="W245" s="2">
        <f t="shared" si="45"/>
        <v>177.31775999999999</v>
      </c>
      <c r="X245" s="2">
        <v>8.8104600000000008</v>
      </c>
      <c r="Y245" s="2">
        <v>8.8837799999999998</v>
      </c>
      <c r="Z245" s="2">
        <v>8.8830399999999994</v>
      </c>
      <c r="AA245" s="2">
        <v>8.8830399999999994</v>
      </c>
      <c r="AB245" s="2">
        <v>8.8830399999999994</v>
      </c>
      <c r="AC245" s="2">
        <v>8.8830399999999994</v>
      </c>
      <c r="AD245" s="2">
        <v>8.8830399999999994</v>
      </c>
      <c r="AE245" s="2">
        <v>8.8830399999999994</v>
      </c>
      <c r="AF245" s="2">
        <v>8.8830399999999994</v>
      </c>
      <c r="AG245" s="2">
        <v>8.8830399999999994</v>
      </c>
      <c r="AH245" s="2">
        <v>8.8830399999999994</v>
      </c>
      <c r="AI245" s="2">
        <v>8.8830399999999994</v>
      </c>
      <c r="AJ245" s="2">
        <f t="shared" si="40"/>
        <v>26.577280000000002</v>
      </c>
      <c r="AK245" s="2">
        <f t="shared" si="41"/>
        <v>26.649119999999996</v>
      </c>
      <c r="AL245" s="2">
        <f t="shared" si="42"/>
        <v>26.649119999999996</v>
      </c>
      <c r="AM245" s="2">
        <f t="shared" si="43"/>
        <v>26.649119999999996</v>
      </c>
      <c r="AN245" s="2">
        <f t="shared" si="46"/>
        <v>17.766079999999999</v>
      </c>
      <c r="AO245" s="2">
        <f t="shared" si="47"/>
        <v>106.52463999999999</v>
      </c>
    </row>
    <row r="246" spans="1:41" x14ac:dyDescent="0.35">
      <c r="A246" t="s">
        <v>281</v>
      </c>
      <c r="B246" s="4">
        <v>9940402203</v>
      </c>
      <c r="C246" t="s">
        <v>190</v>
      </c>
      <c r="D246" t="s">
        <v>232</v>
      </c>
      <c r="E246" t="s">
        <v>26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f t="shared" si="36"/>
        <v>0</v>
      </c>
      <c r="S246" s="2">
        <f t="shared" si="37"/>
        <v>0</v>
      </c>
      <c r="T246" s="2">
        <f t="shared" si="38"/>
        <v>0</v>
      </c>
      <c r="U246" s="2">
        <f t="shared" si="39"/>
        <v>0</v>
      </c>
      <c r="V246" s="2">
        <f t="shared" si="44"/>
        <v>0</v>
      </c>
      <c r="W246" s="2">
        <f t="shared" si="45"/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f t="shared" si="40"/>
        <v>0</v>
      </c>
      <c r="AK246" s="2">
        <f t="shared" si="41"/>
        <v>0</v>
      </c>
      <c r="AL246" s="2">
        <f t="shared" si="42"/>
        <v>0</v>
      </c>
      <c r="AM246" s="2">
        <f t="shared" si="43"/>
        <v>0</v>
      </c>
      <c r="AN246" s="2">
        <f t="shared" si="46"/>
        <v>0</v>
      </c>
      <c r="AO246" s="2">
        <f t="shared" si="47"/>
        <v>0</v>
      </c>
    </row>
    <row r="247" spans="1:41" x14ac:dyDescent="0.35">
      <c r="A247" t="s">
        <v>281</v>
      </c>
      <c r="B247" s="4">
        <v>9940531681</v>
      </c>
      <c r="C247" t="s">
        <v>191</v>
      </c>
      <c r="D247" t="s">
        <v>276</v>
      </c>
      <c r="E247" t="s">
        <v>26</v>
      </c>
      <c r="F247" s="2">
        <v>0</v>
      </c>
      <c r="G247" s="2">
        <v>0</v>
      </c>
      <c r="H247" s="2">
        <v>0</v>
      </c>
      <c r="I247" s="2">
        <v>109.60418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f t="shared" si="36"/>
        <v>0</v>
      </c>
      <c r="S247" s="2">
        <f t="shared" si="37"/>
        <v>109.60418</v>
      </c>
      <c r="T247" s="2">
        <f t="shared" si="38"/>
        <v>0</v>
      </c>
      <c r="U247" s="2">
        <f t="shared" si="39"/>
        <v>0</v>
      </c>
      <c r="V247" s="2">
        <f t="shared" si="44"/>
        <v>0</v>
      </c>
      <c r="W247" s="2">
        <f t="shared" si="45"/>
        <v>109.60418</v>
      </c>
      <c r="X247" s="2">
        <v>-0.19039</v>
      </c>
      <c r="Y247" s="2">
        <v>1.1150899999999999</v>
      </c>
      <c r="Z247" s="2">
        <v>1.1150899999999999</v>
      </c>
      <c r="AA247" s="2">
        <v>32.440739999999998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f t="shared" si="40"/>
        <v>2.03979</v>
      </c>
      <c r="AK247" s="2">
        <f t="shared" si="41"/>
        <v>32.440739999999998</v>
      </c>
      <c r="AL247" s="2">
        <f t="shared" si="42"/>
        <v>0</v>
      </c>
      <c r="AM247" s="2">
        <f t="shared" si="43"/>
        <v>0</v>
      </c>
      <c r="AN247" s="2">
        <f t="shared" si="46"/>
        <v>0</v>
      </c>
      <c r="AO247" s="2">
        <f t="shared" si="47"/>
        <v>34.480530000000002</v>
      </c>
    </row>
    <row r="248" spans="1:41" x14ac:dyDescent="0.35">
      <c r="A248" t="s">
        <v>281</v>
      </c>
      <c r="B248" s="4">
        <v>9940572803</v>
      </c>
      <c r="C248" t="s">
        <v>193</v>
      </c>
      <c r="D248" t="s">
        <v>273</v>
      </c>
      <c r="E248" t="s">
        <v>26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f t="shared" si="36"/>
        <v>0</v>
      </c>
      <c r="S248" s="2">
        <f t="shared" si="37"/>
        <v>0</v>
      </c>
      <c r="T248" s="2">
        <f t="shared" si="38"/>
        <v>0</v>
      </c>
      <c r="U248" s="2">
        <f t="shared" si="39"/>
        <v>0</v>
      </c>
      <c r="V248" s="2">
        <f t="shared" si="44"/>
        <v>0</v>
      </c>
      <c r="W248" s="2">
        <f t="shared" si="45"/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f t="shared" si="40"/>
        <v>0</v>
      </c>
      <c r="AK248" s="2">
        <f t="shared" si="41"/>
        <v>0</v>
      </c>
      <c r="AL248" s="2">
        <f t="shared" si="42"/>
        <v>0</v>
      </c>
      <c r="AM248" s="2">
        <f t="shared" si="43"/>
        <v>0</v>
      </c>
      <c r="AN248" s="2">
        <f t="shared" si="46"/>
        <v>0</v>
      </c>
      <c r="AO248" s="2">
        <f t="shared" si="47"/>
        <v>0</v>
      </c>
    </row>
    <row r="249" spans="1:41" x14ac:dyDescent="0.35">
      <c r="A249" t="s">
        <v>281</v>
      </c>
      <c r="B249" s="4">
        <v>9940449491</v>
      </c>
      <c r="C249" t="s">
        <v>195</v>
      </c>
      <c r="D249" t="s">
        <v>230</v>
      </c>
      <c r="E249" t="s">
        <v>26</v>
      </c>
      <c r="F249" s="2">
        <v>16.553170000000001</v>
      </c>
      <c r="G249" s="2">
        <v>20.53032</v>
      </c>
      <c r="H249" s="2">
        <v>12.02434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f t="shared" si="36"/>
        <v>49.10783</v>
      </c>
      <c r="S249" s="2">
        <f t="shared" si="37"/>
        <v>0</v>
      </c>
      <c r="T249" s="2">
        <f t="shared" si="38"/>
        <v>0</v>
      </c>
      <c r="U249" s="2">
        <f t="shared" si="39"/>
        <v>0</v>
      </c>
      <c r="V249" s="2">
        <f t="shared" si="44"/>
        <v>0</v>
      </c>
      <c r="W249" s="2">
        <f t="shared" si="45"/>
        <v>49.10783</v>
      </c>
      <c r="X249" s="2">
        <v>6.5515499999999998</v>
      </c>
      <c r="Y249" s="2">
        <v>8.1225699999999996</v>
      </c>
      <c r="Z249" s="2">
        <v>4.8613299999999997</v>
      </c>
      <c r="AA249" s="2">
        <v>-0.42421999999999999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f t="shared" si="40"/>
        <v>19.535449999999997</v>
      </c>
      <c r="AK249" s="2">
        <f t="shared" si="41"/>
        <v>-0.42421999999999999</v>
      </c>
      <c r="AL249" s="2">
        <f t="shared" si="42"/>
        <v>0</v>
      </c>
      <c r="AM249" s="2">
        <f t="shared" si="43"/>
        <v>0</v>
      </c>
      <c r="AN249" s="2">
        <f t="shared" si="46"/>
        <v>0</v>
      </c>
      <c r="AO249" s="2">
        <f t="shared" si="47"/>
        <v>19.111229999999999</v>
      </c>
    </row>
    <row r="250" spans="1:41" x14ac:dyDescent="0.35">
      <c r="A250" t="s">
        <v>281</v>
      </c>
      <c r="B250" s="4">
        <v>9940513403</v>
      </c>
      <c r="C250" t="s">
        <v>197</v>
      </c>
      <c r="D250" t="s">
        <v>227</v>
      </c>
      <c r="E250" t="s">
        <v>26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f t="shared" si="36"/>
        <v>0</v>
      </c>
      <c r="S250" s="2">
        <f t="shared" si="37"/>
        <v>0</v>
      </c>
      <c r="T250" s="2">
        <f t="shared" si="38"/>
        <v>0</v>
      </c>
      <c r="U250" s="2">
        <f t="shared" si="39"/>
        <v>0</v>
      </c>
      <c r="V250" s="2">
        <f t="shared" si="44"/>
        <v>0</v>
      </c>
      <c r="W250" s="2">
        <f t="shared" si="45"/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f t="shared" si="40"/>
        <v>0</v>
      </c>
      <c r="AK250" s="2">
        <f t="shared" si="41"/>
        <v>0</v>
      </c>
      <c r="AL250" s="2">
        <f t="shared" si="42"/>
        <v>0</v>
      </c>
      <c r="AM250" s="2">
        <f t="shared" si="43"/>
        <v>0</v>
      </c>
      <c r="AN250" s="2">
        <f t="shared" si="46"/>
        <v>0</v>
      </c>
      <c r="AO250" s="2">
        <f t="shared" si="47"/>
        <v>0</v>
      </c>
    </row>
    <row r="251" spans="1:41" x14ac:dyDescent="0.35">
      <c r="A251" t="s">
        <v>281</v>
      </c>
      <c r="B251" s="4">
        <v>9940537605</v>
      </c>
      <c r="C251" t="s">
        <v>199</v>
      </c>
      <c r="D251" t="s">
        <v>277</v>
      </c>
      <c r="E251" t="s">
        <v>26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f t="shared" si="36"/>
        <v>0</v>
      </c>
      <c r="S251" s="2">
        <f t="shared" si="37"/>
        <v>0</v>
      </c>
      <c r="T251" s="2">
        <f t="shared" si="38"/>
        <v>0</v>
      </c>
      <c r="U251" s="2">
        <f t="shared" si="39"/>
        <v>0</v>
      </c>
      <c r="V251" s="2">
        <f t="shared" si="44"/>
        <v>0</v>
      </c>
      <c r="W251" s="2">
        <f t="shared" si="45"/>
        <v>0</v>
      </c>
      <c r="X251" s="2">
        <v>5.5320000000000001E-2</v>
      </c>
      <c r="Y251" s="2">
        <v>5.5320000000000001E-2</v>
      </c>
      <c r="Z251" s="2">
        <v>5.5320000000000001E-2</v>
      </c>
      <c r="AA251" s="2">
        <v>5.5320000000000001E-2</v>
      </c>
      <c r="AB251" s="2">
        <v>5.5320000000000001E-2</v>
      </c>
      <c r="AC251" s="2">
        <v>5.5320000000000001E-2</v>
      </c>
      <c r="AD251" s="2">
        <v>5.5320000000000001E-2</v>
      </c>
      <c r="AE251" s="2">
        <v>5.5320000000000001E-2</v>
      </c>
      <c r="AF251" s="2">
        <v>5.5320000000000001E-2</v>
      </c>
      <c r="AG251" s="2">
        <v>5.5320000000000001E-2</v>
      </c>
      <c r="AH251" s="2">
        <v>5.5320000000000001E-2</v>
      </c>
      <c r="AI251" s="2">
        <v>5.5320000000000001E-2</v>
      </c>
      <c r="AJ251" s="2">
        <f t="shared" si="40"/>
        <v>0.16596</v>
      </c>
      <c r="AK251" s="2">
        <f t="shared" si="41"/>
        <v>0.16596</v>
      </c>
      <c r="AL251" s="2">
        <f t="shared" si="42"/>
        <v>0.16596</v>
      </c>
      <c r="AM251" s="2">
        <f t="shared" si="43"/>
        <v>0.16596</v>
      </c>
      <c r="AN251" s="2">
        <f t="shared" si="46"/>
        <v>0.11064</v>
      </c>
      <c r="AO251" s="2">
        <f t="shared" si="47"/>
        <v>0.66383999999999999</v>
      </c>
    </row>
    <row r="252" spans="1:41" x14ac:dyDescent="0.35">
      <c r="A252" t="s">
        <v>32</v>
      </c>
      <c r="B252" t="s">
        <v>37</v>
      </c>
      <c r="C252" t="s">
        <v>38</v>
      </c>
      <c r="E252" t="s">
        <v>26</v>
      </c>
      <c r="F252" s="2">
        <v>0</v>
      </c>
      <c r="G252" s="2">
        <v>0</v>
      </c>
      <c r="H252" s="2">
        <v>-1.2E-4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/>
      <c r="Q252" s="2"/>
      <c r="R252" s="2">
        <f t="shared" si="36"/>
        <v>-1.2E-4</v>
      </c>
      <c r="S252" s="2">
        <f t="shared" si="37"/>
        <v>0</v>
      </c>
      <c r="T252" s="2">
        <f t="shared" si="38"/>
        <v>0</v>
      </c>
      <c r="U252" s="2">
        <f t="shared" si="39"/>
        <v>0</v>
      </c>
      <c r="V252" s="2">
        <f t="shared" si="44"/>
        <v>0</v>
      </c>
      <c r="W252" s="2">
        <f t="shared" si="45"/>
        <v>-1.2E-4</v>
      </c>
      <c r="X252" s="2">
        <v>-0.11582000000000001</v>
      </c>
      <c r="Y252" s="2">
        <v>-0.11768000000000001</v>
      </c>
      <c r="Z252" s="2">
        <v>-0.11998</v>
      </c>
      <c r="AA252" s="2">
        <v>-0.11824999999999999</v>
      </c>
      <c r="AB252" s="2">
        <v>-0.11561</v>
      </c>
      <c r="AC252" s="2">
        <v>-36.482880000000002</v>
      </c>
      <c r="AD252" s="2">
        <v>-33.101730000000003</v>
      </c>
      <c r="AE252" s="2">
        <v>-19.946159999999999</v>
      </c>
      <c r="AF252" s="2">
        <v>62.374040000000001</v>
      </c>
      <c r="AG252" s="2">
        <v>21.37002</v>
      </c>
      <c r="AH252" s="2"/>
      <c r="AI252" s="2"/>
      <c r="AJ252" s="2">
        <f t="shared" si="40"/>
        <v>-0.35348000000000002</v>
      </c>
      <c r="AK252" s="2">
        <f t="shared" si="41"/>
        <v>-36.716740000000001</v>
      </c>
      <c r="AL252" s="2">
        <f t="shared" si="42"/>
        <v>9.3261499999999984</v>
      </c>
      <c r="AM252" s="2">
        <f t="shared" si="43"/>
        <v>21.37002</v>
      </c>
      <c r="AN252" s="2">
        <f t="shared" si="46"/>
        <v>0</v>
      </c>
      <c r="AO252" s="2">
        <f t="shared" si="47"/>
        <v>-6.3740500000000004</v>
      </c>
    </row>
    <row r="253" spans="1:41" x14ac:dyDescent="0.35">
      <c r="A253" t="s">
        <v>281</v>
      </c>
      <c r="B253" s="4">
        <v>9940554317</v>
      </c>
      <c r="C253" t="s">
        <v>202</v>
      </c>
      <c r="D253" t="s">
        <v>240</v>
      </c>
      <c r="E253" t="s">
        <v>26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f t="shared" ref="R253:R257" si="48">F253+G253+H253</f>
        <v>0</v>
      </c>
      <c r="S253" s="2">
        <f t="shared" ref="S253:S257" si="49">I253+J253+K253</f>
        <v>0</v>
      </c>
      <c r="T253" s="2">
        <f t="shared" ref="T253:T257" si="50">L253+M253+N253</f>
        <v>0</v>
      </c>
      <c r="U253" s="2">
        <f t="shared" ref="U253:U257" si="51">O253+P253+Q253</f>
        <v>0</v>
      </c>
      <c r="V253" s="2">
        <f t="shared" si="44"/>
        <v>0</v>
      </c>
      <c r="W253" s="2">
        <f t="shared" si="45"/>
        <v>0</v>
      </c>
      <c r="X253" s="2">
        <v>-0.73145000000000004</v>
      </c>
      <c r="Y253" s="2">
        <v>-6.6489999999999994E-2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f t="shared" ref="AJ253:AJ257" si="52">X253+Y253+Z253</f>
        <v>-0.79794000000000009</v>
      </c>
      <c r="AK253" s="2">
        <f t="shared" ref="AK253:AK257" si="53">AA253+AB253+AC253</f>
        <v>0</v>
      </c>
      <c r="AL253" s="2">
        <f t="shared" ref="AL253:AL257" si="54">AD253+AE253+AF253</f>
        <v>0</v>
      </c>
      <c r="AM253" s="2">
        <f t="shared" ref="AM253:AM257" si="55">AG253+AH253+AI253</f>
        <v>0</v>
      </c>
      <c r="AN253" s="2">
        <f t="shared" si="46"/>
        <v>0</v>
      </c>
      <c r="AO253" s="2">
        <f t="shared" si="47"/>
        <v>-0.79794000000000009</v>
      </c>
    </row>
    <row r="254" spans="1:41" x14ac:dyDescent="0.35">
      <c r="A254" t="s">
        <v>281</v>
      </c>
      <c r="B254" s="4">
        <v>9940574770</v>
      </c>
      <c r="C254" t="s">
        <v>203</v>
      </c>
      <c r="D254" t="s">
        <v>235</v>
      </c>
      <c r="E254" t="s">
        <v>26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f t="shared" si="48"/>
        <v>0</v>
      </c>
      <c r="S254" s="2">
        <f t="shared" si="49"/>
        <v>0</v>
      </c>
      <c r="T254" s="2">
        <f t="shared" si="50"/>
        <v>0</v>
      </c>
      <c r="U254" s="2">
        <f t="shared" si="51"/>
        <v>0</v>
      </c>
      <c r="V254" s="2">
        <f t="shared" si="44"/>
        <v>0</v>
      </c>
      <c r="W254" s="2">
        <f t="shared" si="45"/>
        <v>0</v>
      </c>
      <c r="X254" s="2">
        <v>96.819370000000006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f t="shared" si="52"/>
        <v>96.819370000000006</v>
      </c>
      <c r="AK254" s="2">
        <f t="shared" si="53"/>
        <v>0</v>
      </c>
      <c r="AL254" s="2">
        <f t="shared" si="54"/>
        <v>0</v>
      </c>
      <c r="AM254" s="2">
        <f t="shared" si="55"/>
        <v>0</v>
      </c>
      <c r="AN254" s="2">
        <f t="shared" si="46"/>
        <v>0</v>
      </c>
      <c r="AO254" s="2">
        <f t="shared" si="47"/>
        <v>96.819370000000006</v>
      </c>
    </row>
    <row r="255" spans="1:41" x14ac:dyDescent="0.35">
      <c r="A255" t="s">
        <v>281</v>
      </c>
      <c r="B255" s="4">
        <v>9940488908</v>
      </c>
      <c r="C255" t="s">
        <v>206</v>
      </c>
      <c r="D255" t="s">
        <v>232</v>
      </c>
      <c r="E255" t="s">
        <v>26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f t="shared" si="48"/>
        <v>0</v>
      </c>
      <c r="S255" s="2">
        <f t="shared" si="49"/>
        <v>0</v>
      </c>
      <c r="T255" s="2">
        <f t="shared" si="50"/>
        <v>0</v>
      </c>
      <c r="U255" s="2">
        <f t="shared" si="51"/>
        <v>0</v>
      </c>
      <c r="V255" s="2">
        <f t="shared" si="44"/>
        <v>0</v>
      </c>
      <c r="W255" s="2">
        <f t="shared" si="45"/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f t="shared" si="52"/>
        <v>0</v>
      </c>
      <c r="AK255" s="2">
        <f t="shared" si="53"/>
        <v>0</v>
      </c>
      <c r="AL255" s="2">
        <f t="shared" si="54"/>
        <v>0</v>
      </c>
      <c r="AM255" s="2">
        <f t="shared" si="55"/>
        <v>0</v>
      </c>
      <c r="AN255" s="2">
        <f t="shared" si="46"/>
        <v>0</v>
      </c>
      <c r="AO255" s="2">
        <f t="shared" si="47"/>
        <v>0</v>
      </c>
    </row>
    <row r="256" spans="1:41" x14ac:dyDescent="0.35">
      <c r="A256" t="s">
        <v>281</v>
      </c>
      <c r="B256" s="4">
        <v>9940530749</v>
      </c>
      <c r="C256" t="s">
        <v>211</v>
      </c>
      <c r="D256" t="s">
        <v>271</v>
      </c>
      <c r="E256" t="s">
        <v>26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f t="shared" si="48"/>
        <v>0</v>
      </c>
      <c r="S256" s="2">
        <f t="shared" si="49"/>
        <v>0</v>
      </c>
      <c r="T256" s="2">
        <f t="shared" si="50"/>
        <v>0</v>
      </c>
      <c r="U256" s="2">
        <f t="shared" si="51"/>
        <v>0</v>
      </c>
      <c r="V256" s="2">
        <f t="shared" si="44"/>
        <v>0</v>
      </c>
      <c r="W256" s="2">
        <f t="shared" si="45"/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f t="shared" si="52"/>
        <v>0</v>
      </c>
      <c r="AK256" s="2">
        <f t="shared" si="53"/>
        <v>0</v>
      </c>
      <c r="AL256" s="2">
        <f t="shared" si="54"/>
        <v>0</v>
      </c>
      <c r="AM256" s="2">
        <f t="shared" si="55"/>
        <v>0</v>
      </c>
      <c r="AN256" s="2">
        <f t="shared" si="46"/>
        <v>0</v>
      </c>
      <c r="AO256" s="2">
        <f t="shared" si="47"/>
        <v>0</v>
      </c>
    </row>
    <row r="257" spans="1:41" x14ac:dyDescent="0.35">
      <c r="A257" t="s">
        <v>281</v>
      </c>
      <c r="B257" s="4">
        <v>9940569550</v>
      </c>
      <c r="C257" t="s">
        <v>218</v>
      </c>
      <c r="D257" t="s">
        <v>231</v>
      </c>
      <c r="E257" t="s">
        <v>26</v>
      </c>
      <c r="F257" s="2">
        <v>11.692104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f t="shared" si="48"/>
        <v>11.692104</v>
      </c>
      <c r="S257" s="2">
        <f t="shared" si="49"/>
        <v>0</v>
      </c>
      <c r="T257" s="2">
        <f t="shared" si="50"/>
        <v>0</v>
      </c>
      <c r="U257" s="2">
        <f t="shared" si="51"/>
        <v>0</v>
      </c>
      <c r="V257" s="2">
        <f t="shared" si="44"/>
        <v>0</v>
      </c>
      <c r="W257" s="2">
        <f t="shared" si="45"/>
        <v>11.692104</v>
      </c>
      <c r="X257" s="2">
        <v>11.692098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f t="shared" si="52"/>
        <v>11.692098</v>
      </c>
      <c r="AK257" s="2">
        <f t="shared" si="53"/>
        <v>0</v>
      </c>
      <c r="AL257" s="2">
        <f t="shared" si="54"/>
        <v>0</v>
      </c>
      <c r="AM257" s="2">
        <f t="shared" si="55"/>
        <v>0</v>
      </c>
      <c r="AN257" s="2">
        <f t="shared" si="46"/>
        <v>0</v>
      </c>
      <c r="AO257" s="2">
        <f t="shared" si="47"/>
        <v>11.692098</v>
      </c>
    </row>
  </sheetData>
  <autoFilter ref="A2:AN257" xr:uid="{0817A9BB-60E2-490F-8A5E-2E44393DCF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Gaspar, Liz</dc:creator>
  <cp:lastModifiedBy>Gaspar, Liz</cp:lastModifiedBy>
  <dcterms:created xsi:type="dcterms:W3CDTF">2026-07-07T15:56:01Z</dcterms:created>
  <dcterms:modified xsi:type="dcterms:W3CDTF">2026-07-07T20:50:05Z</dcterms:modified>
</cp:coreProperties>
</file>